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bri\OneDrive\Documents\ArcGIS\Projects\MITOS Project\Project Data\MITOS Excel Data\Jan 2021\"/>
    </mc:Choice>
  </mc:AlternateContent>
  <xr:revisionPtr revIDLastSave="0" documentId="13_ncr:1_{73C06544-7A06-4237-9008-3810F1267E5E}" xr6:coauthVersionLast="46" xr6:coauthVersionMax="46" xr10:uidLastSave="{00000000-0000-0000-0000-000000000000}"/>
  <bookViews>
    <workbookView xWindow="-98" yWindow="-98" windowWidth="24496" windowHeight="15796" xr2:uid="{00000000-000D-0000-FFFF-FFFF00000000}"/>
  </bookViews>
  <sheets>
    <sheet name="Charts" sheetId="11" r:id="rId1"/>
    <sheet name="Building Values" sheetId="10" r:id="rId2"/>
    <sheet name="07" sheetId="2" r:id="rId3"/>
    <sheet name="08" sheetId="3" r:id="rId4"/>
    <sheet name="09" sheetId="4" r:id="rId5"/>
    <sheet name="10" sheetId="5" r:id="rId6"/>
    <sheet name="11" sheetId="6" r:id="rId7"/>
    <sheet name="12" sheetId="7" r:id="rId8"/>
    <sheet name="13" sheetId="8" r:id="rId9"/>
    <sheet name="14" sheetId="9" r:id="rId10"/>
  </sheets>
  <functionGroups builtInGroupCount="19"/>
  <definedNames>
    <definedName name="_xlnm._FilterDatabase" localSheetId="2" hidden="1">'07'!$A$1:$AQ$113</definedName>
    <definedName name="_xlnm._FilterDatabase" localSheetId="5" hidden="1">'10'!$A$1:$AQ$151</definedName>
    <definedName name="_xlnm._FilterDatabase" localSheetId="9" hidden="1">'14'!$A$1:$AQ$288</definedName>
    <definedName name="_xlnm._FilterDatabase" localSheetId="1" hidden="1">'Building Values'!$A$1:$E$1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1" l="1"/>
  <c r="AT16" i="2"/>
  <c r="AT28" i="2"/>
  <c r="F1" i="11" a="1"/>
  <c r="F1" i="11" l="1"/>
  <c r="AQ291" i="9"/>
  <c r="B7" i="11" l="1"/>
  <c r="B8" i="11" s="1"/>
  <c r="B9" i="11" s="1"/>
  <c r="B10" i="11" s="1"/>
  <c r="B11" i="11" s="1"/>
  <c r="B12" i="11" s="1"/>
  <c r="B13" i="11" s="1"/>
  <c r="F5" i="11"/>
  <c r="E5" i="11"/>
  <c r="C10" i="11" a="1"/>
  <c r="E13" i="11" a="1"/>
  <c r="E10" i="11" a="1"/>
  <c r="E6" i="11" a="1"/>
  <c r="E11" i="11" a="1"/>
  <c r="C11" i="11" a="1"/>
  <c r="E8" i="11" a="1"/>
  <c r="C8" i="11" a="1"/>
  <c r="C7" i="11" a="1"/>
  <c r="C12" i="11" a="1"/>
  <c r="E9" i="11" a="1"/>
  <c r="E7" i="11" a="1"/>
  <c r="C6" i="11" a="1"/>
  <c r="C13" i="11" a="1"/>
  <c r="E12" i="11" a="1"/>
  <c r="C9" i="11" a="1"/>
  <c r="C7" i="11" l="1"/>
  <c r="D7" i="11" s="1"/>
  <c r="E9" i="11"/>
  <c r="E12" i="11"/>
  <c r="F12" i="11" s="1"/>
  <c r="C9" i="11"/>
  <c r="D9" i="11" s="1"/>
  <c r="E11" i="11"/>
  <c r="F11" i="11" s="1"/>
  <c r="C8" i="11"/>
  <c r="D8" i="11" s="1"/>
  <c r="C10" i="11"/>
  <c r="D10" i="11" s="1"/>
  <c r="E13" i="11"/>
  <c r="F13" i="11" s="1"/>
  <c r="E6" i="11"/>
  <c r="C11" i="11"/>
  <c r="D11" i="11" s="1"/>
  <c r="E10" i="11"/>
  <c r="F10" i="11" s="1"/>
  <c r="C6" i="11"/>
  <c r="D6" i="11" s="1"/>
  <c r="C13" i="11"/>
  <c r="D13" i="11" s="1"/>
  <c r="E8" i="11"/>
  <c r="F8" i="11" s="1"/>
  <c r="C12" i="11"/>
  <c r="D12" i="11" s="1"/>
  <c r="E7" i="11"/>
  <c r="F7" i="11" s="1"/>
  <c r="F6" i="11"/>
  <c r="F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<sst xmlns="http://schemas.openxmlformats.org/spreadsheetml/2006/main" count="13286" uniqueCount="421">
  <si>
    <t>OBJECTID</t>
  </si>
  <si>
    <t>FID_buildingbuffer1ft_line</t>
  </si>
  <si>
    <t>FID_MITBuildings_1ftBuffer</t>
  </si>
  <si>
    <t>facility</t>
  </si>
  <si>
    <t>bldg_name</t>
  </si>
  <si>
    <t>address</t>
  </si>
  <si>
    <t>type</t>
  </si>
  <si>
    <t>layer_id</t>
  </si>
  <si>
    <t>Perimeter</t>
  </si>
  <si>
    <t>Area</t>
  </si>
  <si>
    <t>BUFF_DIST</t>
  </si>
  <si>
    <t>ORIG_FID</t>
  </si>
  <si>
    <t>FID_2D_Zones_07_Filtered</t>
  </si>
  <si>
    <t>zone_id</t>
  </si>
  <si>
    <t>element_no</t>
  </si>
  <si>
    <t>sim_id</t>
  </si>
  <si>
    <t>event</t>
  </si>
  <si>
    <t>prof_type</t>
  </si>
  <si>
    <t>retperiod</t>
  </si>
  <si>
    <t>duration</t>
  </si>
  <si>
    <t>AREA2D</t>
  </si>
  <si>
    <t>GNDLEV2D</t>
  </si>
  <si>
    <t>HAZARD2D</t>
  </si>
  <si>
    <t>DEPTH2D</t>
  </si>
  <si>
    <t>elevation2</t>
  </si>
  <si>
    <t>SPEED2D</t>
  </si>
  <si>
    <t>MAXANGLE2D</t>
  </si>
  <si>
    <t>MAXDEPTHAN</t>
  </si>
  <si>
    <t>MAXHAZANGL</t>
  </si>
  <si>
    <t>MAXHAZDEPT</t>
  </si>
  <si>
    <t>MAXHAZSPD2</t>
  </si>
  <si>
    <t>MAXUNFL2D</t>
  </si>
  <si>
    <t>MAXVELDEPT</t>
  </si>
  <si>
    <t>MINANGLE2D</t>
  </si>
  <si>
    <t>MINDEPTH2</t>
  </si>
  <si>
    <t>MINSPD2</t>
  </si>
  <si>
    <t>minunitflo</t>
  </si>
  <si>
    <t>RAINPROF2D</t>
  </si>
  <si>
    <t>T_END_INUN</t>
  </si>
  <si>
    <t>T_FLOOD_DU</t>
  </si>
  <si>
    <t>T_INUDATIO</t>
  </si>
  <si>
    <t>T_PEAK_2D</t>
  </si>
  <si>
    <t>Shape_Length</t>
  </si>
  <si>
    <t>W98</t>
  </si>
  <si>
    <t>BUILDING W98</t>
  </si>
  <si>
    <t>600 MEMORIAL DR</t>
  </si>
  <si>
    <t>ACADEMIC</t>
  </si>
  <si>
    <t>building</t>
  </si>
  <si>
    <t>MIT2D</t>
  </si>
  <si>
    <t>Storm24h_7 Rainfall intensity</t>
  </si>
  <si>
    <t>Rainfall</t>
  </si>
  <si>
    <t>WW25</t>
  </si>
  <si>
    <t>BUILDING WW25</t>
  </si>
  <si>
    <t>142  WAVERLY ST</t>
  </si>
  <si>
    <t>SERVICE</t>
  </si>
  <si>
    <t>1</t>
  </si>
  <si>
    <t>PIERCE LABORATORY</t>
  </si>
  <si>
    <t>33  MASSACHUSETTS AVE</t>
  </si>
  <si>
    <t>W16</t>
  </si>
  <si>
    <t>KRESGE AUDITORIUM</t>
  </si>
  <si>
    <t>48-R MASSACHUSETTS AVE</t>
  </si>
  <si>
    <t>2</t>
  </si>
  <si>
    <t>THE SIMONS BUILDING</t>
  </si>
  <si>
    <t>182  MEMORIAL DR</t>
  </si>
  <si>
    <t>4</t>
  </si>
  <si>
    <t>MACLAURIN BUILDINGS (4)</t>
  </si>
  <si>
    <t>182  MEMORIAL DR (REAR)</t>
  </si>
  <si>
    <t>3</t>
  </si>
  <si>
    <t>MACLAURIN BUILDINGS (3)</t>
  </si>
  <si>
    <t>33 MASSACHUSETTS AVE (REAR)</t>
  </si>
  <si>
    <t>E52</t>
  </si>
  <si>
    <t>MORRIS &amp; SOPHIE CHANG BUILDING</t>
  </si>
  <si>
    <t>50  MEMORIAL DR</t>
  </si>
  <si>
    <t>E53</t>
  </si>
  <si>
    <t>HERMANN BUILDING</t>
  </si>
  <si>
    <t>30  WADSWORTH ST</t>
  </si>
  <si>
    <t>E51</t>
  </si>
  <si>
    <t>TANG CENTER</t>
  </si>
  <si>
    <t>70  MEMORIAL DR</t>
  </si>
  <si>
    <t>E23</t>
  </si>
  <si>
    <t>HEALTH SERVICES</t>
  </si>
  <si>
    <t>25  CARLETON ST</t>
  </si>
  <si>
    <t>E17</t>
  </si>
  <si>
    <t>MUDD BUILDING</t>
  </si>
  <si>
    <t>40  AMES ST</t>
  </si>
  <si>
    <t>E25</t>
  </si>
  <si>
    <t>WHITAKER COLLEGE</t>
  </si>
  <si>
    <t>45  CARLETON ST</t>
  </si>
  <si>
    <t>E55</t>
  </si>
  <si>
    <t>EASTGATE</t>
  </si>
  <si>
    <t>60  WADSWORTH ST</t>
  </si>
  <si>
    <t>RESIDENT</t>
  </si>
  <si>
    <t>46</t>
  </si>
  <si>
    <t>BCSC</t>
  </si>
  <si>
    <t>43 VASSAR ST</t>
  </si>
  <si>
    <t>FID_2D_Zones_08_Filtered</t>
  </si>
  <si>
    <t>Storm24h_8 Rainfall intensity</t>
  </si>
  <si>
    <t>FID_2D_Zones_09_Filtered</t>
  </si>
  <si>
    <t>Storm24h_9 Rainfall intensity</t>
  </si>
  <si>
    <t>14</t>
  </si>
  <si>
    <t>HAYDEN MEMORIAL LIBRARY</t>
  </si>
  <si>
    <t>160  MEMORIAL DR</t>
  </si>
  <si>
    <t>E15</t>
  </si>
  <si>
    <t>WIESNER BUILDING</t>
  </si>
  <si>
    <t>20  AMES ST</t>
  </si>
  <si>
    <t>FID_2D_Zones_10_Filtered</t>
  </si>
  <si>
    <t>Storm24h_10 Rainfall intensity</t>
  </si>
  <si>
    <t>32</t>
  </si>
  <si>
    <t>STATA CENTER</t>
  </si>
  <si>
    <t>32 VASSAR ST</t>
  </si>
  <si>
    <t>FID_2D_Zones_12_Filtered</t>
  </si>
  <si>
    <t>Storm24h_12 Rainfall intensity</t>
  </si>
  <si>
    <t>W35</t>
  </si>
  <si>
    <t>SPORTS &amp; FITNESS CENTER</t>
  </si>
  <si>
    <t>120  VASSAR ST</t>
  </si>
  <si>
    <t>W20</t>
  </si>
  <si>
    <t>STRATTON STUDENT CENTER</t>
  </si>
  <si>
    <t>84  MASSACHUSETTS AVE</t>
  </si>
  <si>
    <t>10</t>
  </si>
  <si>
    <t>MACLAURIN BUILDINGS (10)</t>
  </si>
  <si>
    <t>222  MEMORIAL DR</t>
  </si>
  <si>
    <t>W32</t>
  </si>
  <si>
    <t>DU PONT ATHLETIC CENTER</t>
  </si>
  <si>
    <t>100  MASSACHUSETTS AVE</t>
  </si>
  <si>
    <t>FID_2D_Zones_13_Filtered</t>
  </si>
  <si>
    <t>Storm24h_13 Rainfall intensity</t>
  </si>
  <si>
    <t>FID_2D_Zones_14_Filtered</t>
  </si>
  <si>
    <t>Storm24h_14 Rainfall intensity</t>
  </si>
  <si>
    <t>E60</t>
  </si>
  <si>
    <t>ARTHUR D LITTLE BUILDING</t>
  </si>
  <si>
    <t>30  MEMORIAL DR</t>
  </si>
  <si>
    <t>Buffer Perimeter</t>
  </si>
  <si>
    <t>None</t>
  </si>
  <si>
    <t>NE18</t>
  </si>
  <si>
    <t>255 MAIN STREET</t>
  </si>
  <si>
    <t>NE123A</t>
  </si>
  <si>
    <t>300 BENT STREET</t>
  </si>
  <si>
    <t>NE45</t>
  </si>
  <si>
    <t>300 TECHNOLOGY SQUARE</t>
  </si>
  <si>
    <t>NE46</t>
  </si>
  <si>
    <t>400 TECHNOLOGY SQUARE</t>
  </si>
  <si>
    <t>NE47</t>
  </si>
  <si>
    <t>500 TECHNOLOGY SQUARE</t>
  </si>
  <si>
    <t>NE49</t>
  </si>
  <si>
    <t>600 TECHNOLOGY SQUARE</t>
  </si>
  <si>
    <t>NW86</t>
  </si>
  <si>
    <t>70 PACIFIC STREET DORMITORY</t>
  </si>
  <si>
    <t>NE48</t>
  </si>
  <si>
    <t>700 TECHNOLOGY SQUARE</t>
  </si>
  <si>
    <t>N4</t>
  </si>
  <si>
    <t>ALBANY GARAGE</t>
  </si>
  <si>
    <t>NW20</t>
  </si>
  <si>
    <t>ALBANY ST GENERATOR SHELTER</t>
  </si>
  <si>
    <t>62</t>
  </si>
  <si>
    <t>ALUMNI HOUSES: MUNROE HAYDEN WOOD</t>
  </si>
  <si>
    <t>NW35</t>
  </si>
  <si>
    <t>ASHDOWN HOUSE</t>
  </si>
  <si>
    <t>E70</t>
  </si>
  <si>
    <t>BADGER BUILDING</t>
  </si>
  <si>
    <t>39</t>
  </si>
  <si>
    <t>BROWN BUILDING</t>
  </si>
  <si>
    <t>24</t>
  </si>
  <si>
    <t>BUILDING 24</t>
  </si>
  <si>
    <t>NE83</t>
  </si>
  <si>
    <t>BUILDING 300</t>
  </si>
  <si>
    <t>41</t>
  </si>
  <si>
    <t>BUILDING 41</t>
  </si>
  <si>
    <t>6C</t>
  </si>
  <si>
    <t>BUILDING 6C</t>
  </si>
  <si>
    <t>8</t>
  </si>
  <si>
    <t>BUILDING 8</t>
  </si>
  <si>
    <t>E14</t>
  </si>
  <si>
    <t>BUILDING E14</t>
  </si>
  <si>
    <t>E37</t>
  </si>
  <si>
    <t>BUILDING E37</t>
  </si>
  <si>
    <t>E38</t>
  </si>
  <si>
    <t>BUILDING E38</t>
  </si>
  <si>
    <t>E62</t>
  </si>
  <si>
    <t>BUILDING E62</t>
  </si>
  <si>
    <t>E94</t>
  </si>
  <si>
    <t>BUILDING E94</t>
  </si>
  <si>
    <t>EE19</t>
  </si>
  <si>
    <t>BUILDING EE19</t>
  </si>
  <si>
    <t>N16A</t>
  </si>
  <si>
    <t>BUILDING N16A</t>
  </si>
  <si>
    <t>N16C</t>
  </si>
  <si>
    <t>BUILDING N16C</t>
  </si>
  <si>
    <t>N50</t>
  </si>
  <si>
    <t>BUILDING N50</t>
  </si>
  <si>
    <t>N51</t>
  </si>
  <si>
    <t>BUILDING N51</t>
  </si>
  <si>
    <t>N57</t>
  </si>
  <si>
    <t>BUILDING N57</t>
  </si>
  <si>
    <t>NE103</t>
  </si>
  <si>
    <t>BUILDING NE103</t>
  </si>
  <si>
    <t>NE36</t>
  </si>
  <si>
    <t>BUILDING NE36</t>
  </si>
  <si>
    <t>NW13</t>
  </si>
  <si>
    <t>BUILDING NW13</t>
  </si>
  <si>
    <t>NW23</t>
  </si>
  <si>
    <t>BUILDING NW23</t>
  </si>
  <si>
    <t>NW30</t>
  </si>
  <si>
    <t>BUILDING NW30</t>
  </si>
  <si>
    <t>NW32</t>
  </si>
  <si>
    <t>BUILDING NW32</t>
  </si>
  <si>
    <t>NW36</t>
  </si>
  <si>
    <t>BUILDING NW36</t>
  </si>
  <si>
    <t>NW38</t>
  </si>
  <si>
    <t>BUILDING NW38</t>
  </si>
  <si>
    <t>NW38A</t>
  </si>
  <si>
    <t>BUILDING NW38A</t>
  </si>
  <si>
    <t>NW98</t>
  </si>
  <si>
    <t>BUILDING NW98</t>
  </si>
  <si>
    <t>W2</t>
  </si>
  <si>
    <t>BUILDING W2</t>
  </si>
  <si>
    <t>W41</t>
  </si>
  <si>
    <t>BUILDING W41</t>
  </si>
  <si>
    <t>W46</t>
  </si>
  <si>
    <t>BUILDING W46</t>
  </si>
  <si>
    <t>W97</t>
  </si>
  <si>
    <t>BUILDING W97</t>
  </si>
  <si>
    <t>WW15</t>
  </si>
  <si>
    <t>BUILDING WW15</t>
  </si>
  <si>
    <t>W51</t>
  </si>
  <si>
    <t>BURTON-CONNER HOUSE</t>
  </si>
  <si>
    <t>13</t>
  </si>
  <si>
    <t>BUSH BUILDING</t>
  </si>
  <si>
    <t>42</t>
  </si>
  <si>
    <t>COGENERATION PLANT</t>
  </si>
  <si>
    <t>42C</t>
  </si>
  <si>
    <t>COGENERATION PLANT EXPANSION</t>
  </si>
  <si>
    <t>26</t>
  </si>
  <si>
    <t>COMPTON LABORATORIES</t>
  </si>
  <si>
    <t>N16</t>
  </si>
  <si>
    <t>COOLING TOWER &amp; OIL RESERVE</t>
  </si>
  <si>
    <t>44</t>
  </si>
  <si>
    <t>CYCLOTRON</t>
  </si>
  <si>
    <t>76</t>
  </si>
  <si>
    <t>D H KOCH IN FICR</t>
  </si>
  <si>
    <t>16</t>
  </si>
  <si>
    <t>DORRANCE BUILDING</t>
  </si>
  <si>
    <t>W31</t>
  </si>
  <si>
    <t>DU PONT ATHLETIC GYMNASIUM</t>
  </si>
  <si>
    <t>64</t>
  </si>
  <si>
    <t>EAST CAMPUS: WALCOTT BEMIS GOODALE</t>
  </si>
  <si>
    <t>6</t>
  </si>
  <si>
    <t>EASTMAN LABORATORIES</t>
  </si>
  <si>
    <t>NW10</t>
  </si>
  <si>
    <t>EDGERTON HOUSE</t>
  </si>
  <si>
    <t>34</t>
  </si>
  <si>
    <t>EG&amp;G EDUCATION CENTER</t>
  </si>
  <si>
    <t>36</t>
  </si>
  <si>
    <t>FAIRCHILD BUILDING (36)</t>
  </si>
  <si>
    <t>38</t>
  </si>
  <si>
    <t>FAIRCHILD BUILDING (38)</t>
  </si>
  <si>
    <t>W1</t>
  </si>
  <si>
    <t>FARIBORZ MASEEH HALL</t>
  </si>
  <si>
    <t>E18</t>
  </si>
  <si>
    <t>FORD BUILDING (E18)</t>
  </si>
  <si>
    <t>E19</t>
  </si>
  <si>
    <t>FORD BUILDING (E19)</t>
  </si>
  <si>
    <t>NW14</t>
  </si>
  <si>
    <t>FRANCIS BITTER MAGNET LAB (NW14)</t>
  </si>
  <si>
    <t>NW15</t>
  </si>
  <si>
    <t>FRANCIS BITTER MAGNET LAB (NW15)</t>
  </si>
  <si>
    <t>E1</t>
  </si>
  <si>
    <t>GRAY HOUSE</t>
  </si>
  <si>
    <t>33</t>
  </si>
  <si>
    <t>GUGGENHEIM LABORATORY</t>
  </si>
  <si>
    <t>W59</t>
  </si>
  <si>
    <t>HEINZ BUILDING</t>
  </si>
  <si>
    <t>N10</t>
  </si>
  <si>
    <t>HIGH VOLTAGE RESEARCH LAB</t>
  </si>
  <si>
    <t>11</t>
  </si>
  <si>
    <t>HOMBERG BUILDING</t>
  </si>
  <si>
    <t>W91</t>
  </si>
  <si>
    <t>INFORMATION SYSTEMS OPERATIONS</t>
  </si>
  <si>
    <t>W34</t>
  </si>
  <si>
    <t>JOHNSON ATHLETICS CENTER</t>
  </si>
  <si>
    <t>68</t>
  </si>
  <si>
    <t>KOCH BIOLOGY BUILDING</t>
  </si>
  <si>
    <t>66</t>
  </si>
  <si>
    <t>LANDAU BUILDING</t>
  </si>
  <si>
    <t>W61</t>
  </si>
  <si>
    <t>MACGREGOR HOUSE</t>
  </si>
  <si>
    <t>W4</t>
  </si>
  <si>
    <t>MCCORMICK HALL</t>
  </si>
  <si>
    <t>37</t>
  </si>
  <si>
    <t>MCNAIR BUILDING</t>
  </si>
  <si>
    <t>57</t>
  </si>
  <si>
    <t>MIT ALUMNI POOL</t>
  </si>
  <si>
    <t>W15</t>
  </si>
  <si>
    <t>MIT CHAPEL</t>
  </si>
  <si>
    <t>N52</t>
  </si>
  <si>
    <t>MIT MUSEUM</t>
  </si>
  <si>
    <t>12</t>
  </si>
  <si>
    <t>MIT.NANO</t>
  </si>
  <si>
    <t>E40</t>
  </si>
  <si>
    <t>MUCKLEY BUILDING</t>
  </si>
  <si>
    <t>W70</t>
  </si>
  <si>
    <t>NEW HOUSE</t>
  </si>
  <si>
    <t>W71</t>
  </si>
  <si>
    <t>NEXT HOUSE</t>
  </si>
  <si>
    <t>NW12</t>
  </si>
  <si>
    <t>NUCLEAR REACTOR LAB</t>
  </si>
  <si>
    <t>48</t>
  </si>
  <si>
    <t>PARSONS LABORATORY</t>
  </si>
  <si>
    <t>NW17</t>
  </si>
  <si>
    <t>PLASMA SCIENCE &amp; FUSION CENTER</t>
  </si>
  <si>
    <t>NW21</t>
  </si>
  <si>
    <t>NW16</t>
  </si>
  <si>
    <t>NW22</t>
  </si>
  <si>
    <t>NW61</t>
  </si>
  <si>
    <t>RANDOM HALL</t>
  </si>
  <si>
    <t>W11</t>
  </si>
  <si>
    <t>RELIGIOUS ACTIVITIES CENTER</t>
  </si>
  <si>
    <t>7A</t>
  </si>
  <si>
    <t>ROTCH LIBRARY EXTENSION</t>
  </si>
  <si>
    <t>9</t>
  </si>
  <si>
    <t>SAMUEL TAK LEE BUILDING</t>
  </si>
  <si>
    <t>W79</t>
  </si>
  <si>
    <t>SIMMONS HALL</t>
  </si>
  <si>
    <t>31</t>
  </si>
  <si>
    <t>SLOAN LABORATORIES</t>
  </si>
  <si>
    <t>35</t>
  </si>
  <si>
    <t>SLOAN LABORATORY</t>
  </si>
  <si>
    <t>6B</t>
  </si>
  <si>
    <t>SOLVENT STORAGE</t>
  </si>
  <si>
    <t>N9</t>
  </si>
  <si>
    <t>SUPERCONDUCTING TEST FACILITY</t>
  </si>
  <si>
    <t>W84</t>
  </si>
  <si>
    <t>TANG HALL</t>
  </si>
  <si>
    <t>W64</t>
  </si>
  <si>
    <t>THE DAVID H KOCH CHILDCARE CENTER</t>
  </si>
  <si>
    <t>50</t>
  </si>
  <si>
    <t>WALKER MEMORIAL</t>
  </si>
  <si>
    <t>W85DE</t>
  </si>
  <si>
    <t>WESTGATE (DE)</t>
  </si>
  <si>
    <t>W85FG</t>
  </si>
  <si>
    <t>WESTGATE (FG)</t>
  </si>
  <si>
    <t>56</t>
  </si>
  <si>
    <t>WHITAKER BUILDING</t>
  </si>
  <si>
    <t>7</t>
  </si>
  <si>
    <t>WILLIAM BARTON ROGERS BUILDING</t>
  </si>
  <si>
    <t>17</t>
  </si>
  <si>
    <t>WRIGHT BROTHERS WIND TUNNEL</t>
  </si>
  <si>
    <t>INPUT</t>
  </si>
  <si>
    <t>Select Building Name:</t>
  </si>
  <si>
    <t>Enter Min Depth:</t>
  </si>
  <si>
    <t>Enter Max Depth:</t>
  </si>
  <si>
    <t>or Enter Number:</t>
  </si>
  <si>
    <t>STORM #</t>
  </si>
  <si>
    <t>Total Perimeter</t>
  </si>
  <si>
    <t>Total Affected Length (ft)</t>
  </si>
  <si>
    <t>% Total Perimeter Affected</t>
  </si>
  <si>
    <t>07</t>
  </si>
  <si>
    <t>08</t>
  </si>
  <si>
    <t>09</t>
  </si>
  <si>
    <t>W53B</t>
  </si>
  <si>
    <t>DUPONT TENNIS COURTS (OFFICE)</t>
  </si>
  <si>
    <t>W5</t>
  </si>
  <si>
    <t>GREEN HALL</t>
  </si>
  <si>
    <t>W7</t>
  </si>
  <si>
    <t>BAKER HOUSE</t>
  </si>
  <si>
    <t>W53A</t>
  </si>
  <si>
    <t>CARR INDOOR TENNIS FACILITY (OFFICE)</t>
  </si>
  <si>
    <t>W53</t>
  </si>
  <si>
    <t>CARR INDOOR TENNIS FACILITY</t>
  </si>
  <si>
    <t>54</t>
  </si>
  <si>
    <t>GREEN BUILDING</t>
  </si>
  <si>
    <t>51</t>
  </si>
  <si>
    <t>WOOD SAILING PAVILION</t>
  </si>
  <si>
    <t>43</t>
  </si>
  <si>
    <t>POWER PLANT ANNEX</t>
  </si>
  <si>
    <t>E2</t>
  </si>
  <si>
    <t>SENIOR HOUSE</t>
  </si>
  <si>
    <t>W33</t>
  </si>
  <si>
    <t>ROCKWELL CAGE</t>
  </si>
  <si>
    <t>W8</t>
  </si>
  <si>
    <t>PIERCE BOATHOUSE</t>
  </si>
  <si>
    <t>W89</t>
  </si>
  <si>
    <t>MIT POLICE</t>
  </si>
  <si>
    <t>W85HJK</t>
  </si>
  <si>
    <t>WESTGATE (HJK)</t>
  </si>
  <si>
    <t>W85ABC</t>
  </si>
  <si>
    <t>WESTGATE (ABC)</t>
  </si>
  <si>
    <t>W85</t>
  </si>
  <si>
    <t>WESTGATE</t>
  </si>
  <si>
    <t>W92</t>
  </si>
  <si>
    <t>BUILDING W92</t>
  </si>
  <si>
    <t>5</t>
  </si>
  <si>
    <t>PRATT SCHOOL</t>
  </si>
  <si>
    <t>18</t>
  </si>
  <si>
    <t>DREYFUS BUILDING</t>
  </si>
  <si>
    <t>W51C</t>
  </si>
  <si>
    <t>405 MEMORIAL DRIVE</t>
  </si>
  <si>
    <t>N16B</t>
  </si>
  <si>
    <t>FIRE PUMP ROOM</t>
  </si>
  <si>
    <t>E90</t>
  </si>
  <si>
    <t>BUILDING E90</t>
  </si>
  <si>
    <t>NW12A</t>
  </si>
  <si>
    <t>BUILDING NW12A</t>
  </si>
  <si>
    <t>W55</t>
  </si>
  <si>
    <t>BUILDING W55</t>
  </si>
  <si>
    <t>W36</t>
  </si>
  <si>
    <t>BUILDING W36</t>
  </si>
  <si>
    <t>W51D</t>
  </si>
  <si>
    <t>BUILDING W51D</t>
  </si>
  <si>
    <t>W53G</t>
  </si>
  <si>
    <t>BUILDING W53G</t>
  </si>
  <si>
    <t>W53F</t>
  </si>
  <si>
    <t>BUILDING W53F</t>
  </si>
  <si>
    <t>W53E</t>
  </si>
  <si>
    <t>BUILDING W53E</t>
  </si>
  <si>
    <t>W53D</t>
  </si>
  <si>
    <t>CARR INDOOR TENNIS FACILITY(SVC)</t>
  </si>
  <si>
    <t>W53C</t>
  </si>
  <si>
    <t>BUILDING W53C</t>
  </si>
  <si>
    <t>W83</t>
  </si>
  <si>
    <t>BUILDING W83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</si>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</sst>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2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E6E6E6"/>
        <bgColor rgb="FFE6E6E6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000000"/>
      </bottom>
      <diagonal/>
    </border>
  </borders>
  <cellStyleXfs count="5">
    <xf numFmtId="0" fontId="0" fillId="0" borderId="0"/>
    <xf numFmtId="0" fontId="2" fillId="2" borderId="1">
      <alignment horizontal="left"/>
    </xf>
    <xf numFmtId="0" fontId="2" fillId="3" borderId="1">
      <alignment horizontal="left"/>
    </xf>
    <xf numFmtId="0" fontId="1" fillId="0" borderId="0"/>
    <xf numFmtId="9" fontId="6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/>
    <xf numFmtId="0" fontId="2" fillId="2" borderId="1" xfId="1" applyAlignment="1">
      <alignment horizontal="left"/>
    </xf>
    <xf numFmtId="0" fontId="1" fillId="0" borderId="0" xfId="3"/>
    <xf numFmtId="2" fontId="1" fillId="0" borderId="0" xfId="3" applyNumberForma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2" fontId="0" fillId="0" borderId="0" xfId="0" applyNumberFormat="1"/>
    <xf numFmtId="9" fontId="0" fillId="0" borderId="0" xfId="4" applyFont="1"/>
    <xf numFmtId="0" fontId="2" fillId="2" borderId="1" xfId="1">
      <alignment horizontal="left"/>
    </xf>
    <xf numFmtId="2" fontId="2" fillId="2" borderId="1" xfId="1" applyNumberFormat="1">
      <alignment horizontal="left"/>
    </xf>
    <xf numFmtId="0" fontId="0" fillId="0" borderId="0" xfId="0" applyNumberFormat="1"/>
    <xf numFmtId="2" fontId="2" fillId="2" borderId="1" xfId="1" applyNumberFormat="1" applyAlignment="1">
      <alignment horizontal="left"/>
    </xf>
    <xf numFmtId="2" fontId="3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</cellXfs>
  <cellStyles count="5">
    <cellStyle name="Normal" xfId="0" builtinId="0"/>
    <cellStyle name="Normal 2" xfId="3" xr:uid="{8402D77D-9D50-45F5-BB94-0D81910B16BD}"/>
    <cellStyle name="Percent" xfId="4" builtinId="5"/>
    <cellStyle name="Style0" xfId="1" xr:uid="{00000000-0005-0000-0000-000006000000}"/>
    <cellStyle name="Style0 2" xfId="2" xr:uid="{98845E6D-23B9-4123-AD28-94027D9EEB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Charts!$F$1</c:f>
          <c:strCache>
            <c:ptCount val="1"/>
            <c:pt idx="0">
              <c:v>COGENERATION PLANT EXPANSION % Affected Perimeter at Depths [0, 9] (ft)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Charts!$A$6:$A$13</c:f>
              <c:strCache>
                <c:ptCount val="8"/>
                <c:pt idx="0">
                  <c:v>07</c:v>
                </c:pt>
                <c:pt idx="1">
                  <c:v>08</c:v>
                </c:pt>
                <c:pt idx="2">
                  <c:v>09</c:v>
                </c:pt>
                <c:pt idx="3">
                  <c:v>10</c:v>
                </c:pt>
                <c:pt idx="4">
                  <c:v>11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</c:strCache>
            </c:strRef>
          </c:cat>
          <c:val>
            <c:numRef>
              <c:f>Charts!$F$6:$F$13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54-4EBE-A836-E1FD82858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-27"/>
        <c:axId val="398311472"/>
        <c:axId val="38327134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Charts!$A$6:$A$13</c15:sqref>
                        </c15:formulaRef>
                      </c:ext>
                    </c:extLst>
                    <c:strCache>
                      <c:ptCount val="8"/>
                      <c:pt idx="0">
                        <c:v>07</c:v>
                      </c:pt>
                      <c:pt idx="1">
                        <c:v>08</c:v>
                      </c:pt>
                      <c:pt idx="2">
                        <c:v>09</c:v>
                      </c:pt>
                      <c:pt idx="3">
                        <c:v>10</c:v>
                      </c:pt>
                      <c:pt idx="4">
                        <c:v>11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Charts!$A$6:$A$13</c15:sqref>
                        </c15:formulaRef>
                      </c:ext>
                    </c:extLst>
                    <c:numCache>
                      <c:formatCode>@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10</c:v>
                      </c:pt>
                      <c:pt idx="4">
                        <c:v>11</c:v>
                      </c:pt>
                      <c:pt idx="5">
                        <c:v>12</c:v>
                      </c:pt>
                      <c:pt idx="6">
                        <c:v>13</c:v>
                      </c:pt>
                      <c:pt idx="7">
                        <c:v>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954-4EBE-A836-E1FD82858AAE}"/>
                  </c:ext>
                </c:extLst>
              </c15:ser>
            </c15:filteredBarSeries>
          </c:ext>
        </c:extLst>
      </c:barChart>
      <c:catAx>
        <c:axId val="398311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STORM TYPE</a:t>
                </a:r>
              </a:p>
            </c:rich>
          </c:tx>
          <c:layout>
            <c:manualLayout>
              <c:xMode val="edge"/>
              <c:yMode val="edge"/>
              <c:x val="0.41359148881181956"/>
              <c:y val="0.90451158089914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271344"/>
        <c:crosses val="autoZero"/>
        <c:auto val="1"/>
        <c:lblAlgn val="ctr"/>
        <c:lblOffset val="100"/>
        <c:noMultiLvlLbl val="0"/>
      </c:catAx>
      <c:valAx>
        <c:axId val="38327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1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316512</xdr:colOff>
      <xdr:row>13</xdr:row>
      <xdr:rowOff>154216</xdr:rowOff>
    </xdr:from>
    <xdr:to>
      <xdr:col>5</xdr:col>
      <xdr:colOff>133216</xdr:colOff>
      <xdr:row>35</xdr:row>
      <xdr:rowOff>103070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3823EA-8273-431E-936F-A931B2B87B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47E8D-9C77-48A9-91F7-AA6DD62FD1E0}">
  <sheetPr codeName="Sheet10"/>
  <dimension ref="A1:G13"/>
  <sheetViews>
    <sheetView tabSelected="1" zoomScale="122" workbookViewId="0">
      <selection activeCell="C1" sqref="C1"/>
    </sheetView>
  </sheetViews>
  <sheetFormatPr defaultRowHeight="12.75" x14ac:dyDescent="0.35"/>
  <cols>
    <col min="1" max="1" width="8.265625" bestFit="1" customWidth="1"/>
    <col min="2" max="2" width="18.59765625" bestFit="1" customWidth="1"/>
    <col min="3" max="3" width="21.53125" bestFit="1" customWidth="1"/>
    <col min="4" max="4" width="23.06640625" bestFit="1" customWidth="1"/>
    <col min="5" max="5" width="25.19921875" bestFit="1" customWidth="1"/>
    <col min="6" max="6" width="28.86328125" customWidth="1"/>
  </cols>
  <sheetData>
    <row r="1" spans="1:7" ht="14.25" customHeight="1" x14ac:dyDescent="0.45">
      <c r="A1" s="5" t="s">
        <v>346</v>
      </c>
      <c r="B1" s="6" t="s">
        <v>347</v>
      </c>
      <c r="C1" t="s">
        <v>230</v>
      </c>
      <c r="D1" s="7" t="s">
        <v>350</v>
      </c>
      <c r="E1" t="s">
        <v>149</v>
      </c>
      <c r="F1" s="18" t="str" cm="1">
        <f t="array" ref="F1">getTitle(C1,E1,C2,C3)</f>
        <v>COGENERATION PLANT EXPANSION % Affected Perimeter at Depths [0, 9] (ft)</v>
      </c>
      <c r="G1" s="18"/>
    </row>
    <row r="2" spans="1:7" ht="14.25" x14ac:dyDescent="0.45">
      <c r="A2" s="5" t="s">
        <v>346</v>
      </c>
      <c r="B2" s="6" t="s">
        <v>348</v>
      </c>
      <c r="C2">
        <v>0</v>
      </c>
      <c r="F2" s="18"/>
      <c r="G2" s="18"/>
    </row>
    <row r="3" spans="1:7" ht="14.25" x14ac:dyDescent="0.45">
      <c r="A3" s="5" t="s">
        <v>346</v>
      </c>
      <c r="B3" s="6" t="s">
        <v>349</v>
      </c>
      <c r="C3">
        <v>9</v>
      </c>
      <c r="F3" s="17"/>
    </row>
    <row r="5" spans="1:7" ht="14.25" x14ac:dyDescent="0.45">
      <c r="A5" s="8" t="s">
        <v>351</v>
      </c>
      <c r="B5" s="8" t="s">
        <v>352</v>
      </c>
      <c r="C5" s="8" t="s">
        <v>353</v>
      </c>
      <c r="D5" s="8" t="s">
        <v>354</v>
      </c>
      <c r="E5" s="8" t="str">
        <f>_xlfn.CONCAT("Affected Length at [", C2,", ",C3,"] (ft)")</f>
        <v>Affected Length at [0, 9] (ft)</v>
      </c>
      <c r="F5" s="8" t="str">
        <f>_xlfn.CONCAT("% Perimeter at depth [",C2,", ",C3,"] (ft)")</f>
        <v>% Perimeter at depth [0, 9] (ft)</v>
      </c>
    </row>
    <row r="6" spans="1:7" x14ac:dyDescent="0.35">
      <c r="A6" s="9" t="s">
        <v>355</v>
      </c>
      <c r="B6" s="10">
        <f>VLOOKUP(C1,'Building Values'!B2:E128,4)</f>
        <v>826.88063659071952</v>
      </c>
      <c r="C6" s="10" cm="1">
        <f t="array" ref="C6">totalAffected(C1,E1,'07'!E:E,'07'!D:D,'07'!AQ:AQ)</f>
        <v>0</v>
      </c>
      <c r="D6" s="11">
        <f>C6/B6</f>
        <v>0</v>
      </c>
      <c r="E6" s="10" cm="1">
        <f t="array" ref="E6">depthAffected(C1,E1,C2,C3,'07'!E:E,'07'!D:D,'07'!X:X,'07'!AQ:AQ)</f>
        <v>0</v>
      </c>
      <c r="F6" s="11">
        <f>E6/B6</f>
        <v>0</v>
      </c>
    </row>
    <row r="7" spans="1:7" x14ac:dyDescent="0.35">
      <c r="A7" s="9" t="s">
        <v>356</v>
      </c>
      <c r="B7" s="10">
        <f>B6</f>
        <v>826.88063659071952</v>
      </c>
      <c r="C7" s="10" cm="1">
        <f t="array" ref="C7">totalAffected(C1,E1,'08'!E:E,'08'!D:D,'08'!AQ:AQ)</f>
        <v>0</v>
      </c>
      <c r="D7" s="11">
        <f t="shared" ref="D7:D13" si="0">C7/B7</f>
        <v>0</v>
      </c>
      <c r="E7" s="10" cm="1">
        <f t="array" ref="E7">depthAffected(C1,E1,C2,C3,'08'!E:E,'08'!D:D,'08'!X:X,'08'!AQ:AQ)</f>
        <v>0</v>
      </c>
      <c r="F7" s="11">
        <f t="shared" ref="F7:F13" si="1">E7/B7</f>
        <v>0</v>
      </c>
    </row>
    <row r="8" spans="1:7" x14ac:dyDescent="0.35">
      <c r="A8" s="9" t="s">
        <v>357</v>
      </c>
      <c r="B8" s="10">
        <f t="shared" ref="B8:B13" si="2">B7</f>
        <v>826.88063659071952</v>
      </c>
      <c r="C8" s="10" cm="1">
        <f t="array" ref="C8">totalAffected(C1,E1,'09'!E:E,'09'!D:D,'09'!AQ:AQ)</f>
        <v>0</v>
      </c>
      <c r="D8" s="11">
        <f t="shared" si="0"/>
        <v>0</v>
      </c>
      <c r="E8" s="10" cm="1">
        <f t="array" ref="E8">depthAffected(C1,E1,C2,C3,'09'!E:E,'09'!D:D,'09'!X:X,'09'!AQ:AQ)</f>
        <v>0</v>
      </c>
      <c r="F8" s="11">
        <f t="shared" si="1"/>
        <v>0</v>
      </c>
    </row>
    <row r="9" spans="1:7" x14ac:dyDescent="0.35">
      <c r="A9" s="9">
        <v>10</v>
      </c>
      <c r="B9" s="10">
        <f t="shared" si="2"/>
        <v>826.88063659071952</v>
      </c>
      <c r="C9" s="10" cm="1">
        <f t="array" ref="C9">totalAffected(C1,E1,'10'!E:E,'10'!D:D,'10'!AQ:AQ)</f>
        <v>0</v>
      </c>
      <c r="D9" s="11">
        <f t="shared" si="0"/>
        <v>0</v>
      </c>
      <c r="E9" s="10" cm="1">
        <f t="array" ref="E9">depthAffected(C1,E1,C2,C3,'10'!E:E,'10'!D:D,'10'!X:X,'10'!AQ:AQ)</f>
        <v>0</v>
      </c>
      <c r="F9" s="11">
        <f t="shared" si="1"/>
        <v>0</v>
      </c>
    </row>
    <row r="10" spans="1:7" x14ac:dyDescent="0.35">
      <c r="A10" s="9">
        <v>11</v>
      </c>
      <c r="B10" s="10">
        <f t="shared" si="2"/>
        <v>826.88063659071952</v>
      </c>
      <c r="C10" s="10" cm="1">
        <f t="array" ref="C10">totalAffected(C1,E1,'11'!E:E,'11'!D:D,'11'!AQ:AQ)</f>
        <v>0</v>
      </c>
      <c r="D10" s="11">
        <f t="shared" si="0"/>
        <v>0</v>
      </c>
      <c r="E10" s="10" cm="1">
        <f t="array" ref="E10">depthAffected(C1,E1,C2,C3,'11'!E:E,'11'!D:D,'11'!X:X,'11'!AQ:AQ)</f>
        <v>0</v>
      </c>
      <c r="F10" s="11">
        <f t="shared" si="1"/>
        <v>0</v>
      </c>
    </row>
    <row r="11" spans="1:7" x14ac:dyDescent="0.35">
      <c r="A11" s="9">
        <v>12</v>
      </c>
      <c r="B11" s="10">
        <f t="shared" si="2"/>
        <v>826.88063659071952</v>
      </c>
      <c r="C11" s="10" cm="1">
        <f t="array" ref="C11">totalAffected(C1,E1,'12'!E:E,'12'!D:D,'12'!AQ:AQ)</f>
        <v>0</v>
      </c>
      <c r="D11" s="11">
        <f t="shared" si="0"/>
        <v>0</v>
      </c>
      <c r="E11" s="10" cm="1">
        <f t="array" ref="E11">depthAffected(C1,E1,C2,C3,'12'!E:E,'12'!D:D,'12'!X:X,'12'!AQ:AQ)</f>
        <v>0</v>
      </c>
      <c r="F11" s="11">
        <f t="shared" si="1"/>
        <v>0</v>
      </c>
    </row>
    <row r="12" spans="1:7" x14ac:dyDescent="0.35">
      <c r="A12" s="9">
        <v>13</v>
      </c>
      <c r="B12" s="10">
        <f t="shared" si="2"/>
        <v>826.88063659071952</v>
      </c>
      <c r="C12" s="10" cm="1">
        <f t="array" ref="C12">totalAffected(C1,E1,'13'!E:E,'13'!D:D,'13'!AQ:AQ)</f>
        <v>0</v>
      </c>
      <c r="D12" s="11">
        <f t="shared" si="0"/>
        <v>0</v>
      </c>
      <c r="E12" s="10" cm="1">
        <f t="array" ref="E12">depthAffected(C1,E1,C2,C3,'13'!E:E,'13'!D:D,'13'!X:X,'13'!AQ:AQ)</f>
        <v>0</v>
      </c>
      <c r="F12" s="11">
        <f t="shared" si="1"/>
        <v>0</v>
      </c>
    </row>
    <row r="13" spans="1:7" x14ac:dyDescent="0.35">
      <c r="A13" s="9">
        <v>14</v>
      </c>
      <c r="B13" s="10">
        <f t="shared" si="2"/>
        <v>826.88063659071952</v>
      </c>
      <c r="C13" s="10" cm="1">
        <f t="array" ref="C13">totalAffected(C1,E1,'14'!E:E,'14'!D:D,'14'!AQ:AQ)</f>
        <v>0</v>
      </c>
      <c r="D13" s="11">
        <f t="shared" si="0"/>
        <v>0</v>
      </c>
      <c r="E13" s="10" cm="1">
        <f t="array" ref="E13">depthAffected(C1,E1,C2,C3,'14'!E:E,'14'!D:D,'14'!X:X,'14'!AQ:AQ)</f>
        <v>0</v>
      </c>
      <c r="F13" s="11">
        <f t="shared" si="1"/>
        <v>0</v>
      </c>
    </row>
  </sheetData>
  <mergeCells count="1">
    <mergeCell ref="F1:G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24742C-14D6-4B3D-8FCD-021ED3D6317B}">
          <x14:formula1>
            <xm:f>'Building Values'!$B$2:$B$164</xm:f>
          </x14:formula1>
          <xm:sqref>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FEA14-BDFA-4C50-96E2-3B567E2A1F47}">
  <sheetPr codeName="Sheet9"/>
  <dimension ref="A1:E164"/>
  <sheetViews>
    <sheetView topLeftCell="A54" zoomScale="121" workbookViewId="0">
      <selection activeCell="A87" sqref="A87"/>
    </sheetView>
  </sheetViews>
  <sheetFormatPr defaultRowHeight="14.25" x14ac:dyDescent="0.45"/>
  <cols>
    <col min="1" max="1" width="8.33203125" style="3" bestFit="1" customWidth="1"/>
    <col min="2" max="2" width="39.73046875" style="3" bestFit="1" customWidth="1"/>
    <col min="3" max="3" width="10.3984375" style="3" bestFit="1" customWidth="1"/>
    <col min="4" max="4" width="10.265625" style="3" customWidth="1"/>
    <col min="5" max="5" width="16" style="4" customWidth="1"/>
    <col min="6" max="16384" width="9.06640625" style="3"/>
  </cols>
  <sheetData>
    <row r="1" spans="1:5" ht="16.149999999999999" thickBot="1" x14ac:dyDescent="0.55000000000000004">
      <c r="A1" s="12" t="s">
        <v>3</v>
      </c>
      <c r="B1" s="12" t="s">
        <v>4</v>
      </c>
      <c r="C1" s="12" t="s">
        <v>6</v>
      </c>
      <c r="D1" s="12" t="s">
        <v>8</v>
      </c>
      <c r="E1" s="13" t="s">
        <v>131</v>
      </c>
    </row>
    <row r="2" spans="1:5" x14ac:dyDescent="0.45">
      <c r="A2" t="s">
        <v>132</v>
      </c>
      <c r="B2" t="s">
        <v>132</v>
      </c>
      <c r="C2" t="s">
        <v>132</v>
      </c>
      <c r="D2">
        <v>0</v>
      </c>
      <c r="E2" s="14">
        <v>0</v>
      </c>
    </row>
    <row r="3" spans="1:5" x14ac:dyDescent="0.45">
      <c r="A3" t="s">
        <v>133</v>
      </c>
      <c r="B3" t="s">
        <v>134</v>
      </c>
      <c r="C3" t="s">
        <v>46</v>
      </c>
      <c r="D3">
        <v>630</v>
      </c>
      <c r="E3" s="10">
        <v>633.84183699306436</v>
      </c>
    </row>
    <row r="4" spans="1:5" x14ac:dyDescent="0.45">
      <c r="A4" t="s">
        <v>135</v>
      </c>
      <c r="B4" t="s">
        <v>136</v>
      </c>
      <c r="C4" t="s">
        <v>54</v>
      </c>
      <c r="D4">
        <v>777</v>
      </c>
      <c r="E4" s="10">
        <v>783.16824197506787</v>
      </c>
    </row>
    <row r="5" spans="1:5" x14ac:dyDescent="0.45">
      <c r="A5" t="s">
        <v>137</v>
      </c>
      <c r="B5" t="s">
        <v>138</v>
      </c>
      <c r="C5" t="s">
        <v>46</v>
      </c>
      <c r="D5">
        <v>766</v>
      </c>
      <c r="E5" s="10">
        <v>769.62845741888839</v>
      </c>
    </row>
    <row r="6" spans="1:5" x14ac:dyDescent="0.45">
      <c r="A6" t="s">
        <v>139</v>
      </c>
      <c r="B6" t="s">
        <v>140</v>
      </c>
      <c r="C6" t="s">
        <v>46</v>
      </c>
      <c r="D6">
        <v>637</v>
      </c>
      <c r="E6" s="10">
        <v>642.41526591857928</v>
      </c>
    </row>
    <row r="7" spans="1:5" x14ac:dyDescent="0.45">
      <c r="A7" t="s">
        <v>394</v>
      </c>
      <c r="B7" t="s">
        <v>395</v>
      </c>
      <c r="C7" t="s">
        <v>91</v>
      </c>
      <c r="D7">
        <v>258</v>
      </c>
      <c r="E7" s="10">
        <v>261.8321777218236</v>
      </c>
    </row>
    <row r="8" spans="1:5" x14ac:dyDescent="0.45">
      <c r="A8" t="s">
        <v>141</v>
      </c>
      <c r="B8" t="s">
        <v>142</v>
      </c>
      <c r="C8" t="s">
        <v>46</v>
      </c>
      <c r="D8">
        <v>605</v>
      </c>
      <c r="E8" s="10">
        <v>611.10121171745243</v>
      </c>
    </row>
    <row r="9" spans="1:5" x14ac:dyDescent="0.45">
      <c r="A9" t="s">
        <v>143</v>
      </c>
      <c r="B9" t="s">
        <v>144</v>
      </c>
      <c r="C9" t="s">
        <v>54</v>
      </c>
      <c r="D9">
        <v>798</v>
      </c>
      <c r="E9" s="10">
        <v>802.33491636921508</v>
      </c>
    </row>
    <row r="10" spans="1:5" x14ac:dyDescent="0.45">
      <c r="A10" t="s">
        <v>145</v>
      </c>
      <c r="B10" t="s">
        <v>146</v>
      </c>
      <c r="C10" t="s">
        <v>91</v>
      </c>
      <c r="D10">
        <v>2056</v>
      </c>
      <c r="E10" s="10">
        <v>2045.410812000212</v>
      </c>
    </row>
    <row r="11" spans="1:5" x14ac:dyDescent="0.45">
      <c r="A11" t="s">
        <v>147</v>
      </c>
      <c r="B11" t="s">
        <v>148</v>
      </c>
      <c r="C11" t="s">
        <v>46</v>
      </c>
      <c r="D11">
        <v>433</v>
      </c>
      <c r="E11" s="10">
        <v>438.98001911843488</v>
      </c>
    </row>
    <row r="12" spans="1:5" x14ac:dyDescent="0.45">
      <c r="A12" t="s">
        <v>149</v>
      </c>
      <c r="B12" t="s">
        <v>150</v>
      </c>
      <c r="C12" t="s">
        <v>54</v>
      </c>
      <c r="D12">
        <v>830</v>
      </c>
      <c r="E12" s="10">
        <v>832.7660974174571</v>
      </c>
    </row>
    <row r="13" spans="1:5" x14ac:dyDescent="0.45">
      <c r="A13" t="s">
        <v>151</v>
      </c>
      <c r="B13" t="s">
        <v>152</v>
      </c>
      <c r="C13" t="s">
        <v>46</v>
      </c>
      <c r="D13">
        <v>307</v>
      </c>
      <c r="E13" s="10">
        <v>312.52635989160842</v>
      </c>
    </row>
    <row r="14" spans="1:5" x14ac:dyDescent="0.45">
      <c r="A14" t="s">
        <v>153</v>
      </c>
      <c r="B14" t="s">
        <v>154</v>
      </c>
      <c r="C14" t="s">
        <v>91</v>
      </c>
      <c r="D14">
        <v>713</v>
      </c>
      <c r="E14" s="10">
        <v>717.83993462988133</v>
      </c>
    </row>
    <row r="15" spans="1:5" x14ac:dyDescent="0.45">
      <c r="A15" t="s">
        <v>128</v>
      </c>
      <c r="B15" t="s">
        <v>129</v>
      </c>
      <c r="C15" t="s">
        <v>46</v>
      </c>
      <c r="D15">
        <v>424</v>
      </c>
      <c r="E15" s="10">
        <v>429.38269686393841</v>
      </c>
    </row>
    <row r="16" spans="1:5" x14ac:dyDescent="0.45">
      <c r="A16" t="s">
        <v>155</v>
      </c>
      <c r="B16" t="s">
        <v>156</v>
      </c>
      <c r="C16" t="s">
        <v>91</v>
      </c>
      <c r="D16">
        <v>2416</v>
      </c>
      <c r="E16" s="10">
        <v>2413.9723378471922</v>
      </c>
    </row>
    <row r="17" spans="1:5" x14ac:dyDescent="0.45">
      <c r="A17" t="s">
        <v>157</v>
      </c>
      <c r="B17" t="s">
        <v>158</v>
      </c>
      <c r="C17" t="s">
        <v>54</v>
      </c>
      <c r="D17">
        <v>925</v>
      </c>
      <c r="E17" s="10">
        <v>930.14026629501905</v>
      </c>
    </row>
    <row r="18" spans="1:5" x14ac:dyDescent="0.45">
      <c r="A18" t="s">
        <v>362</v>
      </c>
      <c r="B18" t="s">
        <v>363</v>
      </c>
      <c r="C18" t="s">
        <v>91</v>
      </c>
      <c r="D18">
        <v>1116</v>
      </c>
      <c r="E18" s="10">
        <v>1112.0041364028791</v>
      </c>
    </row>
    <row r="19" spans="1:5" x14ac:dyDescent="0.45">
      <c r="A19" t="s">
        <v>92</v>
      </c>
      <c r="B19" t="s">
        <v>93</v>
      </c>
      <c r="C19" t="s">
        <v>46</v>
      </c>
      <c r="D19">
        <v>1579</v>
      </c>
      <c r="E19" s="10">
        <v>1558.9927634687319</v>
      </c>
    </row>
    <row r="20" spans="1:5" x14ac:dyDescent="0.45">
      <c r="A20" t="s">
        <v>159</v>
      </c>
      <c r="B20" t="s">
        <v>160</v>
      </c>
      <c r="C20" t="s">
        <v>46</v>
      </c>
      <c r="D20">
        <v>469</v>
      </c>
      <c r="E20" s="10">
        <v>474.20731878575123</v>
      </c>
    </row>
    <row r="21" spans="1:5" x14ac:dyDescent="0.45">
      <c r="A21" t="s">
        <v>161</v>
      </c>
      <c r="B21" t="s">
        <v>162</v>
      </c>
      <c r="C21" t="s">
        <v>46</v>
      </c>
      <c r="D21">
        <v>763</v>
      </c>
      <c r="E21" s="10">
        <v>768.03509221843092</v>
      </c>
    </row>
    <row r="22" spans="1:5" x14ac:dyDescent="0.45">
      <c r="A22" t="s">
        <v>163</v>
      </c>
      <c r="B22" t="s">
        <v>164</v>
      </c>
      <c r="C22" t="s">
        <v>46</v>
      </c>
      <c r="D22">
        <v>514</v>
      </c>
      <c r="E22" s="10">
        <v>520.07279283991147</v>
      </c>
    </row>
    <row r="23" spans="1:5" x14ac:dyDescent="0.45">
      <c r="A23" t="s">
        <v>165</v>
      </c>
      <c r="B23" t="s">
        <v>166</v>
      </c>
      <c r="C23" t="s">
        <v>46</v>
      </c>
      <c r="D23">
        <v>388</v>
      </c>
      <c r="E23" s="10">
        <v>393.11894775249061</v>
      </c>
    </row>
    <row r="24" spans="1:5" x14ac:dyDescent="0.45">
      <c r="A24" t="s">
        <v>167</v>
      </c>
      <c r="B24" t="s">
        <v>168</v>
      </c>
      <c r="C24" t="s">
        <v>46</v>
      </c>
      <c r="D24">
        <v>501</v>
      </c>
      <c r="E24" s="10">
        <v>504.43554349492177</v>
      </c>
    </row>
    <row r="25" spans="1:5" x14ac:dyDescent="0.45">
      <c r="A25" t="s">
        <v>169</v>
      </c>
      <c r="B25" t="s">
        <v>170</v>
      </c>
      <c r="C25" t="s">
        <v>46</v>
      </c>
      <c r="D25">
        <v>529</v>
      </c>
      <c r="E25" s="10">
        <v>535.22893462201591</v>
      </c>
    </row>
    <row r="26" spans="1:5" x14ac:dyDescent="0.45">
      <c r="A26" t="s">
        <v>171</v>
      </c>
      <c r="B26" t="s">
        <v>172</v>
      </c>
      <c r="C26" t="s">
        <v>46</v>
      </c>
      <c r="D26">
        <v>695</v>
      </c>
      <c r="E26" s="10">
        <v>699.41098602000773</v>
      </c>
    </row>
    <row r="27" spans="1:5" x14ac:dyDescent="0.45">
      <c r="A27" t="s">
        <v>173</v>
      </c>
      <c r="B27" t="s">
        <v>174</v>
      </c>
      <c r="C27" t="s">
        <v>420</v>
      </c>
      <c r="D27">
        <v>681</v>
      </c>
      <c r="E27" s="10">
        <v>683.88553344922923</v>
      </c>
    </row>
    <row r="28" spans="1:5" x14ac:dyDescent="0.45">
      <c r="A28" t="s">
        <v>175</v>
      </c>
      <c r="B28" t="s">
        <v>176</v>
      </c>
      <c r="C28" t="s">
        <v>420</v>
      </c>
      <c r="D28">
        <v>800</v>
      </c>
      <c r="E28" s="10">
        <v>802.25193931728813</v>
      </c>
    </row>
    <row r="29" spans="1:5" x14ac:dyDescent="0.45">
      <c r="A29" t="s">
        <v>177</v>
      </c>
      <c r="B29" t="s">
        <v>178</v>
      </c>
      <c r="C29" t="s">
        <v>46</v>
      </c>
      <c r="D29">
        <v>1305</v>
      </c>
      <c r="E29" s="10">
        <v>1304.3838364890321</v>
      </c>
    </row>
    <row r="30" spans="1:5" x14ac:dyDescent="0.45">
      <c r="A30" t="s">
        <v>398</v>
      </c>
      <c r="B30" t="s">
        <v>399</v>
      </c>
      <c r="C30" t="s">
        <v>46</v>
      </c>
      <c r="D30">
        <v>824</v>
      </c>
      <c r="E30" s="10">
        <v>829.2353291289902</v>
      </c>
    </row>
    <row r="31" spans="1:5" x14ac:dyDescent="0.45">
      <c r="A31" t="s">
        <v>179</v>
      </c>
      <c r="B31" t="s">
        <v>180</v>
      </c>
      <c r="C31" t="s">
        <v>46</v>
      </c>
      <c r="D31">
        <v>1328</v>
      </c>
      <c r="E31" s="10">
        <v>1323.524184852876</v>
      </c>
    </row>
    <row r="32" spans="1:5" x14ac:dyDescent="0.45">
      <c r="A32" t="s">
        <v>181</v>
      </c>
      <c r="B32" t="s">
        <v>182</v>
      </c>
      <c r="C32" t="s">
        <v>46</v>
      </c>
      <c r="D32">
        <v>1359</v>
      </c>
      <c r="E32" s="10">
        <v>1362.469252849575</v>
      </c>
    </row>
    <row r="33" spans="1:5" x14ac:dyDescent="0.45">
      <c r="A33" t="s">
        <v>183</v>
      </c>
      <c r="B33" t="s">
        <v>184</v>
      </c>
      <c r="C33" t="s">
        <v>54</v>
      </c>
      <c r="D33">
        <v>305</v>
      </c>
      <c r="E33" s="10">
        <v>311.20628930688838</v>
      </c>
    </row>
    <row r="34" spans="1:5" x14ac:dyDescent="0.45">
      <c r="A34" t="s">
        <v>185</v>
      </c>
      <c r="B34" t="s">
        <v>186</v>
      </c>
      <c r="C34" t="s">
        <v>54</v>
      </c>
      <c r="D34">
        <v>215</v>
      </c>
      <c r="E34" s="10">
        <v>220.1014524149933</v>
      </c>
    </row>
    <row r="35" spans="1:5" x14ac:dyDescent="0.45">
      <c r="A35" t="s">
        <v>187</v>
      </c>
      <c r="B35" t="s">
        <v>188</v>
      </c>
      <c r="C35" t="s">
        <v>54</v>
      </c>
      <c r="D35">
        <v>271</v>
      </c>
      <c r="E35" s="10">
        <v>276.74051819487278</v>
      </c>
    </row>
    <row r="36" spans="1:5" x14ac:dyDescent="0.45">
      <c r="A36" t="s">
        <v>189</v>
      </c>
      <c r="B36" t="s">
        <v>190</v>
      </c>
      <c r="C36" t="s">
        <v>46</v>
      </c>
      <c r="D36">
        <v>807</v>
      </c>
      <c r="E36" s="10">
        <v>811.21300826413938</v>
      </c>
    </row>
    <row r="37" spans="1:5" x14ac:dyDescent="0.45">
      <c r="A37" t="s">
        <v>191</v>
      </c>
      <c r="B37" t="s">
        <v>192</v>
      </c>
      <c r="C37" t="s">
        <v>54</v>
      </c>
      <c r="D37">
        <v>481</v>
      </c>
      <c r="E37" s="10">
        <v>487.6075921497187</v>
      </c>
    </row>
    <row r="38" spans="1:5" x14ac:dyDescent="0.45">
      <c r="A38" t="s">
        <v>193</v>
      </c>
      <c r="B38" t="s">
        <v>194</v>
      </c>
      <c r="C38" t="s">
        <v>46</v>
      </c>
      <c r="D38">
        <v>967</v>
      </c>
      <c r="E38" s="10">
        <v>971.83311430100127</v>
      </c>
    </row>
    <row r="39" spans="1:5" x14ac:dyDescent="0.45">
      <c r="A39" t="s">
        <v>195</v>
      </c>
      <c r="B39" t="s">
        <v>196</v>
      </c>
      <c r="C39" t="s">
        <v>46</v>
      </c>
      <c r="D39">
        <v>611</v>
      </c>
      <c r="E39" s="10">
        <v>616.9845563263807</v>
      </c>
    </row>
    <row r="40" spans="1:5" x14ac:dyDescent="0.45">
      <c r="A40" t="s">
        <v>400</v>
      </c>
      <c r="B40" t="s">
        <v>401</v>
      </c>
      <c r="C40" t="s">
        <v>46</v>
      </c>
      <c r="D40">
        <v>88</v>
      </c>
      <c r="E40" s="10">
        <v>94.082638130975141</v>
      </c>
    </row>
    <row r="41" spans="1:5" x14ac:dyDescent="0.45">
      <c r="A41" t="s">
        <v>197</v>
      </c>
      <c r="B41" t="s">
        <v>198</v>
      </c>
      <c r="C41" t="s">
        <v>46</v>
      </c>
      <c r="D41">
        <v>608</v>
      </c>
      <c r="E41" s="10">
        <v>613.38856953913501</v>
      </c>
    </row>
    <row r="42" spans="1:5" x14ac:dyDescent="0.45">
      <c r="A42" t="s">
        <v>199</v>
      </c>
      <c r="B42" t="s">
        <v>200</v>
      </c>
      <c r="C42" t="s">
        <v>54</v>
      </c>
      <c r="D42">
        <v>629</v>
      </c>
      <c r="E42" s="10">
        <v>634.49394432610848</v>
      </c>
    </row>
    <row r="43" spans="1:5" x14ac:dyDescent="0.45">
      <c r="A43" t="s">
        <v>201</v>
      </c>
      <c r="B43" t="s">
        <v>202</v>
      </c>
      <c r="C43" t="s">
        <v>91</v>
      </c>
      <c r="D43">
        <v>621</v>
      </c>
      <c r="E43" s="10">
        <v>627.58052366448703</v>
      </c>
    </row>
    <row r="44" spans="1:5" x14ac:dyDescent="0.45">
      <c r="A44" t="s">
        <v>203</v>
      </c>
      <c r="B44" t="s">
        <v>204</v>
      </c>
      <c r="C44" t="s">
        <v>46</v>
      </c>
      <c r="D44">
        <v>443</v>
      </c>
      <c r="E44" s="10">
        <v>447.95683992683689</v>
      </c>
    </row>
    <row r="45" spans="1:5" x14ac:dyDescent="0.45">
      <c r="A45" t="s">
        <v>205</v>
      </c>
      <c r="B45" t="s">
        <v>206</v>
      </c>
      <c r="C45" t="s">
        <v>54</v>
      </c>
      <c r="D45">
        <v>180</v>
      </c>
      <c r="E45" s="10">
        <v>186.28252501823431</v>
      </c>
    </row>
    <row r="46" spans="1:5" x14ac:dyDescent="0.45">
      <c r="A46" t="s">
        <v>207</v>
      </c>
      <c r="B46" t="s">
        <v>208</v>
      </c>
      <c r="C46" t="s">
        <v>54</v>
      </c>
      <c r="D46">
        <v>216</v>
      </c>
      <c r="E46" s="10">
        <v>222.28142999503811</v>
      </c>
    </row>
    <row r="47" spans="1:5" x14ac:dyDescent="0.45">
      <c r="A47" t="s">
        <v>209</v>
      </c>
      <c r="B47" t="s">
        <v>210</v>
      </c>
      <c r="C47" t="s">
        <v>54</v>
      </c>
      <c r="D47">
        <v>145</v>
      </c>
      <c r="E47" s="10">
        <v>150.869841718495</v>
      </c>
    </row>
    <row r="48" spans="1:5" x14ac:dyDescent="0.45">
      <c r="A48" t="s">
        <v>211</v>
      </c>
      <c r="B48" t="s">
        <v>212</v>
      </c>
      <c r="C48" t="s">
        <v>46</v>
      </c>
      <c r="D48">
        <v>756</v>
      </c>
      <c r="E48" s="10">
        <v>760.7896178519178</v>
      </c>
    </row>
    <row r="49" spans="1:5" x14ac:dyDescent="0.45">
      <c r="A49" t="s">
        <v>213</v>
      </c>
      <c r="B49" t="s">
        <v>214</v>
      </c>
      <c r="C49" t="s">
        <v>91</v>
      </c>
      <c r="D49">
        <v>238</v>
      </c>
      <c r="E49" s="10">
        <v>242.12528538256501</v>
      </c>
    </row>
    <row r="50" spans="1:5" x14ac:dyDescent="0.45">
      <c r="A50" t="s">
        <v>404</v>
      </c>
      <c r="B50" t="s">
        <v>405</v>
      </c>
      <c r="C50" t="s">
        <v>54</v>
      </c>
      <c r="D50">
        <v>181</v>
      </c>
      <c r="E50" s="10">
        <v>187.6502143687222</v>
      </c>
    </row>
    <row r="51" spans="1:5" x14ac:dyDescent="0.45">
      <c r="A51" t="s">
        <v>215</v>
      </c>
      <c r="B51" t="s">
        <v>216</v>
      </c>
      <c r="C51" t="s">
        <v>46</v>
      </c>
      <c r="D51">
        <v>1306</v>
      </c>
      <c r="E51" s="10">
        <v>1307.526818240631</v>
      </c>
    </row>
    <row r="52" spans="1:5" x14ac:dyDescent="0.45">
      <c r="A52" t="s">
        <v>217</v>
      </c>
      <c r="B52" t="s">
        <v>218</v>
      </c>
      <c r="C52" t="s">
        <v>420</v>
      </c>
      <c r="D52">
        <v>1352</v>
      </c>
      <c r="E52" s="10">
        <v>1351.307841587666</v>
      </c>
    </row>
    <row r="53" spans="1:5" x14ac:dyDescent="0.45">
      <c r="A53" t="s">
        <v>406</v>
      </c>
      <c r="B53" t="s">
        <v>407</v>
      </c>
      <c r="C53" t="s">
        <v>91</v>
      </c>
      <c r="D53">
        <v>336</v>
      </c>
      <c r="E53" s="10">
        <v>338.7340659894495</v>
      </c>
    </row>
    <row r="54" spans="1:5" x14ac:dyDescent="0.45">
      <c r="A54" t="s">
        <v>416</v>
      </c>
      <c r="B54" t="s">
        <v>417</v>
      </c>
      <c r="C54" t="s">
        <v>54</v>
      </c>
      <c r="D54">
        <v>70</v>
      </c>
      <c r="E54" s="10">
        <v>76.278589449331832</v>
      </c>
    </row>
    <row r="55" spans="1:5" x14ac:dyDescent="0.45">
      <c r="A55" t="s">
        <v>412</v>
      </c>
      <c r="B55" t="s">
        <v>413</v>
      </c>
      <c r="C55" t="s">
        <v>54</v>
      </c>
      <c r="D55">
        <v>29</v>
      </c>
      <c r="E55" s="10">
        <v>34.950195330918582</v>
      </c>
    </row>
    <row r="56" spans="1:5" x14ac:dyDescent="0.45">
      <c r="A56" t="s">
        <v>410</v>
      </c>
      <c r="B56" t="s">
        <v>411</v>
      </c>
      <c r="C56" t="s">
        <v>54</v>
      </c>
      <c r="D56">
        <v>56</v>
      </c>
      <c r="E56" s="10">
        <v>62.449450958948368</v>
      </c>
    </row>
    <row r="57" spans="1:5" x14ac:dyDescent="0.45">
      <c r="A57" t="s">
        <v>408</v>
      </c>
      <c r="B57" t="s">
        <v>409</v>
      </c>
      <c r="C57" t="s">
        <v>54</v>
      </c>
      <c r="D57">
        <v>28</v>
      </c>
      <c r="E57" s="10">
        <v>34.283631535468793</v>
      </c>
    </row>
    <row r="58" spans="1:5" x14ac:dyDescent="0.45">
      <c r="A58" t="s">
        <v>402</v>
      </c>
      <c r="B58" t="s">
        <v>403</v>
      </c>
      <c r="C58" t="s">
        <v>54</v>
      </c>
      <c r="D58">
        <v>76</v>
      </c>
      <c r="E58" s="10">
        <v>82.029934363441512</v>
      </c>
    </row>
    <row r="59" spans="1:5" x14ac:dyDescent="0.45">
      <c r="A59" t="s">
        <v>418</v>
      </c>
      <c r="B59" t="s">
        <v>419</v>
      </c>
      <c r="C59" t="s">
        <v>54</v>
      </c>
      <c r="D59">
        <v>132</v>
      </c>
      <c r="E59" s="10">
        <v>137.7972089509455</v>
      </c>
    </row>
    <row r="60" spans="1:5" x14ac:dyDescent="0.45">
      <c r="A60" t="s">
        <v>388</v>
      </c>
      <c r="B60" t="s">
        <v>389</v>
      </c>
      <c r="C60" t="s">
        <v>46</v>
      </c>
      <c r="D60">
        <v>719</v>
      </c>
      <c r="E60" s="10">
        <v>724.17572169364985</v>
      </c>
    </row>
    <row r="61" spans="1:5" x14ac:dyDescent="0.45">
      <c r="A61" t="s">
        <v>219</v>
      </c>
      <c r="B61" t="s">
        <v>220</v>
      </c>
      <c r="C61" t="s">
        <v>46</v>
      </c>
      <c r="D61">
        <v>580</v>
      </c>
      <c r="E61" s="10">
        <v>586.51833699006625</v>
      </c>
    </row>
    <row r="62" spans="1:5" x14ac:dyDescent="0.45">
      <c r="A62" t="s">
        <v>43</v>
      </c>
      <c r="B62" t="s">
        <v>44</v>
      </c>
      <c r="C62" t="s">
        <v>46</v>
      </c>
      <c r="D62">
        <v>535</v>
      </c>
      <c r="E62" s="10">
        <v>540.21015172308682</v>
      </c>
    </row>
    <row r="63" spans="1:5" x14ac:dyDescent="0.45">
      <c r="A63" t="s">
        <v>221</v>
      </c>
      <c r="B63" t="s">
        <v>222</v>
      </c>
      <c r="C63" t="s">
        <v>54</v>
      </c>
      <c r="D63">
        <v>837</v>
      </c>
      <c r="E63" s="10">
        <v>841.71472316260542</v>
      </c>
    </row>
    <row r="64" spans="1:5" x14ac:dyDescent="0.45">
      <c r="A64" t="s">
        <v>51</v>
      </c>
      <c r="B64" t="s">
        <v>52</v>
      </c>
      <c r="C64" t="s">
        <v>54</v>
      </c>
      <c r="D64">
        <v>1113</v>
      </c>
      <c r="E64" s="10">
        <v>1117.898624779848</v>
      </c>
    </row>
    <row r="65" spans="1:5" x14ac:dyDescent="0.45">
      <c r="A65" t="s">
        <v>223</v>
      </c>
      <c r="B65" t="s">
        <v>224</v>
      </c>
      <c r="C65" t="s">
        <v>91</v>
      </c>
      <c r="D65">
        <v>1845</v>
      </c>
      <c r="E65" s="10">
        <v>1839.2269947280629</v>
      </c>
    </row>
    <row r="66" spans="1:5" x14ac:dyDescent="0.45">
      <c r="A66" t="s">
        <v>225</v>
      </c>
      <c r="B66" t="s">
        <v>226</v>
      </c>
      <c r="C66" t="s">
        <v>46</v>
      </c>
      <c r="D66">
        <v>957</v>
      </c>
      <c r="E66" s="10">
        <v>962.06082870374451</v>
      </c>
    </row>
    <row r="67" spans="1:5" x14ac:dyDescent="0.45">
      <c r="A67" t="s">
        <v>366</v>
      </c>
      <c r="B67" t="s">
        <v>367</v>
      </c>
      <c r="C67" t="s">
        <v>54</v>
      </c>
      <c r="D67">
        <v>665</v>
      </c>
      <c r="E67" s="10">
        <v>663.95976108874856</v>
      </c>
    </row>
    <row r="68" spans="1:5" x14ac:dyDescent="0.45">
      <c r="A68" t="s">
        <v>364</v>
      </c>
      <c r="B68" t="s">
        <v>365</v>
      </c>
      <c r="C68" t="s">
        <v>54</v>
      </c>
      <c r="D68">
        <v>157</v>
      </c>
      <c r="E68" s="10">
        <v>162.35268926937661</v>
      </c>
    </row>
    <row r="69" spans="1:5" x14ac:dyDescent="0.45">
      <c r="A69" t="s">
        <v>414</v>
      </c>
      <c r="B69" t="s">
        <v>415</v>
      </c>
      <c r="C69" t="s">
        <v>54</v>
      </c>
      <c r="D69">
        <v>48</v>
      </c>
      <c r="E69" s="10">
        <v>54.450105260573203</v>
      </c>
    </row>
    <row r="70" spans="1:5" x14ac:dyDescent="0.45">
      <c r="A70" t="s">
        <v>227</v>
      </c>
      <c r="B70" t="s">
        <v>228</v>
      </c>
      <c r="C70" t="s">
        <v>54</v>
      </c>
      <c r="D70">
        <v>1011</v>
      </c>
      <c r="E70" s="10">
        <v>1015.189391027406</v>
      </c>
    </row>
    <row r="71" spans="1:5" x14ac:dyDescent="0.45">
      <c r="A71" t="s">
        <v>229</v>
      </c>
      <c r="B71" t="s">
        <v>230</v>
      </c>
      <c r="C71" t="s">
        <v>54</v>
      </c>
      <c r="D71">
        <v>822</v>
      </c>
      <c r="E71" s="10">
        <v>826.88063659071952</v>
      </c>
    </row>
    <row r="72" spans="1:5" x14ac:dyDescent="0.45">
      <c r="A72" t="s">
        <v>231</v>
      </c>
      <c r="B72" t="s">
        <v>232</v>
      </c>
      <c r="C72" t="s">
        <v>46</v>
      </c>
      <c r="D72">
        <v>1162</v>
      </c>
      <c r="E72" s="10">
        <v>1164.332610771027</v>
      </c>
    </row>
    <row r="73" spans="1:5" x14ac:dyDescent="0.45">
      <c r="A73" t="s">
        <v>233</v>
      </c>
      <c r="B73" t="s">
        <v>234</v>
      </c>
      <c r="C73" t="s">
        <v>54</v>
      </c>
      <c r="D73">
        <v>620</v>
      </c>
      <c r="E73" s="10">
        <v>625.20651662633315</v>
      </c>
    </row>
    <row r="74" spans="1:5" x14ac:dyDescent="0.45">
      <c r="A74" t="s">
        <v>235</v>
      </c>
      <c r="B74" t="s">
        <v>236</v>
      </c>
      <c r="C74" t="s">
        <v>46</v>
      </c>
      <c r="D74">
        <v>441</v>
      </c>
      <c r="E74" s="10">
        <v>446.81328585384603</v>
      </c>
    </row>
    <row r="75" spans="1:5" x14ac:dyDescent="0.45">
      <c r="A75" t="s">
        <v>237</v>
      </c>
      <c r="B75" t="s">
        <v>238</v>
      </c>
      <c r="C75" t="s">
        <v>46</v>
      </c>
      <c r="D75">
        <v>960</v>
      </c>
      <c r="E75" s="10">
        <v>961.89953922178847</v>
      </c>
    </row>
    <row r="76" spans="1:5" x14ac:dyDescent="0.45">
      <c r="A76" t="s">
        <v>239</v>
      </c>
      <c r="B76" t="s">
        <v>240</v>
      </c>
      <c r="C76" t="s">
        <v>46</v>
      </c>
      <c r="D76">
        <v>605</v>
      </c>
      <c r="E76" s="10">
        <v>608.29610202548099</v>
      </c>
    </row>
    <row r="77" spans="1:5" x14ac:dyDescent="0.45">
      <c r="A77" t="s">
        <v>392</v>
      </c>
      <c r="B77" t="s">
        <v>393</v>
      </c>
      <c r="C77" t="s">
        <v>46</v>
      </c>
      <c r="D77">
        <v>784</v>
      </c>
      <c r="E77" s="10">
        <v>789.46931028948632</v>
      </c>
    </row>
    <row r="78" spans="1:5" x14ac:dyDescent="0.45">
      <c r="A78" t="s">
        <v>121</v>
      </c>
      <c r="B78" t="s">
        <v>122</v>
      </c>
      <c r="C78" t="s">
        <v>54</v>
      </c>
      <c r="D78">
        <v>766</v>
      </c>
      <c r="E78" s="10">
        <v>770.14493272222865</v>
      </c>
    </row>
    <row r="79" spans="1:5" x14ac:dyDescent="0.45">
      <c r="A79" t="s">
        <v>241</v>
      </c>
      <c r="B79" t="s">
        <v>242</v>
      </c>
      <c r="C79" t="s">
        <v>54</v>
      </c>
      <c r="D79">
        <v>811</v>
      </c>
      <c r="E79" s="10">
        <v>814.36855144231708</v>
      </c>
    </row>
    <row r="80" spans="1:5" x14ac:dyDescent="0.45">
      <c r="A80" t="s">
        <v>358</v>
      </c>
      <c r="B80" t="s">
        <v>359</v>
      </c>
      <c r="C80" t="s">
        <v>54</v>
      </c>
      <c r="D80">
        <v>54</v>
      </c>
      <c r="E80" s="10">
        <v>60.035043681667062</v>
      </c>
    </row>
    <row r="81" spans="1:5" x14ac:dyDescent="0.45">
      <c r="A81" t="s">
        <v>243</v>
      </c>
      <c r="B81" t="s">
        <v>244</v>
      </c>
      <c r="C81" t="s">
        <v>91</v>
      </c>
      <c r="D81">
        <v>718</v>
      </c>
      <c r="E81" s="10">
        <v>722.1498436928739</v>
      </c>
    </row>
    <row r="82" spans="1:5" x14ac:dyDescent="0.45">
      <c r="A82" t="s">
        <v>88</v>
      </c>
      <c r="B82" t="s">
        <v>89</v>
      </c>
      <c r="C82" t="s">
        <v>91</v>
      </c>
      <c r="D82">
        <v>330</v>
      </c>
      <c r="E82" s="10">
        <v>333.84403954077669</v>
      </c>
    </row>
    <row r="83" spans="1:5" x14ac:dyDescent="0.45">
      <c r="A83" t="s">
        <v>245</v>
      </c>
      <c r="B83" t="s">
        <v>246</v>
      </c>
      <c r="C83" t="s">
        <v>46</v>
      </c>
      <c r="D83">
        <v>780</v>
      </c>
      <c r="E83" s="10">
        <v>782.25970227010191</v>
      </c>
    </row>
    <row r="84" spans="1:5" x14ac:dyDescent="0.45">
      <c r="A84" t="s">
        <v>247</v>
      </c>
      <c r="B84" t="s">
        <v>248</v>
      </c>
      <c r="C84" t="s">
        <v>91</v>
      </c>
      <c r="D84">
        <v>1503</v>
      </c>
      <c r="E84" s="10">
        <v>1496.9358044935041</v>
      </c>
    </row>
    <row r="85" spans="1:5" x14ac:dyDescent="0.45">
      <c r="A85" t="s">
        <v>249</v>
      </c>
      <c r="B85" t="s">
        <v>250</v>
      </c>
      <c r="C85" t="s">
        <v>46</v>
      </c>
      <c r="D85">
        <v>355</v>
      </c>
      <c r="E85" s="10">
        <v>359.63601503038291</v>
      </c>
    </row>
    <row r="86" spans="1:5" x14ac:dyDescent="0.45">
      <c r="A86" t="s">
        <v>251</v>
      </c>
      <c r="B86" t="s">
        <v>252</v>
      </c>
      <c r="C86" t="s">
        <v>46</v>
      </c>
      <c r="D86">
        <v>507</v>
      </c>
      <c r="E86" s="10">
        <v>511.92237392620569</v>
      </c>
    </row>
    <row r="87" spans="1:5" x14ac:dyDescent="0.45">
      <c r="A87" t="s">
        <v>253</v>
      </c>
      <c r="B87" t="s">
        <v>254</v>
      </c>
      <c r="C87" t="s">
        <v>46</v>
      </c>
      <c r="D87">
        <v>466</v>
      </c>
      <c r="E87" s="10">
        <v>471.00850835110901</v>
      </c>
    </row>
    <row r="88" spans="1:5" x14ac:dyDescent="0.45">
      <c r="A88" t="s">
        <v>255</v>
      </c>
      <c r="B88" t="s">
        <v>256</v>
      </c>
      <c r="C88" t="s">
        <v>91</v>
      </c>
      <c r="D88">
        <v>1340</v>
      </c>
      <c r="E88" s="10">
        <v>1331.5335230568121</v>
      </c>
    </row>
    <row r="89" spans="1:5" x14ac:dyDescent="0.45">
      <c r="A89" t="s">
        <v>396</v>
      </c>
      <c r="B89" t="s">
        <v>397</v>
      </c>
      <c r="C89" t="s">
        <v>54</v>
      </c>
      <c r="D89">
        <v>99</v>
      </c>
      <c r="E89" s="10">
        <v>104.8529160094936</v>
      </c>
    </row>
    <row r="90" spans="1:5" x14ac:dyDescent="0.45">
      <c r="A90" t="s">
        <v>257</v>
      </c>
      <c r="B90" t="s">
        <v>258</v>
      </c>
      <c r="C90" t="s">
        <v>46</v>
      </c>
      <c r="D90">
        <v>755</v>
      </c>
      <c r="E90" s="10">
        <v>757.48553436655811</v>
      </c>
    </row>
    <row r="91" spans="1:5" x14ac:dyDescent="0.45">
      <c r="A91" t="s">
        <v>259</v>
      </c>
      <c r="B91" t="s">
        <v>260</v>
      </c>
      <c r="C91" t="s">
        <v>54</v>
      </c>
      <c r="D91">
        <v>640</v>
      </c>
      <c r="E91" s="10">
        <v>646.0764469769789</v>
      </c>
    </row>
    <row r="92" spans="1:5" x14ac:dyDescent="0.45">
      <c r="A92" t="s">
        <v>261</v>
      </c>
      <c r="B92" t="s">
        <v>262</v>
      </c>
      <c r="C92" t="s">
        <v>46</v>
      </c>
      <c r="D92">
        <v>842</v>
      </c>
      <c r="E92" s="10">
        <v>846.65781065926001</v>
      </c>
    </row>
    <row r="93" spans="1:5" x14ac:dyDescent="0.45">
      <c r="A93" t="s">
        <v>263</v>
      </c>
      <c r="B93" t="s">
        <v>264</v>
      </c>
      <c r="C93" t="s">
        <v>46</v>
      </c>
      <c r="D93">
        <v>359</v>
      </c>
      <c r="E93" s="10">
        <v>365.03458886128408</v>
      </c>
    </row>
    <row r="94" spans="1:5" x14ac:dyDescent="0.45">
      <c r="A94" t="s">
        <v>265</v>
      </c>
      <c r="B94" t="s">
        <v>266</v>
      </c>
      <c r="C94" t="s">
        <v>91</v>
      </c>
      <c r="D94">
        <v>448</v>
      </c>
      <c r="E94" s="10">
        <v>452.11762225668849</v>
      </c>
    </row>
    <row r="95" spans="1:5" x14ac:dyDescent="0.45">
      <c r="A95" t="s">
        <v>368</v>
      </c>
      <c r="B95" t="s">
        <v>369</v>
      </c>
      <c r="C95" t="s">
        <v>46</v>
      </c>
      <c r="D95">
        <v>344</v>
      </c>
      <c r="E95" s="10">
        <v>346.58391705253422</v>
      </c>
    </row>
    <row r="96" spans="1:5" x14ac:dyDescent="0.45">
      <c r="A96" t="s">
        <v>360</v>
      </c>
      <c r="B96" t="s">
        <v>361</v>
      </c>
      <c r="C96" t="s">
        <v>91</v>
      </c>
      <c r="D96">
        <v>309</v>
      </c>
      <c r="E96" s="10">
        <v>313.65144887242923</v>
      </c>
    </row>
    <row r="97" spans="1:5" x14ac:dyDescent="0.45">
      <c r="A97" t="s">
        <v>267</v>
      </c>
      <c r="B97" t="s">
        <v>268</v>
      </c>
      <c r="C97" t="s">
        <v>46</v>
      </c>
      <c r="D97">
        <v>619</v>
      </c>
      <c r="E97" s="10">
        <v>623.27012042251306</v>
      </c>
    </row>
    <row r="98" spans="1:5" x14ac:dyDescent="0.45">
      <c r="A98" t="s">
        <v>99</v>
      </c>
      <c r="B98" t="s">
        <v>100</v>
      </c>
      <c r="C98" t="s">
        <v>46</v>
      </c>
      <c r="D98">
        <v>1411</v>
      </c>
      <c r="E98" s="10">
        <v>1404.426397069521</v>
      </c>
    </row>
    <row r="99" spans="1:5" x14ac:dyDescent="0.45">
      <c r="A99" t="s">
        <v>79</v>
      </c>
      <c r="B99" t="s">
        <v>80</v>
      </c>
      <c r="C99" t="s">
        <v>54</v>
      </c>
      <c r="D99">
        <v>764</v>
      </c>
      <c r="E99" s="10">
        <v>769.43605849095525</v>
      </c>
    </row>
    <row r="100" spans="1:5" x14ac:dyDescent="0.45">
      <c r="A100" t="s">
        <v>269</v>
      </c>
      <c r="B100" t="s">
        <v>270</v>
      </c>
      <c r="C100" t="s">
        <v>54</v>
      </c>
      <c r="D100">
        <v>528</v>
      </c>
      <c r="E100" s="10">
        <v>534.09454143737742</v>
      </c>
    </row>
    <row r="101" spans="1:5" x14ac:dyDescent="0.45">
      <c r="A101" t="s">
        <v>73</v>
      </c>
      <c r="B101" t="s">
        <v>74</v>
      </c>
      <c r="C101" t="s">
        <v>46</v>
      </c>
      <c r="D101">
        <v>586</v>
      </c>
      <c r="E101" s="10">
        <v>591.33281021149628</v>
      </c>
    </row>
    <row r="102" spans="1:5" x14ac:dyDescent="0.45">
      <c r="A102" t="s">
        <v>271</v>
      </c>
      <c r="B102" t="s">
        <v>272</v>
      </c>
      <c r="C102" t="s">
        <v>46</v>
      </c>
      <c r="D102">
        <v>294</v>
      </c>
      <c r="E102" s="10">
        <v>299.47111051696987</v>
      </c>
    </row>
    <row r="103" spans="1:5" x14ac:dyDescent="0.45">
      <c r="A103" t="s">
        <v>273</v>
      </c>
      <c r="B103" t="s">
        <v>274</v>
      </c>
      <c r="C103" t="s">
        <v>46</v>
      </c>
      <c r="D103">
        <v>285</v>
      </c>
      <c r="E103" s="10">
        <v>291.65524447995858</v>
      </c>
    </row>
    <row r="104" spans="1:5" x14ac:dyDescent="0.45">
      <c r="A104" t="s">
        <v>275</v>
      </c>
      <c r="B104" t="s">
        <v>276</v>
      </c>
      <c r="C104" t="s">
        <v>54</v>
      </c>
      <c r="D104">
        <v>732</v>
      </c>
      <c r="E104" s="10">
        <v>737.26415087729583</v>
      </c>
    </row>
    <row r="105" spans="1:5" x14ac:dyDescent="0.45">
      <c r="A105" t="s">
        <v>277</v>
      </c>
      <c r="B105" t="s">
        <v>278</v>
      </c>
      <c r="C105" t="s">
        <v>54</v>
      </c>
      <c r="D105">
        <v>1127</v>
      </c>
      <c r="E105" s="10">
        <v>1131.177597377912</v>
      </c>
    </row>
    <row r="106" spans="1:5" x14ac:dyDescent="0.45">
      <c r="A106" t="s">
        <v>279</v>
      </c>
      <c r="B106" t="s">
        <v>280</v>
      </c>
      <c r="C106" t="s">
        <v>46</v>
      </c>
      <c r="D106">
        <v>1007</v>
      </c>
      <c r="E106" s="10">
        <v>1007.668097415613</v>
      </c>
    </row>
    <row r="107" spans="1:5" x14ac:dyDescent="0.45">
      <c r="A107" t="s">
        <v>58</v>
      </c>
      <c r="B107" t="s">
        <v>59</v>
      </c>
      <c r="C107" t="s">
        <v>54</v>
      </c>
      <c r="D107">
        <v>503</v>
      </c>
      <c r="E107" s="10">
        <v>509.3832403365638</v>
      </c>
    </row>
    <row r="108" spans="1:5" x14ac:dyDescent="0.45">
      <c r="A108" t="s">
        <v>281</v>
      </c>
      <c r="B108" t="s">
        <v>282</v>
      </c>
      <c r="C108" t="s">
        <v>46</v>
      </c>
      <c r="D108">
        <v>800</v>
      </c>
      <c r="E108" s="10">
        <v>804.74684118306129</v>
      </c>
    </row>
    <row r="109" spans="1:5" x14ac:dyDescent="0.45">
      <c r="A109" t="s">
        <v>283</v>
      </c>
      <c r="B109" t="s">
        <v>284</v>
      </c>
      <c r="C109" t="s">
        <v>91</v>
      </c>
      <c r="D109">
        <v>1168</v>
      </c>
      <c r="E109" s="10">
        <v>1171.0428678399121</v>
      </c>
    </row>
    <row r="110" spans="1:5" x14ac:dyDescent="0.45">
      <c r="A110" t="s">
        <v>118</v>
      </c>
      <c r="B110" t="s">
        <v>119</v>
      </c>
      <c r="C110" t="s">
        <v>46</v>
      </c>
      <c r="D110">
        <v>679</v>
      </c>
      <c r="E110" s="10">
        <v>683.3388350929124</v>
      </c>
    </row>
    <row r="111" spans="1:5" x14ac:dyDescent="0.45">
      <c r="A111" t="s">
        <v>67</v>
      </c>
      <c r="B111" t="s">
        <v>68</v>
      </c>
      <c r="C111" t="s">
        <v>46</v>
      </c>
      <c r="D111">
        <v>1163</v>
      </c>
      <c r="E111" s="10">
        <v>1166.8511052501431</v>
      </c>
    </row>
    <row r="112" spans="1:5" x14ac:dyDescent="0.45">
      <c r="A112" t="s">
        <v>64</v>
      </c>
      <c r="B112" t="s">
        <v>65</v>
      </c>
      <c r="C112" t="s">
        <v>46</v>
      </c>
      <c r="D112">
        <v>1170</v>
      </c>
      <c r="E112" s="10">
        <v>1173.6672967505681</v>
      </c>
    </row>
    <row r="113" spans="1:5" x14ac:dyDescent="0.45">
      <c r="A113" t="s">
        <v>285</v>
      </c>
      <c r="B113" t="s">
        <v>286</v>
      </c>
      <c r="C113" t="s">
        <v>91</v>
      </c>
      <c r="D113">
        <v>1029</v>
      </c>
      <c r="E113" s="10">
        <v>1023.875971187447</v>
      </c>
    </row>
    <row r="114" spans="1:5" x14ac:dyDescent="0.45">
      <c r="A114" t="s">
        <v>287</v>
      </c>
      <c r="B114" t="s">
        <v>288</v>
      </c>
      <c r="C114" t="s">
        <v>46</v>
      </c>
      <c r="D114">
        <v>581</v>
      </c>
      <c r="E114" s="10">
        <v>586.92384952134512</v>
      </c>
    </row>
    <row r="115" spans="1:5" x14ac:dyDescent="0.45">
      <c r="A115" t="s">
        <v>289</v>
      </c>
      <c r="B115" t="s">
        <v>290</v>
      </c>
      <c r="C115" t="s">
        <v>54</v>
      </c>
      <c r="D115">
        <v>522</v>
      </c>
      <c r="E115" s="10">
        <v>526.66738353639073</v>
      </c>
    </row>
    <row r="116" spans="1:5" x14ac:dyDescent="0.45">
      <c r="A116" t="s">
        <v>291</v>
      </c>
      <c r="B116" t="s">
        <v>292</v>
      </c>
      <c r="C116" t="s">
        <v>54</v>
      </c>
      <c r="D116">
        <v>258</v>
      </c>
      <c r="E116" s="10">
        <v>263.94279445350838</v>
      </c>
    </row>
    <row r="117" spans="1:5" x14ac:dyDescent="0.45">
      <c r="A117" t="s">
        <v>293</v>
      </c>
      <c r="B117" t="s">
        <v>294</v>
      </c>
      <c r="C117" t="s">
        <v>46</v>
      </c>
      <c r="D117">
        <v>1030</v>
      </c>
      <c r="E117" s="10">
        <v>1027.3878934932111</v>
      </c>
    </row>
    <row r="118" spans="1:5" x14ac:dyDescent="0.45">
      <c r="A118" t="s">
        <v>380</v>
      </c>
      <c r="B118" t="s">
        <v>381</v>
      </c>
      <c r="C118" t="s">
        <v>54</v>
      </c>
      <c r="D118">
        <v>380</v>
      </c>
      <c r="E118" s="10">
        <v>385.92066407645132</v>
      </c>
    </row>
    <row r="119" spans="1:5" x14ac:dyDescent="0.45">
      <c r="A119" t="s">
        <v>295</v>
      </c>
      <c r="B119" t="s">
        <v>296</v>
      </c>
      <c r="C119" t="s">
        <v>46</v>
      </c>
      <c r="D119">
        <v>988</v>
      </c>
      <c r="E119" s="10">
        <v>983.55284151501075</v>
      </c>
    </row>
    <row r="120" spans="1:5" x14ac:dyDescent="0.45">
      <c r="A120" t="s">
        <v>70</v>
      </c>
      <c r="B120" t="s">
        <v>71</v>
      </c>
      <c r="C120" t="s">
        <v>46</v>
      </c>
      <c r="D120">
        <v>664</v>
      </c>
      <c r="E120" s="10">
        <v>668.30256309824745</v>
      </c>
    </row>
    <row r="121" spans="1:5" x14ac:dyDescent="0.45">
      <c r="A121" t="s">
        <v>297</v>
      </c>
      <c r="B121" t="s">
        <v>298</v>
      </c>
      <c r="C121" t="s">
        <v>46</v>
      </c>
      <c r="D121">
        <v>682</v>
      </c>
      <c r="E121" s="10">
        <v>686.8795468572489</v>
      </c>
    </row>
    <row r="122" spans="1:5" x14ac:dyDescent="0.45">
      <c r="A122" t="s">
        <v>82</v>
      </c>
      <c r="B122" t="s">
        <v>83</v>
      </c>
      <c r="C122" t="s">
        <v>46</v>
      </c>
      <c r="D122">
        <v>490</v>
      </c>
      <c r="E122" s="10">
        <v>495.2384191405157</v>
      </c>
    </row>
    <row r="123" spans="1:5" x14ac:dyDescent="0.45">
      <c r="A123" t="s">
        <v>299</v>
      </c>
      <c r="B123" t="s">
        <v>300</v>
      </c>
      <c r="C123" t="s">
        <v>91</v>
      </c>
      <c r="D123">
        <v>1915</v>
      </c>
      <c r="E123" s="10">
        <v>1906.737457859786</v>
      </c>
    </row>
    <row r="124" spans="1:5" x14ac:dyDescent="0.45">
      <c r="A124" t="s">
        <v>301</v>
      </c>
      <c r="B124" t="s">
        <v>302</v>
      </c>
      <c r="C124" t="s">
        <v>91</v>
      </c>
      <c r="D124">
        <v>1465</v>
      </c>
      <c r="E124" s="10">
        <v>1450.0399682686841</v>
      </c>
    </row>
    <row r="125" spans="1:5" x14ac:dyDescent="0.45">
      <c r="A125" t="s">
        <v>303</v>
      </c>
      <c r="B125" t="s">
        <v>304</v>
      </c>
      <c r="C125" t="s">
        <v>46</v>
      </c>
      <c r="D125">
        <v>827</v>
      </c>
      <c r="E125" s="10">
        <v>831.13980979431858</v>
      </c>
    </row>
    <row r="126" spans="1:5" x14ac:dyDescent="0.45">
      <c r="A126" t="s">
        <v>305</v>
      </c>
      <c r="B126" t="s">
        <v>306</v>
      </c>
      <c r="C126" t="s">
        <v>46</v>
      </c>
      <c r="D126">
        <v>537</v>
      </c>
      <c r="E126" s="10">
        <v>540.33253590811739</v>
      </c>
    </row>
    <row r="127" spans="1:5" x14ac:dyDescent="0.45">
      <c r="A127" t="s">
        <v>378</v>
      </c>
      <c r="B127" t="s">
        <v>379</v>
      </c>
      <c r="C127" t="s">
        <v>54</v>
      </c>
      <c r="D127">
        <v>457</v>
      </c>
      <c r="E127" s="10">
        <v>461.12826082567381</v>
      </c>
    </row>
    <row r="128" spans="1:5" x14ac:dyDescent="0.45">
      <c r="A128" t="s">
        <v>55</v>
      </c>
      <c r="B128" t="s">
        <v>56</v>
      </c>
      <c r="C128" t="s">
        <v>46</v>
      </c>
      <c r="D128">
        <v>1176</v>
      </c>
      <c r="E128" s="10">
        <v>1178.3712150402439</v>
      </c>
    </row>
    <row r="129" spans="1:5" x14ac:dyDescent="0.45">
      <c r="A129" t="s">
        <v>307</v>
      </c>
      <c r="B129" t="s">
        <v>308</v>
      </c>
      <c r="C129" t="s">
        <v>46</v>
      </c>
      <c r="D129">
        <v>604</v>
      </c>
      <c r="E129" s="10">
        <v>609.02814241802025</v>
      </c>
    </row>
    <row r="130" spans="1:5" x14ac:dyDescent="0.45">
      <c r="A130" t="s">
        <v>309</v>
      </c>
      <c r="B130" t="s">
        <v>308</v>
      </c>
      <c r="C130" t="s">
        <v>46</v>
      </c>
      <c r="D130">
        <v>1154</v>
      </c>
      <c r="E130" s="10">
        <v>1157.4357216509541</v>
      </c>
    </row>
    <row r="131" spans="1:5" x14ac:dyDescent="0.45">
      <c r="A131" t="s">
        <v>310</v>
      </c>
      <c r="B131" t="s">
        <v>308</v>
      </c>
      <c r="C131" t="s">
        <v>46</v>
      </c>
      <c r="D131">
        <v>789</v>
      </c>
      <c r="E131" s="10">
        <v>792.86852303746093</v>
      </c>
    </row>
    <row r="132" spans="1:5" x14ac:dyDescent="0.45">
      <c r="A132" t="s">
        <v>311</v>
      </c>
      <c r="B132" t="s">
        <v>308</v>
      </c>
      <c r="C132" t="s">
        <v>46</v>
      </c>
      <c r="D132">
        <v>652</v>
      </c>
      <c r="E132" s="10">
        <v>656.12947304351678</v>
      </c>
    </row>
    <row r="133" spans="1:5" x14ac:dyDescent="0.45">
      <c r="A133" t="s">
        <v>372</v>
      </c>
      <c r="B133" t="s">
        <v>373</v>
      </c>
      <c r="C133" t="s">
        <v>54</v>
      </c>
      <c r="D133">
        <v>244</v>
      </c>
      <c r="E133" s="10">
        <v>250.38157828672669</v>
      </c>
    </row>
    <row r="134" spans="1:5" x14ac:dyDescent="0.45">
      <c r="A134" t="s">
        <v>390</v>
      </c>
      <c r="B134" t="s">
        <v>391</v>
      </c>
      <c r="C134" t="s">
        <v>46</v>
      </c>
      <c r="D134">
        <v>675</v>
      </c>
      <c r="E134" s="10">
        <v>680.66171992976444</v>
      </c>
    </row>
    <row r="135" spans="1:5" x14ac:dyDescent="0.45">
      <c r="A135" t="s">
        <v>312</v>
      </c>
      <c r="B135" t="s">
        <v>313</v>
      </c>
      <c r="C135" t="s">
        <v>91</v>
      </c>
      <c r="D135">
        <v>378</v>
      </c>
      <c r="E135" s="10">
        <v>383.39503427006571</v>
      </c>
    </row>
    <row r="136" spans="1:5" x14ac:dyDescent="0.45">
      <c r="A136" t="s">
        <v>314</v>
      </c>
      <c r="B136" t="s">
        <v>315</v>
      </c>
      <c r="C136" t="s">
        <v>54</v>
      </c>
      <c r="D136">
        <v>364</v>
      </c>
      <c r="E136" s="10">
        <v>369.74737546638897</v>
      </c>
    </row>
    <row r="137" spans="1:5" x14ac:dyDescent="0.45">
      <c r="A137" t="s">
        <v>376</v>
      </c>
      <c r="B137" t="s">
        <v>377</v>
      </c>
      <c r="C137" t="s">
        <v>54</v>
      </c>
      <c r="D137">
        <v>779</v>
      </c>
      <c r="E137" s="10">
        <v>783.91644181942252</v>
      </c>
    </row>
    <row r="138" spans="1:5" x14ac:dyDescent="0.45">
      <c r="A138" t="s">
        <v>316</v>
      </c>
      <c r="B138" t="s">
        <v>317</v>
      </c>
      <c r="C138" t="s">
        <v>46</v>
      </c>
      <c r="D138">
        <v>293</v>
      </c>
      <c r="E138" s="10">
        <v>298.78054640846773</v>
      </c>
    </row>
    <row r="139" spans="1:5" x14ac:dyDescent="0.45">
      <c r="A139" t="s">
        <v>318</v>
      </c>
      <c r="B139" t="s">
        <v>319</v>
      </c>
      <c r="C139" t="s">
        <v>46</v>
      </c>
      <c r="D139">
        <v>710</v>
      </c>
      <c r="E139" s="10">
        <v>706.28605109985392</v>
      </c>
    </row>
    <row r="140" spans="1:5" x14ac:dyDescent="0.45">
      <c r="A140" t="s">
        <v>374</v>
      </c>
      <c r="B140" t="s">
        <v>375</v>
      </c>
      <c r="C140" t="s">
        <v>91</v>
      </c>
      <c r="D140">
        <v>816</v>
      </c>
      <c r="E140" s="10">
        <v>813.68449992061346</v>
      </c>
    </row>
    <row r="141" spans="1:5" x14ac:dyDescent="0.45">
      <c r="A141" t="s">
        <v>320</v>
      </c>
      <c r="B141" t="s">
        <v>321</v>
      </c>
      <c r="C141" t="s">
        <v>91</v>
      </c>
      <c r="D141">
        <v>878</v>
      </c>
      <c r="E141" s="10">
        <v>884.31896109137017</v>
      </c>
    </row>
    <row r="142" spans="1:5" x14ac:dyDescent="0.45">
      <c r="A142" t="s">
        <v>322</v>
      </c>
      <c r="B142" t="s">
        <v>323</v>
      </c>
      <c r="C142" t="s">
        <v>46</v>
      </c>
      <c r="D142">
        <v>676</v>
      </c>
      <c r="E142" s="10">
        <v>681.49522435814902</v>
      </c>
    </row>
    <row r="143" spans="1:5" x14ac:dyDescent="0.45">
      <c r="A143" t="s">
        <v>324</v>
      </c>
      <c r="B143" t="s">
        <v>325</v>
      </c>
      <c r="C143" t="s">
        <v>46</v>
      </c>
      <c r="D143">
        <v>613</v>
      </c>
      <c r="E143" s="10">
        <v>618.16899064615939</v>
      </c>
    </row>
    <row r="144" spans="1:5" x14ac:dyDescent="0.45">
      <c r="A144" t="s">
        <v>326</v>
      </c>
      <c r="B144" t="s">
        <v>327</v>
      </c>
      <c r="C144" t="s">
        <v>54</v>
      </c>
      <c r="D144">
        <v>169</v>
      </c>
      <c r="E144" s="10">
        <v>175.4458027099021</v>
      </c>
    </row>
    <row r="145" spans="1:5" x14ac:dyDescent="0.45">
      <c r="A145" t="s">
        <v>112</v>
      </c>
      <c r="B145" t="s">
        <v>113</v>
      </c>
      <c r="C145" t="s">
        <v>54</v>
      </c>
      <c r="D145">
        <v>948</v>
      </c>
      <c r="E145" s="10">
        <v>953.59160715057089</v>
      </c>
    </row>
    <row r="146" spans="1:5" x14ac:dyDescent="0.45">
      <c r="A146" t="s">
        <v>107</v>
      </c>
      <c r="B146" t="s">
        <v>108</v>
      </c>
      <c r="C146" t="s">
        <v>46</v>
      </c>
      <c r="D146">
        <v>2102</v>
      </c>
      <c r="E146" s="10">
        <v>2080.787080315326</v>
      </c>
    </row>
    <row r="147" spans="1:5" x14ac:dyDescent="0.45">
      <c r="A147" t="s">
        <v>115</v>
      </c>
      <c r="B147" t="s">
        <v>116</v>
      </c>
      <c r="C147" t="s">
        <v>54</v>
      </c>
      <c r="D147">
        <v>830</v>
      </c>
      <c r="E147" s="10">
        <v>836.54233665589402</v>
      </c>
    </row>
    <row r="148" spans="1:5" x14ac:dyDescent="0.45">
      <c r="A148" t="s">
        <v>328</v>
      </c>
      <c r="B148" t="s">
        <v>329</v>
      </c>
      <c r="C148" t="s">
        <v>46</v>
      </c>
      <c r="D148">
        <v>327</v>
      </c>
      <c r="E148" s="10">
        <v>331.14549345888918</v>
      </c>
    </row>
    <row r="149" spans="1:5" x14ac:dyDescent="0.45">
      <c r="A149" t="s">
        <v>76</v>
      </c>
      <c r="B149" t="s">
        <v>77</v>
      </c>
      <c r="C149" t="s">
        <v>46</v>
      </c>
      <c r="D149">
        <v>1247</v>
      </c>
      <c r="E149" s="10">
        <v>1245.3627483192861</v>
      </c>
    </row>
    <row r="150" spans="1:5" x14ac:dyDescent="0.45">
      <c r="A150" t="s">
        <v>330</v>
      </c>
      <c r="B150" t="s">
        <v>331</v>
      </c>
      <c r="C150" t="s">
        <v>91</v>
      </c>
      <c r="D150">
        <v>285</v>
      </c>
      <c r="E150" s="10">
        <v>291.20428686483177</v>
      </c>
    </row>
    <row r="151" spans="1:5" x14ac:dyDescent="0.45">
      <c r="A151" t="s">
        <v>332</v>
      </c>
      <c r="B151" t="s">
        <v>333</v>
      </c>
      <c r="C151" t="s">
        <v>54</v>
      </c>
      <c r="D151">
        <v>434</v>
      </c>
      <c r="E151" s="10">
        <v>439.85290734689528</v>
      </c>
    </row>
    <row r="152" spans="1:5" x14ac:dyDescent="0.45">
      <c r="A152" t="s">
        <v>61</v>
      </c>
      <c r="B152" t="s">
        <v>62</v>
      </c>
      <c r="C152" t="s">
        <v>46</v>
      </c>
      <c r="D152">
        <v>1175</v>
      </c>
      <c r="E152" s="10">
        <v>1175.823565733893</v>
      </c>
    </row>
    <row r="153" spans="1:5" x14ac:dyDescent="0.45">
      <c r="A153" t="s">
        <v>334</v>
      </c>
      <c r="B153" t="s">
        <v>335</v>
      </c>
      <c r="C153" t="s">
        <v>54</v>
      </c>
      <c r="D153">
        <v>643</v>
      </c>
      <c r="E153" s="10">
        <v>647.98269168930574</v>
      </c>
    </row>
    <row r="154" spans="1:5" x14ac:dyDescent="0.45">
      <c r="A154" t="s">
        <v>386</v>
      </c>
      <c r="B154" t="s">
        <v>387</v>
      </c>
      <c r="C154" t="s">
        <v>91</v>
      </c>
      <c r="D154">
        <v>345</v>
      </c>
      <c r="E154" s="10">
        <v>349.48931810127789</v>
      </c>
    </row>
    <row r="155" spans="1:5" x14ac:dyDescent="0.45">
      <c r="A155" t="s">
        <v>384</v>
      </c>
      <c r="B155" t="s">
        <v>385</v>
      </c>
      <c r="C155" t="s">
        <v>91</v>
      </c>
      <c r="D155">
        <v>410</v>
      </c>
      <c r="E155" s="10">
        <v>415.95409319834539</v>
      </c>
    </row>
    <row r="156" spans="1:5" x14ac:dyDescent="0.45">
      <c r="A156" t="s">
        <v>336</v>
      </c>
      <c r="B156" t="s">
        <v>337</v>
      </c>
      <c r="C156" t="s">
        <v>91</v>
      </c>
      <c r="D156">
        <v>304</v>
      </c>
      <c r="E156" s="10">
        <v>310.47412161044002</v>
      </c>
    </row>
    <row r="157" spans="1:5" x14ac:dyDescent="0.45">
      <c r="A157" t="s">
        <v>338</v>
      </c>
      <c r="B157" t="s">
        <v>339</v>
      </c>
      <c r="C157" t="s">
        <v>91</v>
      </c>
      <c r="D157">
        <v>304</v>
      </c>
      <c r="E157" s="10">
        <v>309.92100617758263</v>
      </c>
    </row>
    <row r="158" spans="1:5" x14ac:dyDescent="0.45">
      <c r="A158" t="s">
        <v>382</v>
      </c>
      <c r="B158" t="s">
        <v>383</v>
      </c>
      <c r="C158" t="s">
        <v>91</v>
      </c>
      <c r="D158">
        <v>410</v>
      </c>
      <c r="E158" s="10">
        <v>416.03813649952269</v>
      </c>
    </row>
    <row r="159" spans="1:5" x14ac:dyDescent="0.45">
      <c r="A159" t="s">
        <v>340</v>
      </c>
      <c r="B159" t="s">
        <v>341</v>
      </c>
      <c r="C159" t="s">
        <v>46</v>
      </c>
      <c r="D159">
        <v>562</v>
      </c>
      <c r="E159" s="10">
        <v>568.13807300631993</v>
      </c>
    </row>
    <row r="160" spans="1:5" x14ac:dyDescent="0.45">
      <c r="A160" t="s">
        <v>85</v>
      </c>
      <c r="B160" t="s">
        <v>86</v>
      </c>
      <c r="C160" t="s">
        <v>46</v>
      </c>
      <c r="D160">
        <v>1089</v>
      </c>
      <c r="E160" s="10">
        <v>1091.8728917880539</v>
      </c>
    </row>
    <row r="161" spans="1:5" x14ac:dyDescent="0.45">
      <c r="A161" t="s">
        <v>102</v>
      </c>
      <c r="B161" t="s">
        <v>103</v>
      </c>
      <c r="C161" t="s">
        <v>46</v>
      </c>
      <c r="D161">
        <v>806</v>
      </c>
      <c r="E161" s="10">
        <v>811.49421717560847</v>
      </c>
    </row>
    <row r="162" spans="1:5" x14ac:dyDescent="0.45">
      <c r="A162" t="s">
        <v>342</v>
      </c>
      <c r="B162" t="s">
        <v>343</v>
      </c>
      <c r="C162" t="s">
        <v>46</v>
      </c>
      <c r="D162">
        <v>766</v>
      </c>
      <c r="E162" s="10">
        <v>769.18824360275028</v>
      </c>
    </row>
    <row r="163" spans="1:5" x14ac:dyDescent="0.45">
      <c r="A163" t="s">
        <v>370</v>
      </c>
      <c r="B163" t="s">
        <v>371</v>
      </c>
      <c r="C163" t="s">
        <v>54</v>
      </c>
      <c r="D163">
        <v>407</v>
      </c>
      <c r="E163" s="10">
        <v>411.93398004334148</v>
      </c>
    </row>
    <row r="164" spans="1:5" x14ac:dyDescent="0.45">
      <c r="A164" t="s">
        <v>344</v>
      </c>
      <c r="B164" t="s">
        <v>345</v>
      </c>
      <c r="C164" t="s">
        <v>46</v>
      </c>
      <c r="D164">
        <v>389</v>
      </c>
      <c r="E164" s="10">
        <v>393.96945251051318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6471A-77F2-44A3-A4CA-9662D3A7793E}">
  <sheetPr codeName="Sheet1"/>
  <dimension ref="A1:AT113"/>
  <sheetViews>
    <sheetView workbookViewId="0">
      <selection activeCell="AT12" sqref="AT12"/>
    </sheetView>
  </sheetViews>
  <sheetFormatPr defaultColWidth="9.1328125" defaultRowHeight="14.25" customHeight="1" x14ac:dyDescent="0.45"/>
  <cols>
    <col min="1" max="1" width="9.1328125" style="1" customWidth="1"/>
    <col min="2" max="3" width="0" style="1" hidden="1" customWidth="1"/>
    <col min="4" max="4" width="9.1328125" style="1"/>
    <col min="5" max="5" width="29.9296875" style="1" bestFit="1" customWidth="1"/>
    <col min="6" max="21" width="0" style="1" hidden="1" customWidth="1"/>
    <col min="22" max="25" width="9.1328125" style="1"/>
    <col min="26" max="42" width="0" style="1" hidden="1" customWidth="1"/>
    <col min="43" max="43" width="9.1328125" style="16"/>
    <col min="44" max="16384" width="9.1328125" style="1"/>
  </cols>
  <sheetData>
    <row r="1" spans="1:46" ht="16.149999999999999" thickBot="1" x14ac:dyDescent="0.5500000000000000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15" t="s">
        <v>42</v>
      </c>
    </row>
    <row r="2" spans="1:46" x14ac:dyDescent="0.45">
      <c r="A2" s="1">
        <v>1</v>
      </c>
      <c r="B2" s="1">
        <v>1</v>
      </c>
      <c r="C2" s="1">
        <v>90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  <c r="I2" s="1">
        <v>535</v>
      </c>
      <c r="J2" s="1">
        <v>12723</v>
      </c>
      <c r="K2" s="1">
        <v>1</v>
      </c>
      <c r="L2" s="1">
        <v>89</v>
      </c>
      <c r="M2" s="1">
        <v>1041</v>
      </c>
      <c r="N2" s="1" t="s">
        <v>48</v>
      </c>
      <c r="O2" s="1">
        <v>20364</v>
      </c>
      <c r="P2" s="1">
        <v>88</v>
      </c>
      <c r="Q2" s="1" t="s">
        <v>49</v>
      </c>
      <c r="R2" s="1" t="s">
        <v>50</v>
      </c>
      <c r="S2" s="1">
        <v>0</v>
      </c>
      <c r="T2" s="1">
        <v>0</v>
      </c>
      <c r="U2" s="1">
        <v>205.73699999999999</v>
      </c>
      <c r="V2" s="1">
        <v>24.99</v>
      </c>
      <c r="W2" s="1">
        <v>0.52</v>
      </c>
      <c r="X2" s="1">
        <v>0.13100000000000001</v>
      </c>
      <c r="Y2" s="1">
        <v>25.122</v>
      </c>
      <c r="Z2" s="1">
        <v>3.2000000000000001E-2</v>
      </c>
      <c r="AA2" s="1">
        <v>-2.7</v>
      </c>
      <c r="AB2" s="1">
        <v>-2.7</v>
      </c>
      <c r="AC2" s="1">
        <v>-2.7</v>
      </c>
      <c r="AD2" s="1">
        <v>0.13100000000000001</v>
      </c>
      <c r="AE2" s="1">
        <v>3.2000000000000001E-2</v>
      </c>
      <c r="AF2" s="1">
        <v>4.0000000000000001E-3</v>
      </c>
      <c r="AG2" s="1">
        <v>-2.7</v>
      </c>
      <c r="AI2" s="1">
        <v>0</v>
      </c>
      <c r="AJ2" s="1">
        <v>0</v>
      </c>
      <c r="AK2" s="1">
        <v>0</v>
      </c>
      <c r="AL2" s="1">
        <v>1</v>
      </c>
      <c r="AM2" s="1">
        <v>86400</v>
      </c>
      <c r="AN2" s="1">
        <v>69967</v>
      </c>
      <c r="AO2" s="1">
        <v>16433</v>
      </c>
      <c r="AP2" s="1">
        <v>43452</v>
      </c>
      <c r="AQ2" s="16">
        <v>1.6932807555292719</v>
      </c>
    </row>
    <row r="3" spans="1:46" x14ac:dyDescent="0.45">
      <c r="A3" s="1">
        <v>2</v>
      </c>
      <c r="B3" s="1">
        <v>1</v>
      </c>
      <c r="C3" s="1">
        <v>90</v>
      </c>
      <c r="D3" s="1" t="s">
        <v>43</v>
      </c>
      <c r="E3" s="1" t="s">
        <v>44</v>
      </c>
      <c r="F3" s="1" t="s">
        <v>45</v>
      </c>
      <c r="G3" s="1" t="s">
        <v>46</v>
      </c>
      <c r="H3" s="1" t="s">
        <v>47</v>
      </c>
      <c r="I3" s="1">
        <v>535</v>
      </c>
      <c r="J3" s="1">
        <v>12723</v>
      </c>
      <c r="K3" s="1">
        <v>1</v>
      </c>
      <c r="L3" s="1">
        <v>89</v>
      </c>
      <c r="M3" s="1">
        <v>1042</v>
      </c>
      <c r="N3" s="1" t="s">
        <v>48</v>
      </c>
      <c r="O3" s="1">
        <v>20405</v>
      </c>
      <c r="P3" s="1">
        <v>88</v>
      </c>
      <c r="Q3" s="1" t="s">
        <v>49</v>
      </c>
      <c r="R3" s="1" t="s">
        <v>50</v>
      </c>
      <c r="S3" s="1">
        <v>0</v>
      </c>
      <c r="T3" s="1">
        <v>0</v>
      </c>
      <c r="U3" s="1">
        <v>63.332999999999998</v>
      </c>
      <c r="V3" s="1">
        <v>24.972999999999999</v>
      </c>
      <c r="W3" s="1">
        <v>0.52</v>
      </c>
      <c r="X3" s="1">
        <v>0.14899999999999999</v>
      </c>
      <c r="Y3" s="1">
        <v>25.122</v>
      </c>
      <c r="Z3" s="1">
        <v>3.3000000000000002E-2</v>
      </c>
      <c r="AA3" s="1">
        <v>-2.8</v>
      </c>
      <c r="AB3" s="1">
        <v>-2.8</v>
      </c>
      <c r="AC3" s="1">
        <v>-2.8</v>
      </c>
      <c r="AD3" s="1">
        <v>0.14899999999999999</v>
      </c>
      <c r="AE3" s="1">
        <v>3.3000000000000002E-2</v>
      </c>
      <c r="AF3" s="1">
        <v>5.0000000000000001E-3</v>
      </c>
      <c r="AG3" s="1">
        <v>-2.8</v>
      </c>
      <c r="AI3" s="1">
        <v>0</v>
      </c>
      <c r="AJ3" s="1">
        <v>0</v>
      </c>
      <c r="AK3" s="1">
        <v>0</v>
      </c>
      <c r="AL3" s="1">
        <v>1</v>
      </c>
      <c r="AM3" s="1">
        <v>86400</v>
      </c>
      <c r="AN3" s="1">
        <v>71710</v>
      </c>
      <c r="AO3" s="1">
        <v>14690</v>
      </c>
      <c r="AP3" s="1">
        <v>43411</v>
      </c>
      <c r="AQ3" s="16">
        <v>4.7032532732046244</v>
      </c>
    </row>
    <row r="4" spans="1:46" x14ac:dyDescent="0.45">
      <c r="A4" s="1">
        <v>3</v>
      </c>
      <c r="B4" s="1">
        <v>1</v>
      </c>
      <c r="C4" s="1">
        <v>90</v>
      </c>
      <c r="D4" s="1" t="s">
        <v>43</v>
      </c>
      <c r="E4" s="1" t="s">
        <v>44</v>
      </c>
      <c r="F4" s="1" t="s">
        <v>45</v>
      </c>
      <c r="G4" s="1" t="s">
        <v>46</v>
      </c>
      <c r="H4" s="1" t="s">
        <v>47</v>
      </c>
      <c r="I4" s="1">
        <v>535</v>
      </c>
      <c r="J4" s="1">
        <v>12723</v>
      </c>
      <c r="K4" s="1">
        <v>1</v>
      </c>
      <c r="L4" s="1">
        <v>89</v>
      </c>
      <c r="M4" s="1">
        <v>1043</v>
      </c>
      <c r="N4" s="1" t="s">
        <v>48</v>
      </c>
      <c r="O4" s="1">
        <v>20406</v>
      </c>
      <c r="P4" s="1">
        <v>88</v>
      </c>
      <c r="Q4" s="1" t="s">
        <v>49</v>
      </c>
      <c r="R4" s="1" t="s">
        <v>50</v>
      </c>
      <c r="S4" s="1">
        <v>0</v>
      </c>
      <c r="T4" s="1">
        <v>0</v>
      </c>
      <c r="U4" s="1">
        <v>69.885999999999996</v>
      </c>
      <c r="V4" s="1">
        <v>24.724</v>
      </c>
      <c r="W4" s="1">
        <v>0.56000000000000005</v>
      </c>
      <c r="X4" s="1">
        <v>0.39800000000000002</v>
      </c>
      <c r="Y4" s="1">
        <v>25.122</v>
      </c>
      <c r="Z4" s="1">
        <v>3.4000000000000002E-2</v>
      </c>
      <c r="AA4" s="1">
        <v>-2.7</v>
      </c>
      <c r="AB4" s="1">
        <v>-2.7</v>
      </c>
      <c r="AC4" s="1">
        <v>-2.7</v>
      </c>
      <c r="AD4" s="1">
        <v>0.39800000000000002</v>
      </c>
      <c r="AE4" s="1">
        <v>3.4000000000000002E-2</v>
      </c>
      <c r="AF4" s="1">
        <v>1.4E-2</v>
      </c>
      <c r="AG4" s="1">
        <v>-2.7</v>
      </c>
      <c r="AI4" s="1">
        <v>0</v>
      </c>
      <c r="AJ4" s="1">
        <v>0</v>
      </c>
      <c r="AK4" s="1">
        <v>0</v>
      </c>
      <c r="AL4" s="1">
        <v>1</v>
      </c>
      <c r="AM4" s="1">
        <v>86400</v>
      </c>
      <c r="AN4" s="1">
        <v>79892</v>
      </c>
      <c r="AO4" s="1">
        <v>6508</v>
      </c>
      <c r="AP4" s="1">
        <v>43433</v>
      </c>
      <c r="AQ4" s="16">
        <v>14.25374788192698</v>
      </c>
    </row>
    <row r="5" spans="1:46" x14ac:dyDescent="0.45">
      <c r="A5" s="1">
        <v>4</v>
      </c>
      <c r="B5" s="1">
        <v>1</v>
      </c>
      <c r="C5" s="1">
        <v>90</v>
      </c>
      <c r="D5" s="1" t="s">
        <v>43</v>
      </c>
      <c r="E5" s="1" t="s">
        <v>44</v>
      </c>
      <c r="F5" s="1" t="s">
        <v>45</v>
      </c>
      <c r="G5" s="1" t="s">
        <v>46</v>
      </c>
      <c r="H5" s="1" t="s">
        <v>47</v>
      </c>
      <c r="I5" s="1">
        <v>535</v>
      </c>
      <c r="J5" s="1">
        <v>12723</v>
      </c>
      <c r="K5" s="1">
        <v>1</v>
      </c>
      <c r="L5" s="1">
        <v>89</v>
      </c>
      <c r="M5" s="1">
        <v>1044</v>
      </c>
      <c r="N5" s="1" t="s">
        <v>48</v>
      </c>
      <c r="O5" s="1">
        <v>20409</v>
      </c>
      <c r="P5" s="1">
        <v>88</v>
      </c>
      <c r="Q5" s="1" t="s">
        <v>49</v>
      </c>
      <c r="R5" s="1" t="s">
        <v>50</v>
      </c>
      <c r="S5" s="1">
        <v>0</v>
      </c>
      <c r="T5" s="1">
        <v>0</v>
      </c>
      <c r="U5" s="1">
        <v>197.97900000000001</v>
      </c>
      <c r="V5" s="1">
        <v>24.911999999999999</v>
      </c>
      <c r="W5" s="1">
        <v>0.53</v>
      </c>
      <c r="X5" s="1">
        <v>0.21</v>
      </c>
      <c r="Y5" s="1">
        <v>25.122</v>
      </c>
      <c r="Z5" s="1">
        <v>0.14099999999999999</v>
      </c>
      <c r="AA5" s="1">
        <v>-2.2000000000000002</v>
      </c>
      <c r="AB5" s="1">
        <v>-2.2000000000000002</v>
      </c>
      <c r="AC5" s="1">
        <v>-2.2000000000000002</v>
      </c>
      <c r="AD5" s="1">
        <v>0.21</v>
      </c>
      <c r="AE5" s="1">
        <v>0.14099999999999999</v>
      </c>
      <c r="AF5" s="1">
        <v>0.03</v>
      </c>
      <c r="AG5" s="1">
        <v>-2.2000000000000002</v>
      </c>
      <c r="AI5" s="1">
        <v>0</v>
      </c>
      <c r="AJ5" s="1">
        <v>0</v>
      </c>
      <c r="AK5" s="1">
        <v>0</v>
      </c>
      <c r="AL5" s="1">
        <v>1</v>
      </c>
      <c r="AM5" s="1">
        <v>86400</v>
      </c>
      <c r="AN5" s="1">
        <v>78218</v>
      </c>
      <c r="AO5" s="1">
        <v>8182</v>
      </c>
      <c r="AP5" s="1">
        <v>43449</v>
      </c>
      <c r="AQ5" s="16">
        <v>15.34256373566652</v>
      </c>
    </row>
    <row r="6" spans="1:46" x14ac:dyDescent="0.45">
      <c r="A6" s="1">
        <v>5</v>
      </c>
      <c r="B6" s="1">
        <v>1</v>
      </c>
      <c r="C6" s="1">
        <v>90</v>
      </c>
      <c r="D6" s="1" t="s">
        <v>43</v>
      </c>
      <c r="E6" s="1" t="s">
        <v>44</v>
      </c>
      <c r="F6" s="1" t="s">
        <v>45</v>
      </c>
      <c r="G6" s="1" t="s">
        <v>46</v>
      </c>
      <c r="H6" s="1" t="s">
        <v>47</v>
      </c>
      <c r="I6" s="1">
        <v>535</v>
      </c>
      <c r="J6" s="1">
        <v>12723</v>
      </c>
      <c r="K6" s="1">
        <v>1</v>
      </c>
      <c r="L6" s="1">
        <v>89</v>
      </c>
      <c r="M6" s="1">
        <v>1045</v>
      </c>
      <c r="N6" s="1" t="s">
        <v>48</v>
      </c>
      <c r="O6" s="1">
        <v>20411</v>
      </c>
      <c r="P6" s="1">
        <v>88</v>
      </c>
      <c r="Q6" s="1" t="s">
        <v>49</v>
      </c>
      <c r="R6" s="1" t="s">
        <v>50</v>
      </c>
      <c r="S6" s="1">
        <v>0</v>
      </c>
      <c r="T6" s="1">
        <v>0</v>
      </c>
      <c r="U6" s="1">
        <v>128.02099999999999</v>
      </c>
      <c r="V6" s="1">
        <v>24.83</v>
      </c>
      <c r="W6" s="1">
        <v>0.55000000000000004</v>
      </c>
      <c r="X6" s="1">
        <v>0.28999999999999998</v>
      </c>
      <c r="Y6" s="1">
        <v>25.119</v>
      </c>
      <c r="Z6" s="1">
        <v>0.125</v>
      </c>
      <c r="AA6" s="1">
        <v>-1.4</v>
      </c>
      <c r="AB6" s="1">
        <v>-1.4</v>
      </c>
      <c r="AC6" s="1">
        <v>-1.4</v>
      </c>
      <c r="AD6" s="1">
        <v>0.28999999999999998</v>
      </c>
      <c r="AE6" s="1">
        <v>0.124</v>
      </c>
      <c r="AF6" s="1">
        <v>3.5999999999999997E-2</v>
      </c>
      <c r="AG6" s="1">
        <v>-1.4</v>
      </c>
      <c r="AI6" s="1">
        <v>0</v>
      </c>
      <c r="AJ6" s="1">
        <v>0</v>
      </c>
      <c r="AK6" s="1">
        <v>0</v>
      </c>
      <c r="AL6" s="1">
        <v>1</v>
      </c>
      <c r="AM6" s="1">
        <v>86400</v>
      </c>
      <c r="AN6" s="1">
        <v>78736</v>
      </c>
      <c r="AO6" s="1">
        <v>7664</v>
      </c>
      <c r="AP6" s="1">
        <v>43376</v>
      </c>
      <c r="AQ6" s="16">
        <v>28.711608171234531</v>
      </c>
    </row>
    <row r="7" spans="1:46" x14ac:dyDescent="0.45">
      <c r="A7" s="1">
        <v>6</v>
      </c>
      <c r="B7" s="1">
        <v>26</v>
      </c>
      <c r="C7" s="1">
        <v>126</v>
      </c>
      <c r="D7" s="1" t="s">
        <v>51</v>
      </c>
      <c r="E7" s="1" t="s">
        <v>52</v>
      </c>
      <c r="F7" s="1" t="s">
        <v>53</v>
      </c>
      <c r="G7" s="1" t="s">
        <v>54</v>
      </c>
      <c r="H7" s="1" t="s">
        <v>47</v>
      </c>
      <c r="I7" s="1">
        <v>1113</v>
      </c>
      <c r="J7" s="1">
        <v>60690</v>
      </c>
      <c r="K7" s="1">
        <v>1</v>
      </c>
      <c r="L7" s="1">
        <v>125</v>
      </c>
      <c r="M7" s="1">
        <v>467</v>
      </c>
      <c r="N7" s="1" t="s">
        <v>48</v>
      </c>
      <c r="O7" s="1">
        <v>13931</v>
      </c>
      <c r="P7" s="1">
        <v>88</v>
      </c>
      <c r="Q7" s="1" t="s">
        <v>49</v>
      </c>
      <c r="R7" s="1" t="s">
        <v>50</v>
      </c>
      <c r="S7" s="1">
        <v>0</v>
      </c>
      <c r="T7" s="1">
        <v>0</v>
      </c>
      <c r="U7" s="1">
        <v>114.378</v>
      </c>
      <c r="V7" s="1">
        <v>26.774000000000001</v>
      </c>
      <c r="W7" s="1">
        <v>0.61</v>
      </c>
      <c r="X7" s="1">
        <v>0.54600000000000004</v>
      </c>
      <c r="Y7" s="1">
        <v>27.318999999999999</v>
      </c>
      <c r="Z7" s="1">
        <v>0.59699999999999998</v>
      </c>
      <c r="AA7" s="1">
        <v>0.8</v>
      </c>
      <c r="AB7" s="1">
        <v>0.8</v>
      </c>
      <c r="AC7" s="1">
        <v>0.8</v>
      </c>
      <c r="AD7" s="1">
        <v>0.54600000000000004</v>
      </c>
      <c r="AE7" s="1">
        <v>0.59699999999999998</v>
      </c>
      <c r="AF7" s="1">
        <v>0.32600000000000001</v>
      </c>
      <c r="AG7" s="1">
        <v>0.8</v>
      </c>
      <c r="AI7" s="1">
        <v>0</v>
      </c>
      <c r="AJ7" s="1">
        <v>0</v>
      </c>
      <c r="AK7" s="1">
        <v>0</v>
      </c>
      <c r="AL7" s="1">
        <v>1</v>
      </c>
      <c r="AM7" s="1">
        <v>86400</v>
      </c>
      <c r="AN7" s="1">
        <v>79611</v>
      </c>
      <c r="AO7" s="1">
        <v>6789</v>
      </c>
      <c r="AP7" s="1">
        <v>43784</v>
      </c>
      <c r="AQ7" s="16">
        <v>14.726650808541009</v>
      </c>
    </row>
    <row r="8" spans="1:46" x14ac:dyDescent="0.45">
      <c r="A8" s="1">
        <v>7</v>
      </c>
      <c r="B8" s="1">
        <v>26</v>
      </c>
      <c r="C8" s="1">
        <v>126</v>
      </c>
      <c r="D8" s="1" t="s">
        <v>51</v>
      </c>
      <c r="E8" s="1" t="s">
        <v>52</v>
      </c>
      <c r="F8" s="1" t="s">
        <v>53</v>
      </c>
      <c r="G8" s="1" t="s">
        <v>54</v>
      </c>
      <c r="H8" s="1" t="s">
        <v>47</v>
      </c>
      <c r="I8" s="1">
        <v>1113</v>
      </c>
      <c r="J8" s="1">
        <v>60690</v>
      </c>
      <c r="K8" s="1">
        <v>1</v>
      </c>
      <c r="L8" s="1">
        <v>125</v>
      </c>
      <c r="M8" s="1">
        <v>468</v>
      </c>
      <c r="N8" s="1" t="s">
        <v>48</v>
      </c>
      <c r="O8" s="1">
        <v>13937</v>
      </c>
      <c r="P8" s="1">
        <v>88</v>
      </c>
      <c r="Q8" s="1" t="s">
        <v>49</v>
      </c>
      <c r="R8" s="1" t="s">
        <v>50</v>
      </c>
      <c r="S8" s="1">
        <v>0</v>
      </c>
      <c r="T8" s="1">
        <v>0</v>
      </c>
      <c r="U8" s="1">
        <v>96.623000000000005</v>
      </c>
      <c r="V8" s="1">
        <v>25.923999999999999</v>
      </c>
      <c r="W8" s="1">
        <v>1.21</v>
      </c>
      <c r="X8" s="1">
        <v>0.97</v>
      </c>
      <c r="Y8" s="1">
        <v>26.893999999999998</v>
      </c>
      <c r="Z8" s="1">
        <v>0.66800000000000004</v>
      </c>
      <c r="AA8" s="1">
        <v>0.4</v>
      </c>
      <c r="AB8" s="1">
        <v>0.4</v>
      </c>
      <c r="AC8" s="1">
        <v>0.4</v>
      </c>
      <c r="AD8" s="1">
        <v>0.97</v>
      </c>
      <c r="AE8" s="1">
        <v>0.66800000000000004</v>
      </c>
      <c r="AF8" s="1">
        <v>0.64800000000000002</v>
      </c>
      <c r="AG8" s="1">
        <v>0.4</v>
      </c>
      <c r="AI8" s="1">
        <v>0</v>
      </c>
      <c r="AJ8" s="1">
        <v>0</v>
      </c>
      <c r="AK8" s="1">
        <v>0</v>
      </c>
      <c r="AL8" s="1">
        <v>1</v>
      </c>
      <c r="AM8" s="1">
        <v>86400</v>
      </c>
      <c r="AN8" s="1">
        <v>79912</v>
      </c>
      <c r="AO8" s="1">
        <v>6488</v>
      </c>
      <c r="AP8" s="1">
        <v>47013</v>
      </c>
      <c r="AQ8" s="16">
        <v>13.826346560234111</v>
      </c>
    </row>
    <row r="9" spans="1:46" x14ac:dyDescent="0.45">
      <c r="A9" s="1">
        <v>8</v>
      </c>
      <c r="B9" s="1">
        <v>26</v>
      </c>
      <c r="C9" s="1">
        <v>126</v>
      </c>
      <c r="D9" s="1" t="s">
        <v>51</v>
      </c>
      <c r="E9" s="1" t="s">
        <v>52</v>
      </c>
      <c r="F9" s="1" t="s">
        <v>53</v>
      </c>
      <c r="G9" s="1" t="s">
        <v>54</v>
      </c>
      <c r="H9" s="1" t="s">
        <v>47</v>
      </c>
      <c r="I9" s="1">
        <v>1113</v>
      </c>
      <c r="J9" s="1">
        <v>60690</v>
      </c>
      <c r="K9" s="1">
        <v>1</v>
      </c>
      <c r="L9" s="1">
        <v>125</v>
      </c>
      <c r="M9" s="1">
        <v>469</v>
      </c>
      <c r="N9" s="1" t="s">
        <v>48</v>
      </c>
      <c r="O9" s="1">
        <v>13939</v>
      </c>
      <c r="P9" s="1">
        <v>88</v>
      </c>
      <c r="Q9" s="1" t="s">
        <v>49</v>
      </c>
      <c r="R9" s="1" t="s">
        <v>50</v>
      </c>
      <c r="S9" s="1">
        <v>0</v>
      </c>
      <c r="T9" s="1">
        <v>0</v>
      </c>
      <c r="U9" s="1">
        <v>50.188000000000002</v>
      </c>
      <c r="V9" s="1">
        <v>26.661999999999999</v>
      </c>
      <c r="W9" s="1">
        <v>0.55000000000000004</v>
      </c>
      <c r="X9" s="1">
        <v>0.23400000000000001</v>
      </c>
      <c r="Y9" s="1">
        <v>26.896000000000001</v>
      </c>
      <c r="Z9" s="1">
        <v>0.69199999999999995</v>
      </c>
      <c r="AA9" s="1">
        <v>0.4</v>
      </c>
      <c r="AB9" s="1">
        <v>0.4</v>
      </c>
      <c r="AC9" s="1">
        <v>0.4</v>
      </c>
      <c r="AD9" s="1">
        <v>0.23400000000000001</v>
      </c>
      <c r="AE9" s="1">
        <v>0.69199999999999995</v>
      </c>
      <c r="AF9" s="1">
        <v>0.16200000000000001</v>
      </c>
      <c r="AG9" s="1">
        <v>0.4</v>
      </c>
      <c r="AI9" s="1">
        <v>0</v>
      </c>
      <c r="AJ9" s="1">
        <v>0</v>
      </c>
      <c r="AK9" s="1">
        <v>0</v>
      </c>
      <c r="AL9" s="1">
        <v>1</v>
      </c>
      <c r="AM9" s="1">
        <v>86400</v>
      </c>
      <c r="AN9" s="1">
        <v>64034</v>
      </c>
      <c r="AO9" s="1">
        <v>22366</v>
      </c>
      <c r="AP9" s="1">
        <v>43898</v>
      </c>
      <c r="AQ9" s="16">
        <v>2.0159687930275378</v>
      </c>
    </row>
    <row r="10" spans="1:46" x14ac:dyDescent="0.45">
      <c r="A10" s="1">
        <v>9</v>
      </c>
      <c r="B10" s="1">
        <v>26</v>
      </c>
      <c r="C10" s="1">
        <v>126</v>
      </c>
      <c r="D10" s="1" t="s">
        <v>51</v>
      </c>
      <c r="E10" s="1" t="s">
        <v>52</v>
      </c>
      <c r="F10" s="1" t="s">
        <v>53</v>
      </c>
      <c r="G10" s="1" t="s">
        <v>54</v>
      </c>
      <c r="H10" s="1" t="s">
        <v>47</v>
      </c>
      <c r="I10" s="1">
        <v>1113</v>
      </c>
      <c r="J10" s="1">
        <v>60690</v>
      </c>
      <c r="K10" s="1">
        <v>1</v>
      </c>
      <c r="L10" s="1">
        <v>125</v>
      </c>
      <c r="M10" s="1">
        <v>470</v>
      </c>
      <c r="N10" s="1" t="s">
        <v>48</v>
      </c>
      <c r="O10" s="1">
        <v>13942</v>
      </c>
      <c r="P10" s="1">
        <v>88</v>
      </c>
      <c r="Q10" s="1" t="s">
        <v>49</v>
      </c>
      <c r="R10" s="1" t="s">
        <v>50</v>
      </c>
      <c r="S10" s="1">
        <v>0</v>
      </c>
      <c r="T10" s="1">
        <v>0</v>
      </c>
      <c r="U10" s="1">
        <v>103.935</v>
      </c>
      <c r="V10" s="1">
        <v>26.231999999999999</v>
      </c>
      <c r="W10" s="1">
        <v>0.53</v>
      </c>
      <c r="X10" s="1">
        <v>0.14000000000000001</v>
      </c>
      <c r="Y10" s="1">
        <v>26.372</v>
      </c>
      <c r="Z10" s="1">
        <v>0.83399999999999996</v>
      </c>
      <c r="AA10" s="1">
        <v>0.7</v>
      </c>
      <c r="AB10" s="1">
        <v>0.7</v>
      </c>
      <c r="AC10" s="1">
        <v>0.7</v>
      </c>
      <c r="AD10" s="1">
        <v>0.14000000000000001</v>
      </c>
      <c r="AE10" s="1">
        <v>0.83399999999999996</v>
      </c>
      <c r="AF10" s="1">
        <v>0.11700000000000001</v>
      </c>
      <c r="AG10" s="1">
        <v>0.7</v>
      </c>
      <c r="AI10" s="1">
        <v>0</v>
      </c>
      <c r="AJ10" s="1">
        <v>0</v>
      </c>
      <c r="AK10" s="1">
        <v>0</v>
      </c>
      <c r="AL10" s="1">
        <v>1</v>
      </c>
      <c r="AM10" s="1">
        <v>86400</v>
      </c>
      <c r="AN10" s="1">
        <v>79777</v>
      </c>
      <c r="AO10" s="1">
        <v>6623</v>
      </c>
      <c r="AP10" s="1">
        <v>46943</v>
      </c>
      <c r="AQ10" s="16">
        <v>13.86191296548439</v>
      </c>
    </row>
    <row r="11" spans="1:46" x14ac:dyDescent="0.45">
      <c r="A11" s="1">
        <v>10</v>
      </c>
      <c r="B11" s="1">
        <v>26</v>
      </c>
      <c r="C11" s="1">
        <v>126</v>
      </c>
      <c r="D11" s="1" t="s">
        <v>51</v>
      </c>
      <c r="E11" s="1" t="s">
        <v>52</v>
      </c>
      <c r="F11" s="1" t="s">
        <v>53</v>
      </c>
      <c r="G11" s="1" t="s">
        <v>54</v>
      </c>
      <c r="H11" s="1" t="s">
        <v>47</v>
      </c>
      <c r="I11" s="1">
        <v>1113</v>
      </c>
      <c r="J11" s="1">
        <v>60690</v>
      </c>
      <c r="K11" s="1">
        <v>1</v>
      </c>
      <c r="L11" s="1">
        <v>125</v>
      </c>
      <c r="M11" s="1">
        <v>471</v>
      </c>
      <c r="N11" s="1" t="s">
        <v>48</v>
      </c>
      <c r="O11" s="1">
        <v>13947</v>
      </c>
      <c r="P11" s="1">
        <v>88</v>
      </c>
      <c r="Q11" s="1" t="s">
        <v>49</v>
      </c>
      <c r="R11" s="1" t="s">
        <v>50</v>
      </c>
      <c r="S11" s="1">
        <v>0</v>
      </c>
      <c r="T11" s="1">
        <v>0</v>
      </c>
      <c r="U11" s="1">
        <v>65.254999999999995</v>
      </c>
      <c r="V11" s="1">
        <v>25.541</v>
      </c>
      <c r="W11" s="1">
        <v>0.53</v>
      </c>
      <c r="X11" s="1">
        <v>0.13100000000000001</v>
      </c>
      <c r="Y11" s="1">
        <v>25.672999999999998</v>
      </c>
      <c r="Z11" s="1">
        <v>0.72499999999999998</v>
      </c>
      <c r="AA11" s="1">
        <v>1</v>
      </c>
      <c r="AB11" s="1">
        <v>1</v>
      </c>
      <c r="AC11" s="1">
        <v>1</v>
      </c>
      <c r="AD11" s="1">
        <v>0.13100000000000001</v>
      </c>
      <c r="AE11" s="1">
        <v>0.72399999999999998</v>
      </c>
      <c r="AF11" s="1">
        <v>9.5000000000000001E-2</v>
      </c>
      <c r="AG11" s="1">
        <v>1</v>
      </c>
      <c r="AI11" s="1">
        <v>0</v>
      </c>
      <c r="AJ11" s="1">
        <v>0</v>
      </c>
      <c r="AK11" s="1">
        <v>0</v>
      </c>
      <c r="AL11" s="1">
        <v>1</v>
      </c>
      <c r="AM11" s="1">
        <v>86400</v>
      </c>
      <c r="AN11" s="1">
        <v>80403</v>
      </c>
      <c r="AO11" s="1">
        <v>5997</v>
      </c>
      <c r="AP11" s="1">
        <v>46832</v>
      </c>
      <c r="AQ11" s="16">
        <v>8.1583103042716871</v>
      </c>
    </row>
    <row r="12" spans="1:46" x14ac:dyDescent="0.45">
      <c r="A12" s="1">
        <v>11</v>
      </c>
      <c r="B12" s="1">
        <v>26</v>
      </c>
      <c r="C12" s="1">
        <v>126</v>
      </c>
      <c r="D12" s="1" t="s">
        <v>51</v>
      </c>
      <c r="E12" s="1" t="s">
        <v>52</v>
      </c>
      <c r="F12" s="1" t="s">
        <v>53</v>
      </c>
      <c r="G12" s="1" t="s">
        <v>54</v>
      </c>
      <c r="H12" s="1" t="s">
        <v>47</v>
      </c>
      <c r="I12" s="1">
        <v>1113</v>
      </c>
      <c r="J12" s="1">
        <v>60690</v>
      </c>
      <c r="K12" s="1">
        <v>1</v>
      </c>
      <c r="L12" s="1">
        <v>125</v>
      </c>
      <c r="M12" s="1">
        <v>473</v>
      </c>
      <c r="N12" s="1" t="s">
        <v>48</v>
      </c>
      <c r="O12" s="1">
        <v>13980</v>
      </c>
      <c r="P12" s="1">
        <v>88</v>
      </c>
      <c r="Q12" s="1" t="s">
        <v>49</v>
      </c>
      <c r="R12" s="1" t="s">
        <v>50</v>
      </c>
      <c r="S12" s="1">
        <v>0</v>
      </c>
      <c r="T12" s="1">
        <v>0</v>
      </c>
      <c r="U12" s="1">
        <v>129.672</v>
      </c>
      <c r="V12" s="1">
        <v>26.687000000000001</v>
      </c>
      <c r="W12" s="1">
        <v>1.22</v>
      </c>
      <c r="X12" s="1">
        <v>1.226</v>
      </c>
      <c r="Y12" s="1">
        <v>27.913</v>
      </c>
      <c r="Z12" s="1">
        <v>0.32100000000000001</v>
      </c>
      <c r="AA12" s="1">
        <v>1.7</v>
      </c>
      <c r="AB12" s="1">
        <v>1.7</v>
      </c>
      <c r="AC12" s="1">
        <v>1.7</v>
      </c>
      <c r="AD12" s="1">
        <v>1.226</v>
      </c>
      <c r="AE12" s="1">
        <v>0.32100000000000001</v>
      </c>
      <c r="AF12" s="1">
        <v>0.39300000000000002</v>
      </c>
      <c r="AG12" s="1">
        <v>1.7</v>
      </c>
      <c r="AI12" s="1">
        <v>0</v>
      </c>
      <c r="AJ12" s="1">
        <v>0</v>
      </c>
      <c r="AK12" s="1">
        <v>0</v>
      </c>
      <c r="AL12" s="1">
        <v>1</v>
      </c>
      <c r="AM12" s="1">
        <v>86400</v>
      </c>
      <c r="AN12" s="1">
        <v>80224</v>
      </c>
      <c r="AO12" s="1">
        <v>6176</v>
      </c>
      <c r="AP12" s="1">
        <v>46879</v>
      </c>
      <c r="AQ12" s="16">
        <v>16.446085103472111</v>
      </c>
    </row>
    <row r="13" spans="1:46" x14ac:dyDescent="0.45">
      <c r="A13" s="1">
        <v>12</v>
      </c>
      <c r="B13" s="1">
        <v>26</v>
      </c>
      <c r="C13" s="1">
        <v>126</v>
      </c>
      <c r="D13" s="1" t="s">
        <v>51</v>
      </c>
      <c r="E13" s="1" t="s">
        <v>52</v>
      </c>
      <c r="F13" s="1" t="s">
        <v>53</v>
      </c>
      <c r="G13" s="1" t="s">
        <v>54</v>
      </c>
      <c r="H13" s="1" t="s">
        <v>47</v>
      </c>
      <c r="I13" s="1">
        <v>1113</v>
      </c>
      <c r="J13" s="1">
        <v>60690</v>
      </c>
      <c r="K13" s="1">
        <v>1</v>
      </c>
      <c r="L13" s="1">
        <v>125</v>
      </c>
      <c r="M13" s="1">
        <v>474</v>
      </c>
      <c r="N13" s="1" t="s">
        <v>48</v>
      </c>
      <c r="O13" s="1">
        <v>13981</v>
      </c>
      <c r="P13" s="1">
        <v>88</v>
      </c>
      <c r="Q13" s="1" t="s">
        <v>49</v>
      </c>
      <c r="R13" s="1" t="s">
        <v>50</v>
      </c>
      <c r="S13" s="1">
        <v>0</v>
      </c>
      <c r="T13" s="1">
        <v>0</v>
      </c>
      <c r="U13" s="1">
        <v>101.494</v>
      </c>
      <c r="V13" s="1">
        <v>27.503</v>
      </c>
      <c r="W13" s="1">
        <v>0.56000000000000005</v>
      </c>
      <c r="X13" s="1">
        <v>0.41</v>
      </c>
      <c r="Y13" s="1">
        <v>27.913</v>
      </c>
      <c r="Z13" s="1">
        <v>5.8999999999999997E-2</v>
      </c>
      <c r="AA13" s="1">
        <v>-2.4</v>
      </c>
      <c r="AB13" s="1">
        <v>1</v>
      </c>
      <c r="AC13" s="1">
        <v>1</v>
      </c>
      <c r="AD13" s="1">
        <v>0.41</v>
      </c>
      <c r="AE13" s="1">
        <v>4.2999999999999997E-2</v>
      </c>
      <c r="AF13" s="1">
        <v>1.7999999999999999E-2</v>
      </c>
      <c r="AI13" s="1">
        <v>0</v>
      </c>
      <c r="AJ13" s="1">
        <v>0</v>
      </c>
      <c r="AK13" s="1">
        <v>0</v>
      </c>
      <c r="AL13" s="1">
        <v>1</v>
      </c>
      <c r="AM13" s="1">
        <v>86400</v>
      </c>
      <c r="AN13" s="1">
        <v>63428</v>
      </c>
      <c r="AO13" s="1">
        <v>22972</v>
      </c>
      <c r="AP13" s="1">
        <v>43985</v>
      </c>
      <c r="AQ13" s="16">
        <v>2.550246115372929</v>
      </c>
    </row>
    <row r="14" spans="1:46" x14ac:dyDescent="0.45">
      <c r="A14" s="1">
        <v>13</v>
      </c>
      <c r="B14" s="1">
        <v>26</v>
      </c>
      <c r="C14" s="1">
        <v>126</v>
      </c>
      <c r="D14" s="1" t="s">
        <v>51</v>
      </c>
      <c r="E14" s="1" t="s">
        <v>52</v>
      </c>
      <c r="F14" s="1" t="s">
        <v>53</v>
      </c>
      <c r="G14" s="1" t="s">
        <v>54</v>
      </c>
      <c r="H14" s="1" t="s">
        <v>47</v>
      </c>
      <c r="I14" s="1">
        <v>1113</v>
      </c>
      <c r="J14" s="1">
        <v>60690</v>
      </c>
      <c r="K14" s="1">
        <v>1</v>
      </c>
      <c r="L14" s="1">
        <v>125</v>
      </c>
      <c r="M14" s="1">
        <v>475</v>
      </c>
      <c r="N14" s="1" t="s">
        <v>48</v>
      </c>
      <c r="O14" s="1">
        <v>13983</v>
      </c>
      <c r="P14" s="1">
        <v>88</v>
      </c>
      <c r="Q14" s="1" t="s">
        <v>49</v>
      </c>
      <c r="R14" s="1" t="s">
        <v>50</v>
      </c>
      <c r="S14" s="1">
        <v>0</v>
      </c>
      <c r="T14" s="1">
        <v>0</v>
      </c>
      <c r="U14" s="1">
        <v>120.179</v>
      </c>
      <c r="V14" s="1">
        <v>26.143000000000001</v>
      </c>
      <c r="W14" s="1">
        <v>1.27</v>
      </c>
      <c r="X14" s="1">
        <v>1.77</v>
      </c>
      <c r="Y14" s="1">
        <v>27.913</v>
      </c>
      <c r="Z14" s="1">
        <v>1.4999999999999999E-2</v>
      </c>
      <c r="AA14" s="1">
        <v>2.2999999999999998</v>
      </c>
      <c r="AB14" s="1">
        <v>0.5</v>
      </c>
      <c r="AC14" s="1">
        <v>0.5</v>
      </c>
      <c r="AD14" s="1">
        <v>1.77</v>
      </c>
      <c r="AE14" s="1">
        <v>0.01</v>
      </c>
      <c r="AF14" s="1">
        <v>1.7999999999999999E-2</v>
      </c>
      <c r="AG14" s="1">
        <v>2.2999999999999998</v>
      </c>
      <c r="AI14" s="1">
        <v>0</v>
      </c>
      <c r="AJ14" s="1">
        <v>0</v>
      </c>
      <c r="AK14" s="1">
        <v>0</v>
      </c>
      <c r="AL14" s="1">
        <v>1</v>
      </c>
      <c r="AM14" s="1">
        <v>86400</v>
      </c>
      <c r="AN14" s="1">
        <v>80503</v>
      </c>
      <c r="AO14" s="1">
        <v>5897</v>
      </c>
      <c r="AP14" s="1">
        <v>47412</v>
      </c>
      <c r="AQ14" s="16">
        <v>18.214009098420071</v>
      </c>
    </row>
    <row r="15" spans="1:46" x14ac:dyDescent="0.45">
      <c r="A15" s="1">
        <v>14</v>
      </c>
      <c r="B15" s="1">
        <v>26</v>
      </c>
      <c r="C15" s="1">
        <v>126</v>
      </c>
      <c r="D15" s="1" t="s">
        <v>51</v>
      </c>
      <c r="E15" s="1" t="s">
        <v>52</v>
      </c>
      <c r="F15" s="1" t="s">
        <v>53</v>
      </c>
      <c r="G15" s="1" t="s">
        <v>54</v>
      </c>
      <c r="H15" s="1" t="s">
        <v>47</v>
      </c>
      <c r="I15" s="1">
        <v>1113</v>
      </c>
      <c r="J15" s="1">
        <v>60690</v>
      </c>
      <c r="K15" s="1">
        <v>1</v>
      </c>
      <c r="L15" s="1">
        <v>125</v>
      </c>
      <c r="M15" s="1">
        <v>476</v>
      </c>
      <c r="N15" s="1" t="s">
        <v>48</v>
      </c>
      <c r="O15" s="1">
        <v>13984</v>
      </c>
      <c r="P15" s="1">
        <v>88</v>
      </c>
      <c r="Q15" s="1" t="s">
        <v>49</v>
      </c>
      <c r="R15" s="1" t="s">
        <v>50</v>
      </c>
      <c r="S15" s="1">
        <v>0</v>
      </c>
      <c r="T15" s="1">
        <v>0</v>
      </c>
      <c r="U15" s="1">
        <v>56.768999999999998</v>
      </c>
      <c r="V15" s="1">
        <v>26.436</v>
      </c>
      <c r="W15" s="1">
        <v>1.23</v>
      </c>
      <c r="X15" s="1">
        <v>1.4770000000000001</v>
      </c>
      <c r="Y15" s="1">
        <v>27.913</v>
      </c>
      <c r="Z15" s="1">
        <v>5.8999999999999997E-2</v>
      </c>
      <c r="AA15" s="1">
        <v>2.2000000000000002</v>
      </c>
      <c r="AB15" s="1">
        <v>2</v>
      </c>
      <c r="AC15" s="1">
        <v>2</v>
      </c>
      <c r="AD15" s="1">
        <v>1.4770000000000001</v>
      </c>
      <c r="AE15" s="1">
        <v>4.9000000000000002E-2</v>
      </c>
      <c r="AF15" s="1">
        <v>7.1999999999999995E-2</v>
      </c>
      <c r="AG15" s="1">
        <v>2.2000000000000002</v>
      </c>
      <c r="AI15" s="1">
        <v>0</v>
      </c>
      <c r="AJ15" s="1">
        <v>0</v>
      </c>
      <c r="AK15" s="1">
        <v>0</v>
      </c>
      <c r="AL15" s="1">
        <v>1</v>
      </c>
      <c r="AM15" s="1">
        <v>86400</v>
      </c>
      <c r="AN15" s="1">
        <v>77810</v>
      </c>
      <c r="AO15" s="1">
        <v>8590</v>
      </c>
      <c r="AP15" s="1">
        <v>43867</v>
      </c>
      <c r="AQ15" s="16">
        <v>8.1239243294216497</v>
      </c>
    </row>
    <row r="16" spans="1:46" x14ac:dyDescent="0.45">
      <c r="A16" s="1">
        <v>15</v>
      </c>
      <c r="B16" s="1">
        <v>26</v>
      </c>
      <c r="C16" s="1">
        <v>126</v>
      </c>
      <c r="D16" s="1" t="s">
        <v>51</v>
      </c>
      <c r="E16" s="1" t="s">
        <v>52</v>
      </c>
      <c r="F16" s="1" t="s">
        <v>53</v>
      </c>
      <c r="G16" s="1" t="s">
        <v>54</v>
      </c>
      <c r="H16" s="1" t="s">
        <v>47</v>
      </c>
      <c r="I16" s="1">
        <v>1113</v>
      </c>
      <c r="J16" s="1">
        <v>60690</v>
      </c>
      <c r="K16" s="1">
        <v>1</v>
      </c>
      <c r="L16" s="1">
        <v>125</v>
      </c>
      <c r="M16" s="1">
        <v>477</v>
      </c>
      <c r="N16" s="1" t="s">
        <v>48</v>
      </c>
      <c r="O16" s="1">
        <v>13985</v>
      </c>
      <c r="P16" s="1">
        <v>88</v>
      </c>
      <c r="Q16" s="1" t="s">
        <v>49</v>
      </c>
      <c r="R16" s="1" t="s">
        <v>50</v>
      </c>
      <c r="S16" s="1">
        <v>0</v>
      </c>
      <c r="T16" s="1">
        <v>0</v>
      </c>
      <c r="U16" s="1">
        <v>123.34399999999999</v>
      </c>
      <c r="V16" s="1">
        <v>26.719000000000001</v>
      </c>
      <c r="W16" s="1">
        <v>1.2</v>
      </c>
      <c r="X16" s="1">
        <v>1.194</v>
      </c>
      <c r="Y16" s="1">
        <v>27.913</v>
      </c>
      <c r="Z16" s="1">
        <v>0.2</v>
      </c>
      <c r="AA16" s="1">
        <v>1</v>
      </c>
      <c r="AB16" s="1">
        <v>1</v>
      </c>
      <c r="AC16" s="1">
        <v>1</v>
      </c>
      <c r="AD16" s="1">
        <v>1.194</v>
      </c>
      <c r="AE16" s="1">
        <v>0.2</v>
      </c>
      <c r="AF16" s="1">
        <v>0.23899999999999999</v>
      </c>
      <c r="AG16" s="1">
        <v>1</v>
      </c>
      <c r="AI16" s="1">
        <v>0</v>
      </c>
      <c r="AJ16" s="1">
        <v>0</v>
      </c>
      <c r="AK16" s="1">
        <v>0</v>
      </c>
      <c r="AL16" s="1">
        <v>1</v>
      </c>
      <c r="AM16" s="1">
        <v>86400</v>
      </c>
      <c r="AN16" s="1">
        <v>74198</v>
      </c>
      <c r="AO16" s="1">
        <v>12202</v>
      </c>
      <c r="AP16" s="1">
        <v>44557</v>
      </c>
      <c r="AQ16" s="16">
        <v>19.124216548558131</v>
      </c>
      <c r="AT16" s="1">
        <f>VLOOKUP(E27,E2:AQ39,21)</f>
        <v>25.568000000000001</v>
      </c>
    </row>
    <row r="17" spans="1:46" x14ac:dyDescent="0.45">
      <c r="A17" s="1">
        <v>16</v>
      </c>
      <c r="B17" s="1">
        <v>26</v>
      </c>
      <c r="C17" s="1">
        <v>126</v>
      </c>
      <c r="D17" s="1" t="s">
        <v>51</v>
      </c>
      <c r="E17" s="1" t="s">
        <v>52</v>
      </c>
      <c r="F17" s="1" t="s">
        <v>53</v>
      </c>
      <c r="G17" s="1" t="s">
        <v>54</v>
      </c>
      <c r="H17" s="1" t="s">
        <v>47</v>
      </c>
      <c r="I17" s="1">
        <v>1113</v>
      </c>
      <c r="J17" s="1">
        <v>60690</v>
      </c>
      <c r="K17" s="1">
        <v>1</v>
      </c>
      <c r="L17" s="1">
        <v>125</v>
      </c>
      <c r="M17" s="1">
        <v>478</v>
      </c>
      <c r="N17" s="1" t="s">
        <v>48</v>
      </c>
      <c r="O17" s="1">
        <v>13991</v>
      </c>
      <c r="P17" s="1">
        <v>88</v>
      </c>
      <c r="Q17" s="1" t="s">
        <v>49</v>
      </c>
      <c r="R17" s="1" t="s">
        <v>50</v>
      </c>
      <c r="S17" s="1">
        <v>0</v>
      </c>
      <c r="T17" s="1">
        <v>0</v>
      </c>
      <c r="U17" s="1">
        <v>207.12200000000001</v>
      </c>
      <c r="V17" s="1">
        <v>27.35</v>
      </c>
      <c r="W17" s="1">
        <v>0.62</v>
      </c>
      <c r="X17" s="1">
        <v>0.73199999999999998</v>
      </c>
      <c r="Y17" s="1">
        <v>28.082000000000001</v>
      </c>
      <c r="Z17" s="1">
        <v>0.14599999999999999</v>
      </c>
      <c r="AA17" s="1">
        <v>1.2</v>
      </c>
      <c r="AB17" s="1">
        <v>1.2</v>
      </c>
      <c r="AC17" s="1">
        <v>1.2</v>
      </c>
      <c r="AD17" s="1">
        <v>0.73199999999999998</v>
      </c>
      <c r="AE17" s="1">
        <v>0.14599999999999999</v>
      </c>
      <c r="AF17" s="1">
        <v>0.107</v>
      </c>
      <c r="AG17" s="1">
        <v>1.2</v>
      </c>
      <c r="AI17" s="1">
        <v>0</v>
      </c>
      <c r="AJ17" s="1">
        <v>0</v>
      </c>
      <c r="AK17" s="1">
        <v>0</v>
      </c>
      <c r="AL17" s="1">
        <v>1</v>
      </c>
      <c r="AM17" s="1">
        <v>86400</v>
      </c>
      <c r="AN17" s="1">
        <v>78546</v>
      </c>
      <c r="AO17" s="1">
        <v>7854</v>
      </c>
      <c r="AP17" s="1">
        <v>43463</v>
      </c>
      <c r="AQ17" s="16">
        <v>19.211231599200559</v>
      </c>
    </row>
    <row r="18" spans="1:46" x14ac:dyDescent="0.45">
      <c r="A18" s="1">
        <v>17</v>
      </c>
      <c r="B18" s="1">
        <v>26</v>
      </c>
      <c r="C18" s="1">
        <v>126</v>
      </c>
      <c r="D18" s="1" t="s">
        <v>51</v>
      </c>
      <c r="E18" s="1" t="s">
        <v>52</v>
      </c>
      <c r="F18" s="1" t="s">
        <v>53</v>
      </c>
      <c r="G18" s="1" t="s">
        <v>54</v>
      </c>
      <c r="H18" s="1" t="s">
        <v>47</v>
      </c>
      <c r="I18" s="1">
        <v>1113</v>
      </c>
      <c r="J18" s="1">
        <v>60690</v>
      </c>
      <c r="K18" s="1">
        <v>1</v>
      </c>
      <c r="L18" s="1">
        <v>125</v>
      </c>
      <c r="M18" s="1">
        <v>480</v>
      </c>
      <c r="N18" s="1" t="s">
        <v>48</v>
      </c>
      <c r="O18" s="1">
        <v>13995</v>
      </c>
      <c r="P18" s="1">
        <v>88</v>
      </c>
      <c r="Q18" s="1" t="s">
        <v>49</v>
      </c>
      <c r="R18" s="1" t="s">
        <v>50</v>
      </c>
      <c r="S18" s="1">
        <v>0</v>
      </c>
      <c r="T18" s="1">
        <v>0</v>
      </c>
      <c r="U18" s="1">
        <v>115.254</v>
      </c>
      <c r="V18" s="1">
        <v>27.329000000000001</v>
      </c>
      <c r="W18" s="1">
        <v>0.56999999999999995</v>
      </c>
      <c r="X18" s="1">
        <v>0.38300000000000001</v>
      </c>
      <c r="Y18" s="1">
        <v>27.712</v>
      </c>
      <c r="Z18" s="1">
        <v>0.22800000000000001</v>
      </c>
      <c r="AA18" s="1">
        <v>-2.2999999999999998</v>
      </c>
      <c r="AB18" s="1">
        <v>-2.2999999999999998</v>
      </c>
      <c r="AC18" s="1">
        <v>-2.2999999999999998</v>
      </c>
      <c r="AD18" s="1">
        <v>0.38300000000000001</v>
      </c>
      <c r="AE18" s="1">
        <v>0.22700000000000001</v>
      </c>
      <c r="AF18" s="1">
        <v>8.6999999999999994E-2</v>
      </c>
      <c r="AG18" s="1">
        <v>-2.2999999999999998</v>
      </c>
      <c r="AI18" s="1">
        <v>0</v>
      </c>
      <c r="AJ18" s="1">
        <v>0</v>
      </c>
      <c r="AK18" s="1">
        <v>0</v>
      </c>
      <c r="AL18" s="1">
        <v>1</v>
      </c>
      <c r="AM18" s="1">
        <v>86400</v>
      </c>
      <c r="AN18" s="1">
        <v>66414</v>
      </c>
      <c r="AO18" s="1">
        <v>19986</v>
      </c>
      <c r="AP18" s="1">
        <v>47062</v>
      </c>
      <c r="AQ18" s="16">
        <v>6.4405774991027416</v>
      </c>
    </row>
    <row r="19" spans="1:46" x14ac:dyDescent="0.45">
      <c r="A19" s="1">
        <v>18</v>
      </c>
      <c r="B19" s="1">
        <v>26</v>
      </c>
      <c r="C19" s="1">
        <v>126</v>
      </c>
      <c r="D19" s="1" t="s">
        <v>51</v>
      </c>
      <c r="E19" s="1" t="s">
        <v>52</v>
      </c>
      <c r="F19" s="1" t="s">
        <v>53</v>
      </c>
      <c r="G19" s="1" t="s">
        <v>54</v>
      </c>
      <c r="H19" s="1" t="s">
        <v>47</v>
      </c>
      <c r="I19" s="1">
        <v>1113</v>
      </c>
      <c r="J19" s="1">
        <v>60690</v>
      </c>
      <c r="K19" s="1">
        <v>1</v>
      </c>
      <c r="L19" s="1">
        <v>125</v>
      </c>
      <c r="M19" s="1">
        <v>482</v>
      </c>
      <c r="N19" s="1" t="s">
        <v>48</v>
      </c>
      <c r="O19" s="1">
        <v>13998</v>
      </c>
      <c r="P19" s="1">
        <v>88</v>
      </c>
      <c r="Q19" s="1" t="s">
        <v>49</v>
      </c>
      <c r="R19" s="1" t="s">
        <v>50</v>
      </c>
      <c r="S19" s="1">
        <v>0</v>
      </c>
      <c r="T19" s="1">
        <v>0</v>
      </c>
      <c r="U19" s="1">
        <v>119.096</v>
      </c>
      <c r="V19" s="1">
        <v>27.666</v>
      </c>
      <c r="W19" s="1">
        <v>0.52</v>
      </c>
      <c r="X19" s="1">
        <v>0.111</v>
      </c>
      <c r="Y19" s="1">
        <v>27.777000000000001</v>
      </c>
      <c r="Z19" s="1">
        <v>0.33900000000000002</v>
      </c>
      <c r="AA19" s="1">
        <v>1.1000000000000001</v>
      </c>
      <c r="AB19" s="1">
        <v>1.1000000000000001</v>
      </c>
      <c r="AC19" s="1">
        <v>1.1000000000000001</v>
      </c>
      <c r="AD19" s="1">
        <v>0.111</v>
      </c>
      <c r="AE19" s="1">
        <v>0.33900000000000002</v>
      </c>
      <c r="AF19" s="1">
        <v>3.7999999999999999E-2</v>
      </c>
      <c r="AG19" s="1">
        <v>1.1000000000000001</v>
      </c>
      <c r="AI19" s="1">
        <v>0</v>
      </c>
      <c r="AJ19" s="1">
        <v>0</v>
      </c>
      <c r="AK19" s="1">
        <v>0</v>
      </c>
      <c r="AL19" s="1">
        <v>1</v>
      </c>
      <c r="AM19" s="1">
        <v>86400</v>
      </c>
      <c r="AN19" s="1">
        <v>78195</v>
      </c>
      <c r="AO19" s="1">
        <v>8205</v>
      </c>
      <c r="AP19" s="1">
        <v>43698</v>
      </c>
      <c r="AQ19" s="16">
        <v>10.97122603180012</v>
      </c>
    </row>
    <row r="20" spans="1:46" x14ac:dyDescent="0.45">
      <c r="A20" s="1">
        <v>19</v>
      </c>
      <c r="B20" s="1">
        <v>26</v>
      </c>
      <c r="C20" s="1">
        <v>126</v>
      </c>
      <c r="D20" s="1" t="s">
        <v>51</v>
      </c>
      <c r="E20" s="1" t="s">
        <v>52</v>
      </c>
      <c r="F20" s="1" t="s">
        <v>53</v>
      </c>
      <c r="G20" s="1" t="s">
        <v>54</v>
      </c>
      <c r="H20" s="1" t="s">
        <v>47</v>
      </c>
      <c r="I20" s="1">
        <v>1113</v>
      </c>
      <c r="J20" s="1">
        <v>60690</v>
      </c>
      <c r="K20" s="1">
        <v>1</v>
      </c>
      <c r="L20" s="1">
        <v>125</v>
      </c>
      <c r="M20" s="1">
        <v>483</v>
      </c>
      <c r="N20" s="1" t="s">
        <v>48</v>
      </c>
      <c r="O20" s="1">
        <v>14003</v>
      </c>
      <c r="P20" s="1">
        <v>88</v>
      </c>
      <c r="Q20" s="1" t="s">
        <v>49</v>
      </c>
      <c r="R20" s="1" t="s">
        <v>50</v>
      </c>
      <c r="S20" s="1">
        <v>0</v>
      </c>
      <c r="T20" s="1">
        <v>0</v>
      </c>
      <c r="U20" s="1">
        <v>228.09399999999999</v>
      </c>
      <c r="V20" s="1">
        <v>27.916</v>
      </c>
      <c r="W20" s="1">
        <v>0.53</v>
      </c>
      <c r="X20" s="1">
        <v>0.183</v>
      </c>
      <c r="Y20" s="1">
        <v>28.099</v>
      </c>
      <c r="Z20" s="1">
        <v>0.25600000000000001</v>
      </c>
      <c r="AA20" s="1">
        <v>1.1000000000000001</v>
      </c>
      <c r="AB20" s="1">
        <v>1.1000000000000001</v>
      </c>
      <c r="AC20" s="1">
        <v>1.1000000000000001</v>
      </c>
      <c r="AD20" s="1">
        <v>0.183</v>
      </c>
      <c r="AE20" s="1">
        <v>0.255</v>
      </c>
      <c r="AF20" s="1">
        <v>4.7E-2</v>
      </c>
      <c r="AG20" s="1">
        <v>1.1000000000000001</v>
      </c>
      <c r="AI20" s="1">
        <v>0</v>
      </c>
      <c r="AJ20" s="1">
        <v>0</v>
      </c>
      <c r="AK20" s="1">
        <v>0</v>
      </c>
      <c r="AL20" s="1">
        <v>1</v>
      </c>
      <c r="AM20" s="1">
        <v>86400</v>
      </c>
      <c r="AN20" s="1">
        <v>78773</v>
      </c>
      <c r="AO20" s="1">
        <v>7627</v>
      </c>
      <c r="AP20" s="1">
        <v>44516</v>
      </c>
      <c r="AQ20" s="16">
        <v>19.374882702662571</v>
      </c>
    </row>
    <row r="21" spans="1:46" x14ac:dyDescent="0.45">
      <c r="A21" s="1">
        <v>20</v>
      </c>
      <c r="B21" s="1">
        <v>26</v>
      </c>
      <c r="C21" s="1">
        <v>126</v>
      </c>
      <c r="D21" s="1" t="s">
        <v>51</v>
      </c>
      <c r="E21" s="1" t="s">
        <v>52</v>
      </c>
      <c r="F21" s="1" t="s">
        <v>53</v>
      </c>
      <c r="G21" s="1" t="s">
        <v>54</v>
      </c>
      <c r="H21" s="1" t="s">
        <v>47</v>
      </c>
      <c r="I21" s="1">
        <v>1113</v>
      </c>
      <c r="J21" s="1">
        <v>60690</v>
      </c>
      <c r="K21" s="1">
        <v>1</v>
      </c>
      <c r="L21" s="1">
        <v>125</v>
      </c>
      <c r="M21" s="1">
        <v>485</v>
      </c>
      <c r="N21" s="1" t="s">
        <v>48</v>
      </c>
      <c r="O21" s="1">
        <v>14028</v>
      </c>
      <c r="P21" s="1">
        <v>88</v>
      </c>
      <c r="Q21" s="1" t="s">
        <v>49</v>
      </c>
      <c r="R21" s="1" t="s">
        <v>50</v>
      </c>
      <c r="S21" s="1">
        <v>0</v>
      </c>
      <c r="T21" s="1">
        <v>0</v>
      </c>
      <c r="U21" s="1">
        <v>53.363999999999997</v>
      </c>
      <c r="V21" s="1">
        <v>26.815000000000001</v>
      </c>
      <c r="W21" s="1">
        <v>1.1399999999999999</v>
      </c>
      <c r="X21" s="1">
        <v>0.89800000000000002</v>
      </c>
      <c r="Y21" s="1">
        <v>27.713000000000001</v>
      </c>
      <c r="Z21" s="1">
        <v>0.06</v>
      </c>
      <c r="AA21" s="1">
        <v>-0.8</v>
      </c>
      <c r="AB21" s="1">
        <v>-0.7</v>
      </c>
      <c r="AC21" s="1">
        <v>-0.7</v>
      </c>
      <c r="AD21" s="1">
        <v>0.89800000000000002</v>
      </c>
      <c r="AE21" s="1">
        <v>5.8000000000000003E-2</v>
      </c>
      <c r="AF21" s="1">
        <v>5.2999999999999999E-2</v>
      </c>
      <c r="AG21" s="1">
        <v>-0.8</v>
      </c>
      <c r="AI21" s="1">
        <v>0</v>
      </c>
      <c r="AJ21" s="1">
        <v>0</v>
      </c>
      <c r="AK21" s="1">
        <v>0</v>
      </c>
      <c r="AL21" s="1">
        <v>1</v>
      </c>
      <c r="AM21" s="1">
        <v>86400</v>
      </c>
      <c r="AN21" s="1">
        <v>78284</v>
      </c>
      <c r="AO21" s="1">
        <v>8116</v>
      </c>
      <c r="AP21" s="1">
        <v>47082</v>
      </c>
      <c r="AQ21" s="16">
        <v>8.9482359510857084</v>
      </c>
    </row>
    <row r="22" spans="1:46" x14ac:dyDescent="0.45">
      <c r="A22" s="1">
        <v>21</v>
      </c>
      <c r="B22" s="1">
        <v>26</v>
      </c>
      <c r="C22" s="1">
        <v>126</v>
      </c>
      <c r="D22" s="1" t="s">
        <v>51</v>
      </c>
      <c r="E22" s="1" t="s">
        <v>52</v>
      </c>
      <c r="F22" s="1" t="s">
        <v>53</v>
      </c>
      <c r="G22" s="1" t="s">
        <v>54</v>
      </c>
      <c r="H22" s="1" t="s">
        <v>47</v>
      </c>
      <c r="I22" s="1">
        <v>1113</v>
      </c>
      <c r="J22" s="1">
        <v>60690</v>
      </c>
      <c r="K22" s="1">
        <v>1</v>
      </c>
      <c r="L22" s="1">
        <v>125</v>
      </c>
      <c r="M22" s="1">
        <v>486</v>
      </c>
      <c r="N22" s="1" t="s">
        <v>48</v>
      </c>
      <c r="O22" s="1">
        <v>14029</v>
      </c>
      <c r="P22" s="1">
        <v>88</v>
      </c>
      <c r="Q22" s="1" t="s">
        <v>49</v>
      </c>
      <c r="R22" s="1" t="s">
        <v>50</v>
      </c>
      <c r="S22" s="1">
        <v>0</v>
      </c>
      <c r="T22" s="1">
        <v>0</v>
      </c>
      <c r="U22" s="1">
        <v>87.582999999999998</v>
      </c>
      <c r="V22" s="1">
        <v>26.785</v>
      </c>
      <c r="W22" s="1">
        <v>1.1499999999999999</v>
      </c>
      <c r="X22" s="1">
        <v>0.92700000000000005</v>
      </c>
      <c r="Y22" s="1">
        <v>27.712</v>
      </c>
      <c r="Z22" s="1">
        <v>0.06</v>
      </c>
      <c r="AA22" s="1">
        <v>-0.9</v>
      </c>
      <c r="AB22" s="1">
        <v>2.2000000000000002</v>
      </c>
      <c r="AC22" s="1">
        <v>2.2000000000000002</v>
      </c>
      <c r="AD22" s="1">
        <v>0.92700000000000005</v>
      </c>
      <c r="AE22" s="1">
        <v>4.8000000000000001E-2</v>
      </c>
      <c r="AF22" s="1">
        <v>4.3999999999999997E-2</v>
      </c>
      <c r="AG22" s="1">
        <v>-0.9</v>
      </c>
      <c r="AI22" s="1">
        <v>0</v>
      </c>
      <c r="AJ22" s="1">
        <v>0</v>
      </c>
      <c r="AK22" s="1">
        <v>0</v>
      </c>
      <c r="AL22" s="1">
        <v>1</v>
      </c>
      <c r="AM22" s="1">
        <v>86400</v>
      </c>
      <c r="AN22" s="1">
        <v>79898</v>
      </c>
      <c r="AO22" s="1">
        <v>6502</v>
      </c>
      <c r="AP22" s="1">
        <v>47383</v>
      </c>
      <c r="AQ22" s="16">
        <v>5.2917711164931864</v>
      </c>
    </row>
    <row r="23" spans="1:46" x14ac:dyDescent="0.45">
      <c r="A23" s="1">
        <v>22</v>
      </c>
      <c r="B23" s="1">
        <v>26</v>
      </c>
      <c r="C23" s="1">
        <v>126</v>
      </c>
      <c r="D23" s="1" t="s">
        <v>51</v>
      </c>
      <c r="E23" s="1" t="s">
        <v>52</v>
      </c>
      <c r="F23" s="1" t="s">
        <v>53</v>
      </c>
      <c r="G23" s="1" t="s">
        <v>54</v>
      </c>
      <c r="H23" s="1" t="s">
        <v>47</v>
      </c>
      <c r="I23" s="1">
        <v>1113</v>
      </c>
      <c r="J23" s="1">
        <v>60690</v>
      </c>
      <c r="K23" s="1">
        <v>1</v>
      </c>
      <c r="L23" s="1">
        <v>125</v>
      </c>
      <c r="M23" s="1">
        <v>823</v>
      </c>
      <c r="N23" s="1" t="s">
        <v>48</v>
      </c>
      <c r="O23" s="1">
        <v>14674</v>
      </c>
      <c r="P23" s="1">
        <v>88</v>
      </c>
      <c r="Q23" s="1" t="s">
        <v>49</v>
      </c>
      <c r="R23" s="1" t="s">
        <v>50</v>
      </c>
      <c r="S23" s="1">
        <v>0</v>
      </c>
      <c r="T23" s="1">
        <v>0</v>
      </c>
      <c r="U23" s="1">
        <v>161.94</v>
      </c>
      <c r="V23" s="1">
        <v>27.719000000000001</v>
      </c>
      <c r="W23" s="1">
        <v>0.56000000000000005</v>
      </c>
      <c r="X23" s="1">
        <v>0.34699999999999998</v>
      </c>
      <c r="Y23" s="1">
        <v>28.065999999999999</v>
      </c>
      <c r="Z23" s="1">
        <v>0.30499999999999999</v>
      </c>
      <c r="AA23" s="1">
        <v>-2.4</v>
      </c>
      <c r="AB23" s="1">
        <v>-2.4</v>
      </c>
      <c r="AC23" s="1">
        <v>-2.4</v>
      </c>
      <c r="AD23" s="1">
        <v>0.34699999999999998</v>
      </c>
      <c r="AE23" s="1">
        <v>0.30499999999999999</v>
      </c>
      <c r="AF23" s="1">
        <v>0.106</v>
      </c>
      <c r="AG23" s="1">
        <v>-2.4</v>
      </c>
      <c r="AI23" s="1">
        <v>0</v>
      </c>
      <c r="AJ23" s="1">
        <v>0</v>
      </c>
      <c r="AK23" s="1">
        <v>0</v>
      </c>
      <c r="AL23" s="1">
        <v>1</v>
      </c>
      <c r="AM23" s="1">
        <v>86400</v>
      </c>
      <c r="AN23" s="1">
        <v>78005</v>
      </c>
      <c r="AO23" s="1">
        <v>8395</v>
      </c>
      <c r="AP23" s="1">
        <v>46838</v>
      </c>
      <c r="AQ23" s="16">
        <v>18.43219016539382</v>
      </c>
    </row>
    <row r="24" spans="1:46" x14ac:dyDescent="0.45">
      <c r="A24" s="1">
        <v>23</v>
      </c>
      <c r="B24" s="1">
        <v>26</v>
      </c>
      <c r="C24" s="1">
        <v>126</v>
      </c>
      <c r="D24" s="1" t="s">
        <v>51</v>
      </c>
      <c r="E24" s="1" t="s">
        <v>52</v>
      </c>
      <c r="F24" s="1" t="s">
        <v>53</v>
      </c>
      <c r="G24" s="1" t="s">
        <v>54</v>
      </c>
      <c r="H24" s="1" t="s">
        <v>47</v>
      </c>
      <c r="I24" s="1">
        <v>1113</v>
      </c>
      <c r="J24" s="1">
        <v>60690</v>
      </c>
      <c r="K24" s="1">
        <v>1</v>
      </c>
      <c r="L24" s="1">
        <v>125</v>
      </c>
      <c r="M24" s="1">
        <v>980</v>
      </c>
      <c r="N24" s="1" t="s">
        <v>48</v>
      </c>
      <c r="O24" s="1">
        <v>15219</v>
      </c>
      <c r="P24" s="1">
        <v>88</v>
      </c>
      <c r="Q24" s="1" t="s">
        <v>49</v>
      </c>
      <c r="R24" s="1" t="s">
        <v>50</v>
      </c>
      <c r="S24" s="1">
        <v>0</v>
      </c>
      <c r="T24" s="1">
        <v>0</v>
      </c>
      <c r="U24" s="1">
        <v>162.55099999999999</v>
      </c>
      <c r="V24" s="1">
        <v>27.558</v>
      </c>
      <c r="W24" s="1">
        <v>0.61</v>
      </c>
      <c r="X24" s="1">
        <v>0.63700000000000001</v>
      </c>
      <c r="Y24" s="1">
        <v>28.195</v>
      </c>
      <c r="Z24" s="1">
        <v>0.193</v>
      </c>
      <c r="AA24" s="1">
        <v>-3.1</v>
      </c>
      <c r="AB24" s="1">
        <v>-3.1</v>
      </c>
      <c r="AC24" s="1">
        <v>-3.1</v>
      </c>
      <c r="AD24" s="1">
        <v>0.63700000000000001</v>
      </c>
      <c r="AE24" s="1">
        <v>0.193</v>
      </c>
      <c r="AF24" s="1">
        <v>0.123</v>
      </c>
      <c r="AG24" s="1">
        <v>-3.1</v>
      </c>
      <c r="AI24" s="1">
        <v>0</v>
      </c>
      <c r="AJ24" s="1">
        <v>0</v>
      </c>
      <c r="AK24" s="1">
        <v>0</v>
      </c>
      <c r="AL24" s="1">
        <v>1</v>
      </c>
      <c r="AM24" s="1">
        <v>86400</v>
      </c>
      <c r="AN24" s="1">
        <v>79190</v>
      </c>
      <c r="AO24" s="1">
        <v>7210</v>
      </c>
      <c r="AP24" s="1">
        <v>43449</v>
      </c>
      <c r="AQ24" s="16">
        <v>18.413686504200541</v>
      </c>
    </row>
    <row r="25" spans="1:46" x14ac:dyDescent="0.45">
      <c r="A25" s="1">
        <v>24</v>
      </c>
      <c r="B25" s="1">
        <v>26</v>
      </c>
      <c r="C25" s="1">
        <v>126</v>
      </c>
      <c r="D25" s="1" t="s">
        <v>51</v>
      </c>
      <c r="E25" s="1" t="s">
        <v>52</v>
      </c>
      <c r="F25" s="1" t="s">
        <v>53</v>
      </c>
      <c r="G25" s="1" t="s">
        <v>54</v>
      </c>
      <c r="H25" s="1" t="s">
        <v>47</v>
      </c>
      <c r="I25" s="1">
        <v>1113</v>
      </c>
      <c r="J25" s="1">
        <v>60690</v>
      </c>
      <c r="K25" s="1">
        <v>1</v>
      </c>
      <c r="L25" s="1">
        <v>125</v>
      </c>
      <c r="M25" s="1">
        <v>981</v>
      </c>
      <c r="N25" s="1" t="s">
        <v>48</v>
      </c>
      <c r="O25" s="1">
        <v>15220</v>
      </c>
      <c r="P25" s="1">
        <v>88</v>
      </c>
      <c r="Q25" s="1" t="s">
        <v>49</v>
      </c>
      <c r="R25" s="1" t="s">
        <v>50</v>
      </c>
      <c r="S25" s="1">
        <v>0</v>
      </c>
      <c r="T25" s="1">
        <v>0</v>
      </c>
      <c r="U25" s="1">
        <v>214.108</v>
      </c>
      <c r="V25" s="1">
        <v>28.081</v>
      </c>
      <c r="W25" s="1">
        <v>0.52</v>
      </c>
      <c r="X25" s="1">
        <v>0.114</v>
      </c>
      <c r="Y25" s="1">
        <v>28.195</v>
      </c>
      <c r="Z25" s="1">
        <v>2.9000000000000001E-2</v>
      </c>
      <c r="AA25" s="1">
        <v>-2.4</v>
      </c>
      <c r="AB25" s="1">
        <v>-1.8</v>
      </c>
      <c r="AC25" s="1">
        <v>-1.8</v>
      </c>
      <c r="AD25" s="1">
        <v>0.114</v>
      </c>
      <c r="AE25" s="1">
        <v>2.7E-2</v>
      </c>
      <c r="AF25" s="1">
        <v>3.0000000000000001E-3</v>
      </c>
      <c r="AI25" s="1">
        <v>0</v>
      </c>
      <c r="AJ25" s="1">
        <v>0</v>
      </c>
      <c r="AK25" s="1">
        <v>0</v>
      </c>
      <c r="AL25" s="1">
        <v>1</v>
      </c>
      <c r="AM25" s="1">
        <v>86400</v>
      </c>
      <c r="AN25" s="1">
        <v>63877</v>
      </c>
      <c r="AO25" s="1">
        <v>22523</v>
      </c>
      <c r="AP25" s="1">
        <v>43695</v>
      </c>
      <c r="AQ25" s="16">
        <v>4.3455347958324149</v>
      </c>
    </row>
    <row r="26" spans="1:46" x14ac:dyDescent="0.45">
      <c r="A26" s="1">
        <v>25</v>
      </c>
      <c r="B26" s="1">
        <v>26</v>
      </c>
      <c r="C26" s="1">
        <v>126</v>
      </c>
      <c r="D26" s="1" t="s">
        <v>51</v>
      </c>
      <c r="E26" s="1" t="s">
        <v>52</v>
      </c>
      <c r="F26" s="1" t="s">
        <v>53</v>
      </c>
      <c r="G26" s="1" t="s">
        <v>54</v>
      </c>
      <c r="H26" s="1" t="s">
        <v>47</v>
      </c>
      <c r="I26" s="1">
        <v>1113</v>
      </c>
      <c r="J26" s="1">
        <v>60690</v>
      </c>
      <c r="K26" s="1">
        <v>1</v>
      </c>
      <c r="L26" s="1">
        <v>125</v>
      </c>
      <c r="M26" s="1">
        <v>982</v>
      </c>
      <c r="N26" s="1" t="s">
        <v>48</v>
      </c>
      <c r="O26" s="1">
        <v>15221</v>
      </c>
      <c r="P26" s="1">
        <v>88</v>
      </c>
      <c r="Q26" s="1" t="s">
        <v>49</v>
      </c>
      <c r="R26" s="1" t="s">
        <v>50</v>
      </c>
      <c r="S26" s="1">
        <v>0</v>
      </c>
      <c r="T26" s="1">
        <v>0</v>
      </c>
      <c r="U26" s="1">
        <v>173.398</v>
      </c>
      <c r="V26" s="1">
        <v>27.64</v>
      </c>
      <c r="W26" s="1">
        <v>0.59</v>
      </c>
      <c r="X26" s="1">
        <v>0.55500000000000005</v>
      </c>
      <c r="Y26" s="1">
        <v>28.195</v>
      </c>
      <c r="Z26" s="1">
        <v>0.17299999999999999</v>
      </c>
      <c r="AA26" s="1">
        <v>1.7</v>
      </c>
      <c r="AB26" s="1">
        <v>1.7</v>
      </c>
      <c r="AC26" s="1">
        <v>1.7</v>
      </c>
      <c r="AD26" s="1">
        <v>0.55500000000000005</v>
      </c>
      <c r="AE26" s="1">
        <v>0.17299999999999999</v>
      </c>
      <c r="AF26" s="1">
        <v>9.6000000000000002E-2</v>
      </c>
      <c r="AG26" s="1">
        <v>1.7</v>
      </c>
      <c r="AI26" s="1">
        <v>0</v>
      </c>
      <c r="AJ26" s="1">
        <v>0</v>
      </c>
      <c r="AK26" s="1">
        <v>0</v>
      </c>
      <c r="AL26" s="1">
        <v>1</v>
      </c>
      <c r="AM26" s="1">
        <v>86400</v>
      </c>
      <c r="AN26" s="1">
        <v>79871</v>
      </c>
      <c r="AO26" s="1">
        <v>6529</v>
      </c>
      <c r="AP26" s="1">
        <v>43438</v>
      </c>
      <c r="AQ26" s="16">
        <v>18.611463029148041</v>
      </c>
    </row>
    <row r="27" spans="1:46" x14ac:dyDescent="0.45">
      <c r="A27" s="1">
        <v>26</v>
      </c>
      <c r="B27" s="1">
        <v>73</v>
      </c>
      <c r="C27" s="1">
        <v>83</v>
      </c>
      <c r="D27" s="1" t="s">
        <v>55</v>
      </c>
      <c r="E27" s="1" t="s">
        <v>56</v>
      </c>
      <c r="F27" s="1" t="s">
        <v>57</v>
      </c>
      <c r="G27" s="1" t="s">
        <v>46</v>
      </c>
      <c r="H27" s="1" t="s">
        <v>47</v>
      </c>
      <c r="I27" s="1">
        <v>1176</v>
      </c>
      <c r="J27" s="1">
        <v>30288</v>
      </c>
      <c r="K27" s="1">
        <v>1</v>
      </c>
      <c r="L27" s="1">
        <v>82</v>
      </c>
      <c r="M27" s="1">
        <v>1338</v>
      </c>
      <c r="N27" s="1" t="s">
        <v>48</v>
      </c>
      <c r="O27" s="1">
        <v>197186</v>
      </c>
      <c r="P27" s="1">
        <v>88</v>
      </c>
      <c r="Q27" s="1" t="s">
        <v>49</v>
      </c>
      <c r="R27" s="1" t="s">
        <v>50</v>
      </c>
      <c r="S27" s="1">
        <v>0</v>
      </c>
      <c r="T27" s="1">
        <v>0</v>
      </c>
      <c r="U27" s="1">
        <v>86.650999999999996</v>
      </c>
      <c r="V27" s="1">
        <v>25.417000000000002</v>
      </c>
      <c r="W27" s="1">
        <v>0.53</v>
      </c>
      <c r="X27" s="1">
        <v>0.17799999999999999</v>
      </c>
      <c r="Y27" s="1">
        <v>25.594999999999999</v>
      </c>
      <c r="Z27" s="1">
        <v>0.10100000000000001</v>
      </c>
      <c r="AA27" s="1">
        <v>0.5</v>
      </c>
      <c r="AB27" s="1">
        <v>0.5</v>
      </c>
      <c r="AC27" s="1">
        <v>0.5</v>
      </c>
      <c r="AD27" s="1">
        <v>0.17799999999999999</v>
      </c>
      <c r="AE27" s="1">
        <v>0.10100000000000001</v>
      </c>
      <c r="AF27" s="1">
        <v>1.7999999999999999E-2</v>
      </c>
      <c r="AG27" s="1">
        <v>0.5</v>
      </c>
      <c r="AI27" s="1">
        <v>0</v>
      </c>
      <c r="AJ27" s="1">
        <v>0</v>
      </c>
      <c r="AK27" s="1">
        <v>0</v>
      </c>
      <c r="AL27" s="1">
        <v>1</v>
      </c>
      <c r="AM27" s="1">
        <v>86400</v>
      </c>
      <c r="AN27" s="1">
        <v>79839</v>
      </c>
      <c r="AO27" s="1">
        <v>6561</v>
      </c>
      <c r="AP27" s="1">
        <v>43888</v>
      </c>
      <c r="AQ27" s="16">
        <v>18.19739861676883</v>
      </c>
    </row>
    <row r="28" spans="1:46" x14ac:dyDescent="0.45">
      <c r="A28" s="1">
        <v>27</v>
      </c>
      <c r="B28" s="1">
        <v>73</v>
      </c>
      <c r="C28" s="1">
        <v>83</v>
      </c>
      <c r="D28" s="1" t="s">
        <v>55</v>
      </c>
      <c r="E28" s="1" t="s">
        <v>56</v>
      </c>
      <c r="F28" s="1" t="s">
        <v>57</v>
      </c>
      <c r="G28" s="1" t="s">
        <v>46</v>
      </c>
      <c r="H28" s="1" t="s">
        <v>47</v>
      </c>
      <c r="I28" s="1">
        <v>1176</v>
      </c>
      <c r="J28" s="1">
        <v>30288</v>
      </c>
      <c r="K28" s="1">
        <v>1</v>
      </c>
      <c r="L28" s="1">
        <v>82</v>
      </c>
      <c r="M28" s="1">
        <v>1339</v>
      </c>
      <c r="N28" s="1" t="s">
        <v>48</v>
      </c>
      <c r="O28" s="1">
        <v>197191</v>
      </c>
      <c r="P28" s="1">
        <v>88</v>
      </c>
      <c r="Q28" s="1" t="s">
        <v>49</v>
      </c>
      <c r="R28" s="1" t="s">
        <v>50</v>
      </c>
      <c r="S28" s="1">
        <v>0</v>
      </c>
      <c r="T28" s="1">
        <v>0</v>
      </c>
      <c r="U28" s="1">
        <v>337.67399999999998</v>
      </c>
      <c r="V28" s="1">
        <v>25.428000000000001</v>
      </c>
      <c r="W28" s="1">
        <v>0.53</v>
      </c>
      <c r="X28" s="1">
        <v>0.16600000000000001</v>
      </c>
      <c r="Y28" s="1">
        <v>25.594000000000001</v>
      </c>
      <c r="Z28" s="1">
        <v>8.3000000000000004E-2</v>
      </c>
      <c r="AA28" s="1">
        <v>1.1000000000000001</v>
      </c>
      <c r="AB28" s="1">
        <v>1.1000000000000001</v>
      </c>
      <c r="AC28" s="1">
        <v>1.1000000000000001</v>
      </c>
      <c r="AD28" s="1">
        <v>0.16600000000000001</v>
      </c>
      <c r="AE28" s="1">
        <v>8.3000000000000004E-2</v>
      </c>
      <c r="AF28" s="1">
        <v>1.4E-2</v>
      </c>
      <c r="AG28" s="1">
        <v>1.1000000000000001</v>
      </c>
      <c r="AI28" s="1">
        <v>0</v>
      </c>
      <c r="AJ28" s="1">
        <v>0</v>
      </c>
      <c r="AK28" s="1">
        <v>0</v>
      </c>
      <c r="AL28" s="1">
        <v>1</v>
      </c>
      <c r="AM28" s="1">
        <v>86400</v>
      </c>
      <c r="AN28" s="1">
        <v>75700</v>
      </c>
      <c r="AO28" s="1">
        <v>10700</v>
      </c>
      <c r="AP28" s="1">
        <v>46963</v>
      </c>
      <c r="AQ28" s="16">
        <v>22.042314828065258</v>
      </c>
      <c r="AT28" s="16">
        <f>SUM(AQ27:AQ37)</f>
        <v>139.34575693232367</v>
      </c>
    </row>
    <row r="29" spans="1:46" x14ac:dyDescent="0.45">
      <c r="A29" s="1">
        <v>28</v>
      </c>
      <c r="B29" s="1">
        <v>73</v>
      </c>
      <c r="C29" s="1">
        <v>83</v>
      </c>
      <c r="D29" s="1" t="s">
        <v>55</v>
      </c>
      <c r="E29" s="1" t="s">
        <v>56</v>
      </c>
      <c r="F29" s="1" t="s">
        <v>57</v>
      </c>
      <c r="G29" s="1" t="s">
        <v>46</v>
      </c>
      <c r="H29" s="1" t="s">
        <v>47</v>
      </c>
      <c r="I29" s="1">
        <v>1176</v>
      </c>
      <c r="J29" s="1">
        <v>30288</v>
      </c>
      <c r="K29" s="1">
        <v>1</v>
      </c>
      <c r="L29" s="1">
        <v>82</v>
      </c>
      <c r="M29" s="1">
        <v>1340</v>
      </c>
      <c r="N29" s="1" t="s">
        <v>48</v>
      </c>
      <c r="O29" s="1">
        <v>197193</v>
      </c>
      <c r="P29" s="1">
        <v>88</v>
      </c>
      <c r="Q29" s="1" t="s">
        <v>49</v>
      </c>
      <c r="R29" s="1" t="s">
        <v>50</v>
      </c>
      <c r="S29" s="1">
        <v>0</v>
      </c>
      <c r="T29" s="1">
        <v>0</v>
      </c>
      <c r="U29" s="1">
        <v>187.57</v>
      </c>
      <c r="V29" s="1">
        <v>25.488</v>
      </c>
      <c r="W29" s="1">
        <v>0.52</v>
      </c>
      <c r="X29" s="1">
        <v>0.106</v>
      </c>
      <c r="Y29" s="1">
        <v>25.594000000000001</v>
      </c>
      <c r="Z29" s="1">
        <v>6.6000000000000003E-2</v>
      </c>
      <c r="AA29" s="1">
        <v>0.6</v>
      </c>
      <c r="AB29" s="1">
        <v>0.6</v>
      </c>
      <c r="AC29" s="1">
        <v>0.6</v>
      </c>
      <c r="AD29" s="1">
        <v>0.106</v>
      </c>
      <c r="AE29" s="1">
        <v>6.6000000000000003E-2</v>
      </c>
      <c r="AF29" s="1">
        <v>7.0000000000000001E-3</v>
      </c>
      <c r="AG29" s="1">
        <v>0.6</v>
      </c>
      <c r="AI29" s="1">
        <v>0</v>
      </c>
      <c r="AJ29" s="1">
        <v>0</v>
      </c>
      <c r="AK29" s="1">
        <v>0</v>
      </c>
      <c r="AL29" s="1">
        <v>1</v>
      </c>
      <c r="AM29" s="1">
        <v>86400</v>
      </c>
      <c r="AN29" s="1">
        <v>72283</v>
      </c>
      <c r="AO29" s="1">
        <v>14117</v>
      </c>
      <c r="AP29" s="1">
        <v>43850</v>
      </c>
      <c r="AQ29" s="16">
        <v>2.9982988472460508</v>
      </c>
    </row>
    <row r="30" spans="1:46" x14ac:dyDescent="0.45">
      <c r="A30" s="1">
        <v>29</v>
      </c>
      <c r="B30" s="1">
        <v>73</v>
      </c>
      <c r="C30" s="1">
        <v>83</v>
      </c>
      <c r="D30" s="1" t="s">
        <v>55</v>
      </c>
      <c r="E30" s="1" t="s">
        <v>56</v>
      </c>
      <c r="F30" s="1" t="s">
        <v>57</v>
      </c>
      <c r="G30" s="1" t="s">
        <v>46</v>
      </c>
      <c r="H30" s="1" t="s">
        <v>47</v>
      </c>
      <c r="I30" s="1">
        <v>1176</v>
      </c>
      <c r="J30" s="1">
        <v>30288</v>
      </c>
      <c r="K30" s="1">
        <v>1</v>
      </c>
      <c r="L30" s="1">
        <v>82</v>
      </c>
      <c r="M30" s="1">
        <v>1347</v>
      </c>
      <c r="N30" s="1" t="s">
        <v>48</v>
      </c>
      <c r="O30" s="1">
        <v>197607</v>
      </c>
      <c r="P30" s="1">
        <v>88</v>
      </c>
      <c r="Q30" s="1" t="s">
        <v>49</v>
      </c>
      <c r="R30" s="1" t="s">
        <v>50</v>
      </c>
      <c r="S30" s="1">
        <v>0</v>
      </c>
      <c r="T30" s="1">
        <v>0</v>
      </c>
      <c r="U30" s="1">
        <v>321.52999999999997</v>
      </c>
      <c r="V30" s="1">
        <v>25.452000000000002</v>
      </c>
      <c r="W30" s="1">
        <v>0.52</v>
      </c>
      <c r="X30" s="1">
        <v>0.11899999999999999</v>
      </c>
      <c r="Y30" s="1">
        <v>25.571000000000002</v>
      </c>
      <c r="Z30" s="1">
        <v>0.109</v>
      </c>
      <c r="AA30" s="1">
        <v>0</v>
      </c>
      <c r="AB30" s="1">
        <v>0</v>
      </c>
      <c r="AC30" s="1">
        <v>0</v>
      </c>
      <c r="AD30" s="1">
        <v>0.11899999999999999</v>
      </c>
      <c r="AE30" s="1">
        <v>0.109</v>
      </c>
      <c r="AF30" s="1">
        <v>1.2999999999999999E-2</v>
      </c>
      <c r="AG30" s="1">
        <v>0</v>
      </c>
      <c r="AI30" s="1">
        <v>0</v>
      </c>
      <c r="AJ30" s="1">
        <v>0</v>
      </c>
      <c r="AK30" s="1">
        <v>0</v>
      </c>
      <c r="AL30" s="1">
        <v>1</v>
      </c>
      <c r="AM30" s="1">
        <v>86400</v>
      </c>
      <c r="AN30" s="1">
        <v>70329</v>
      </c>
      <c r="AO30" s="1">
        <v>16071</v>
      </c>
      <c r="AP30" s="1">
        <v>43877</v>
      </c>
      <c r="AQ30" s="16">
        <v>24.308660373477451</v>
      </c>
    </row>
    <row r="31" spans="1:46" x14ac:dyDescent="0.45">
      <c r="A31" s="1">
        <v>30</v>
      </c>
      <c r="B31" s="1">
        <v>73</v>
      </c>
      <c r="C31" s="1">
        <v>83</v>
      </c>
      <c r="D31" s="1" t="s">
        <v>55</v>
      </c>
      <c r="E31" s="1" t="s">
        <v>56</v>
      </c>
      <c r="F31" s="1" t="s">
        <v>57</v>
      </c>
      <c r="G31" s="1" t="s">
        <v>46</v>
      </c>
      <c r="H31" s="1" t="s">
        <v>47</v>
      </c>
      <c r="I31" s="1">
        <v>1176</v>
      </c>
      <c r="J31" s="1">
        <v>30288</v>
      </c>
      <c r="K31" s="1">
        <v>1</v>
      </c>
      <c r="L31" s="1">
        <v>82</v>
      </c>
      <c r="M31" s="1">
        <v>1348</v>
      </c>
      <c r="N31" s="1" t="s">
        <v>48</v>
      </c>
      <c r="O31" s="1">
        <v>197609</v>
      </c>
      <c r="P31" s="1">
        <v>88</v>
      </c>
      <c r="Q31" s="1" t="s">
        <v>49</v>
      </c>
      <c r="R31" s="1" t="s">
        <v>50</v>
      </c>
      <c r="S31" s="1">
        <v>0</v>
      </c>
      <c r="T31" s="1">
        <v>0</v>
      </c>
      <c r="U31" s="1">
        <v>222.179</v>
      </c>
      <c r="V31" s="1">
        <v>25.413</v>
      </c>
      <c r="W31" s="1">
        <v>0.53</v>
      </c>
      <c r="X31" s="1">
        <v>0.157</v>
      </c>
      <c r="Y31" s="1">
        <v>25.57</v>
      </c>
      <c r="Z31" s="1">
        <v>0.124</v>
      </c>
      <c r="AA31" s="1">
        <v>1.2</v>
      </c>
      <c r="AB31" s="1">
        <v>1.2</v>
      </c>
      <c r="AC31" s="1">
        <v>1.2</v>
      </c>
      <c r="AD31" s="1">
        <v>0.157</v>
      </c>
      <c r="AE31" s="1">
        <v>0.123</v>
      </c>
      <c r="AF31" s="1">
        <v>1.9E-2</v>
      </c>
      <c r="AG31" s="1">
        <v>1.2</v>
      </c>
      <c r="AI31" s="1">
        <v>0</v>
      </c>
      <c r="AJ31" s="1">
        <v>0</v>
      </c>
      <c r="AK31" s="1">
        <v>0</v>
      </c>
      <c r="AL31" s="1">
        <v>1</v>
      </c>
      <c r="AM31" s="1">
        <v>86400</v>
      </c>
      <c r="AN31" s="1">
        <v>75255</v>
      </c>
      <c r="AO31" s="1">
        <v>11145</v>
      </c>
      <c r="AP31" s="1">
        <v>46983</v>
      </c>
      <c r="AQ31" s="16">
        <v>3.2914653154281028</v>
      </c>
    </row>
    <row r="32" spans="1:46" x14ac:dyDescent="0.45">
      <c r="A32" s="1">
        <v>31</v>
      </c>
      <c r="B32" s="1">
        <v>73</v>
      </c>
      <c r="C32" s="1">
        <v>83</v>
      </c>
      <c r="D32" s="1" t="s">
        <v>55</v>
      </c>
      <c r="E32" s="1" t="s">
        <v>56</v>
      </c>
      <c r="F32" s="1" t="s">
        <v>57</v>
      </c>
      <c r="G32" s="1" t="s">
        <v>46</v>
      </c>
      <c r="H32" s="1" t="s">
        <v>47</v>
      </c>
      <c r="I32" s="1">
        <v>1176</v>
      </c>
      <c r="J32" s="1">
        <v>30288</v>
      </c>
      <c r="K32" s="1">
        <v>1</v>
      </c>
      <c r="L32" s="1">
        <v>82</v>
      </c>
      <c r="M32" s="1">
        <v>1349</v>
      </c>
      <c r="N32" s="1" t="s">
        <v>48</v>
      </c>
      <c r="O32" s="1">
        <v>197614</v>
      </c>
      <c r="P32" s="1">
        <v>88</v>
      </c>
      <c r="Q32" s="1" t="s">
        <v>49</v>
      </c>
      <c r="R32" s="1" t="s">
        <v>50</v>
      </c>
      <c r="S32" s="1">
        <v>0</v>
      </c>
      <c r="T32" s="1">
        <v>0</v>
      </c>
      <c r="U32" s="1">
        <v>103.658</v>
      </c>
      <c r="V32" s="1">
        <v>25.395</v>
      </c>
      <c r="W32" s="1">
        <v>0.52</v>
      </c>
      <c r="X32" s="1">
        <v>0.104</v>
      </c>
      <c r="Y32" s="1">
        <v>25.498999999999999</v>
      </c>
      <c r="Z32" s="1">
        <v>0.153</v>
      </c>
      <c r="AA32" s="1">
        <v>0.4</v>
      </c>
      <c r="AB32" s="1">
        <v>0.4</v>
      </c>
      <c r="AC32" s="1">
        <v>0.4</v>
      </c>
      <c r="AD32" s="1">
        <v>0.104</v>
      </c>
      <c r="AE32" s="1">
        <v>0.152</v>
      </c>
      <c r="AF32" s="1">
        <v>1.6E-2</v>
      </c>
      <c r="AG32" s="1">
        <v>0.4</v>
      </c>
      <c r="AI32" s="1">
        <v>0</v>
      </c>
      <c r="AJ32" s="1">
        <v>0</v>
      </c>
      <c r="AK32" s="1">
        <v>0</v>
      </c>
      <c r="AL32" s="1">
        <v>1</v>
      </c>
      <c r="AM32" s="1">
        <v>62071</v>
      </c>
      <c r="AN32" s="1">
        <v>29376</v>
      </c>
      <c r="AO32" s="1">
        <v>32694</v>
      </c>
      <c r="AP32" s="1">
        <v>47703</v>
      </c>
      <c r="AQ32" s="16">
        <v>20.952714672490249</v>
      </c>
    </row>
    <row r="33" spans="1:43" x14ac:dyDescent="0.45">
      <c r="A33" s="1">
        <v>32</v>
      </c>
      <c r="B33" s="1">
        <v>73</v>
      </c>
      <c r="C33" s="1">
        <v>83</v>
      </c>
      <c r="D33" s="1" t="s">
        <v>55</v>
      </c>
      <c r="E33" s="1" t="s">
        <v>56</v>
      </c>
      <c r="F33" s="1" t="s">
        <v>57</v>
      </c>
      <c r="G33" s="1" t="s">
        <v>46</v>
      </c>
      <c r="H33" s="1" t="s">
        <v>47</v>
      </c>
      <c r="I33" s="1">
        <v>1176</v>
      </c>
      <c r="J33" s="1">
        <v>30288</v>
      </c>
      <c r="K33" s="1">
        <v>1</v>
      </c>
      <c r="L33" s="1">
        <v>82</v>
      </c>
      <c r="M33" s="1">
        <v>1350</v>
      </c>
      <c r="N33" s="1" t="s">
        <v>48</v>
      </c>
      <c r="O33" s="1">
        <v>197620</v>
      </c>
      <c r="P33" s="1">
        <v>88</v>
      </c>
      <c r="Q33" s="1" t="s">
        <v>49</v>
      </c>
      <c r="R33" s="1" t="s">
        <v>50</v>
      </c>
      <c r="S33" s="1">
        <v>0</v>
      </c>
      <c r="T33" s="1">
        <v>0</v>
      </c>
      <c r="U33" s="1">
        <v>87.173000000000002</v>
      </c>
      <c r="V33" s="1">
        <v>25.33</v>
      </c>
      <c r="W33" s="1">
        <v>0.53</v>
      </c>
      <c r="X33" s="1">
        <v>0.16200000000000001</v>
      </c>
      <c r="Y33" s="1">
        <v>25.492000000000001</v>
      </c>
      <c r="Z33" s="1">
        <v>0.19500000000000001</v>
      </c>
      <c r="AA33" s="1">
        <v>0.2</v>
      </c>
      <c r="AB33" s="1">
        <v>0.2</v>
      </c>
      <c r="AC33" s="1">
        <v>0.2</v>
      </c>
      <c r="AD33" s="1">
        <v>0.16200000000000001</v>
      </c>
      <c r="AE33" s="1">
        <v>0.19500000000000001</v>
      </c>
      <c r="AF33" s="1">
        <v>3.2000000000000001E-2</v>
      </c>
      <c r="AG33" s="1">
        <v>0.2</v>
      </c>
      <c r="AI33" s="1">
        <v>0</v>
      </c>
      <c r="AJ33" s="1">
        <v>0</v>
      </c>
      <c r="AK33" s="1">
        <v>0</v>
      </c>
      <c r="AL33" s="1">
        <v>1</v>
      </c>
      <c r="AM33" s="1">
        <v>86400</v>
      </c>
      <c r="AN33" s="1">
        <v>74450</v>
      </c>
      <c r="AO33" s="1">
        <v>11950</v>
      </c>
      <c r="AP33" s="1">
        <v>47073</v>
      </c>
      <c r="AQ33" s="16">
        <v>3.5048943592542212</v>
      </c>
    </row>
    <row r="34" spans="1:43" x14ac:dyDescent="0.45">
      <c r="A34" s="1">
        <v>33</v>
      </c>
      <c r="B34" s="1">
        <v>73</v>
      </c>
      <c r="C34" s="1">
        <v>83</v>
      </c>
      <c r="D34" s="1" t="s">
        <v>55</v>
      </c>
      <c r="E34" s="1" t="s">
        <v>56</v>
      </c>
      <c r="F34" s="1" t="s">
        <v>57</v>
      </c>
      <c r="G34" s="1" t="s">
        <v>46</v>
      </c>
      <c r="H34" s="1" t="s">
        <v>47</v>
      </c>
      <c r="I34" s="1">
        <v>1176</v>
      </c>
      <c r="J34" s="1">
        <v>30288</v>
      </c>
      <c r="K34" s="1">
        <v>1</v>
      </c>
      <c r="L34" s="1">
        <v>82</v>
      </c>
      <c r="M34" s="1">
        <v>1351</v>
      </c>
      <c r="N34" s="1" t="s">
        <v>48</v>
      </c>
      <c r="O34" s="1">
        <v>197622</v>
      </c>
      <c r="P34" s="1">
        <v>88</v>
      </c>
      <c r="Q34" s="1" t="s">
        <v>49</v>
      </c>
      <c r="R34" s="1" t="s">
        <v>50</v>
      </c>
      <c r="S34" s="1">
        <v>0</v>
      </c>
      <c r="T34" s="1">
        <v>0</v>
      </c>
      <c r="U34" s="1">
        <v>74.367000000000004</v>
      </c>
      <c r="V34" s="1">
        <v>25.289000000000001</v>
      </c>
      <c r="W34" s="1">
        <v>0.54</v>
      </c>
      <c r="X34" s="1">
        <v>0.2</v>
      </c>
      <c r="Y34" s="1">
        <v>25.489000000000001</v>
      </c>
      <c r="Z34" s="1">
        <v>0.26300000000000001</v>
      </c>
      <c r="AA34" s="1">
        <v>0.3</v>
      </c>
      <c r="AB34" s="1">
        <v>0.3</v>
      </c>
      <c r="AC34" s="1">
        <v>0.3</v>
      </c>
      <c r="AD34" s="1">
        <v>0.2</v>
      </c>
      <c r="AE34" s="1">
        <v>0.26300000000000001</v>
      </c>
      <c r="AF34" s="1">
        <v>5.2999999999999999E-2</v>
      </c>
      <c r="AG34" s="1">
        <v>0.3</v>
      </c>
      <c r="AI34" s="1">
        <v>0</v>
      </c>
      <c r="AJ34" s="1">
        <v>0</v>
      </c>
      <c r="AK34" s="1">
        <v>0</v>
      </c>
      <c r="AL34" s="1">
        <v>1</v>
      </c>
      <c r="AM34" s="1">
        <v>86400</v>
      </c>
      <c r="AN34" s="1">
        <v>76823</v>
      </c>
      <c r="AO34" s="1">
        <v>9576</v>
      </c>
      <c r="AP34" s="1">
        <v>47511</v>
      </c>
      <c r="AQ34" s="16">
        <v>16.15653130558637</v>
      </c>
    </row>
    <row r="35" spans="1:43" x14ac:dyDescent="0.45">
      <c r="A35" s="1">
        <v>34</v>
      </c>
      <c r="B35" s="1">
        <v>73</v>
      </c>
      <c r="C35" s="1">
        <v>83</v>
      </c>
      <c r="D35" s="1" t="s">
        <v>55</v>
      </c>
      <c r="E35" s="1" t="s">
        <v>56</v>
      </c>
      <c r="F35" s="1" t="s">
        <v>57</v>
      </c>
      <c r="G35" s="1" t="s">
        <v>46</v>
      </c>
      <c r="H35" s="1" t="s">
        <v>47</v>
      </c>
      <c r="I35" s="1">
        <v>1176</v>
      </c>
      <c r="J35" s="1">
        <v>30288</v>
      </c>
      <c r="K35" s="1">
        <v>1</v>
      </c>
      <c r="L35" s="1">
        <v>82</v>
      </c>
      <c r="M35" s="1">
        <v>1352</v>
      </c>
      <c r="N35" s="1" t="s">
        <v>48</v>
      </c>
      <c r="O35" s="1">
        <v>197623</v>
      </c>
      <c r="P35" s="1">
        <v>88</v>
      </c>
      <c r="Q35" s="1" t="s">
        <v>49</v>
      </c>
      <c r="R35" s="1" t="s">
        <v>50</v>
      </c>
      <c r="S35" s="1">
        <v>0</v>
      </c>
      <c r="T35" s="1">
        <v>0</v>
      </c>
      <c r="U35" s="1">
        <v>51.329000000000001</v>
      </c>
      <c r="V35" s="1">
        <v>25.263000000000002</v>
      </c>
      <c r="W35" s="1">
        <v>0.54</v>
      </c>
      <c r="X35" s="1">
        <v>0.22600000000000001</v>
      </c>
      <c r="Y35" s="1">
        <v>25.489000000000001</v>
      </c>
      <c r="Z35" s="1">
        <v>0.29299999999999998</v>
      </c>
      <c r="AA35" s="1">
        <v>0.3</v>
      </c>
      <c r="AB35" s="1">
        <v>0.3</v>
      </c>
      <c r="AC35" s="1">
        <v>0.3</v>
      </c>
      <c r="AD35" s="1">
        <v>0.22600000000000001</v>
      </c>
      <c r="AE35" s="1">
        <v>0.29299999999999998</v>
      </c>
      <c r="AF35" s="1">
        <v>6.6000000000000003E-2</v>
      </c>
      <c r="AG35" s="1">
        <v>0.3</v>
      </c>
      <c r="AI35" s="1">
        <v>0</v>
      </c>
      <c r="AJ35" s="1">
        <v>0</v>
      </c>
      <c r="AK35" s="1">
        <v>0</v>
      </c>
      <c r="AL35" s="1">
        <v>1</v>
      </c>
      <c r="AM35" s="1">
        <v>86400</v>
      </c>
      <c r="AN35" s="1">
        <v>78031</v>
      </c>
      <c r="AO35" s="1">
        <v>8369</v>
      </c>
      <c r="AP35" s="1">
        <v>47727</v>
      </c>
      <c r="AQ35" s="16">
        <v>2.298754340804646</v>
      </c>
    </row>
    <row r="36" spans="1:43" x14ac:dyDescent="0.45">
      <c r="A36" s="1">
        <v>35</v>
      </c>
      <c r="B36" s="1">
        <v>74</v>
      </c>
      <c r="C36" s="1">
        <v>83</v>
      </c>
      <c r="D36" s="1" t="s">
        <v>55</v>
      </c>
      <c r="E36" s="1" t="s">
        <v>56</v>
      </c>
      <c r="F36" s="1" t="s">
        <v>57</v>
      </c>
      <c r="G36" s="1" t="s">
        <v>46</v>
      </c>
      <c r="H36" s="1" t="s">
        <v>47</v>
      </c>
      <c r="I36" s="1">
        <v>1176</v>
      </c>
      <c r="J36" s="1">
        <v>30288</v>
      </c>
      <c r="K36" s="1">
        <v>1</v>
      </c>
      <c r="L36" s="1">
        <v>82</v>
      </c>
      <c r="M36" s="1">
        <v>1342</v>
      </c>
      <c r="N36" s="1" t="s">
        <v>48</v>
      </c>
      <c r="O36" s="1">
        <v>197520</v>
      </c>
      <c r="P36" s="1">
        <v>88</v>
      </c>
      <c r="Q36" s="1" t="s">
        <v>49</v>
      </c>
      <c r="R36" s="1" t="s">
        <v>50</v>
      </c>
      <c r="S36" s="1">
        <v>0</v>
      </c>
      <c r="T36" s="1">
        <v>0</v>
      </c>
      <c r="U36" s="1">
        <v>236.95699999999999</v>
      </c>
      <c r="V36" s="1">
        <v>25.372</v>
      </c>
      <c r="W36" s="1">
        <v>0.53</v>
      </c>
      <c r="X36" s="1">
        <v>0.19700000000000001</v>
      </c>
      <c r="Y36" s="1">
        <v>25.568999999999999</v>
      </c>
      <c r="Z36" s="1">
        <v>5.5E-2</v>
      </c>
      <c r="AA36" s="1">
        <v>0.2</v>
      </c>
      <c r="AB36" s="1">
        <v>0.2</v>
      </c>
      <c r="AC36" s="1">
        <v>0.2</v>
      </c>
      <c r="AD36" s="1">
        <v>0.19700000000000001</v>
      </c>
      <c r="AE36" s="1">
        <v>5.5E-2</v>
      </c>
      <c r="AF36" s="1">
        <v>1.0999999999999999E-2</v>
      </c>
      <c r="AG36" s="1">
        <v>0.2</v>
      </c>
      <c r="AI36" s="1">
        <v>0</v>
      </c>
      <c r="AJ36" s="1">
        <v>0</v>
      </c>
      <c r="AK36" s="1">
        <v>0</v>
      </c>
      <c r="AL36" s="1">
        <v>1</v>
      </c>
      <c r="AM36" s="1">
        <v>86400</v>
      </c>
      <c r="AN36" s="1">
        <v>77469</v>
      </c>
      <c r="AO36" s="1">
        <v>8931</v>
      </c>
      <c r="AP36" s="1">
        <v>47014</v>
      </c>
      <c r="AQ36" s="16">
        <v>24.89810128895984</v>
      </c>
    </row>
    <row r="37" spans="1:43" x14ac:dyDescent="0.45">
      <c r="A37" s="1">
        <v>36</v>
      </c>
      <c r="B37" s="1">
        <v>74</v>
      </c>
      <c r="C37" s="1">
        <v>83</v>
      </c>
      <c r="D37" s="1" t="s">
        <v>55</v>
      </c>
      <c r="E37" s="1" t="s">
        <v>56</v>
      </c>
      <c r="F37" s="1" t="s">
        <v>57</v>
      </c>
      <c r="G37" s="1" t="s">
        <v>46</v>
      </c>
      <c r="H37" s="1" t="s">
        <v>47</v>
      </c>
      <c r="I37" s="1">
        <v>1176</v>
      </c>
      <c r="J37" s="1">
        <v>30288</v>
      </c>
      <c r="K37" s="1">
        <v>1</v>
      </c>
      <c r="L37" s="1">
        <v>82</v>
      </c>
      <c r="M37" s="1">
        <v>1343</v>
      </c>
      <c r="N37" s="1" t="s">
        <v>48</v>
      </c>
      <c r="O37" s="1">
        <v>197563</v>
      </c>
      <c r="P37" s="1">
        <v>88</v>
      </c>
      <c r="Q37" s="1" t="s">
        <v>49</v>
      </c>
      <c r="R37" s="1" t="s">
        <v>50</v>
      </c>
      <c r="S37" s="1">
        <v>0</v>
      </c>
      <c r="T37" s="1">
        <v>0</v>
      </c>
      <c r="U37" s="1">
        <v>552.46799999999996</v>
      </c>
      <c r="V37" s="1">
        <v>25.45</v>
      </c>
      <c r="W37" s="1">
        <v>0.52</v>
      </c>
      <c r="X37" s="1">
        <v>0.11799999999999999</v>
      </c>
      <c r="Y37" s="1">
        <v>25.568000000000001</v>
      </c>
      <c r="Z37" s="1">
        <v>0.10100000000000001</v>
      </c>
      <c r="AA37" s="1">
        <v>0.9</v>
      </c>
      <c r="AB37" s="1">
        <v>0.9</v>
      </c>
      <c r="AC37" s="1">
        <v>0.9</v>
      </c>
      <c r="AD37" s="1">
        <v>0.11799999999999999</v>
      </c>
      <c r="AE37" s="1">
        <v>0.10100000000000001</v>
      </c>
      <c r="AF37" s="1">
        <v>1.2E-2</v>
      </c>
      <c r="AG37" s="1">
        <v>0.9</v>
      </c>
      <c r="AI37" s="1">
        <v>0</v>
      </c>
      <c r="AJ37" s="1">
        <v>0</v>
      </c>
      <c r="AK37" s="1">
        <v>0</v>
      </c>
      <c r="AL37" s="1">
        <v>1</v>
      </c>
      <c r="AM37" s="1">
        <v>86400</v>
      </c>
      <c r="AN37" s="1">
        <v>74437</v>
      </c>
      <c r="AO37" s="1">
        <v>11963</v>
      </c>
      <c r="AP37" s="1">
        <v>47062</v>
      </c>
      <c r="AQ37" s="16">
        <v>0.69662298424265845</v>
      </c>
    </row>
    <row r="38" spans="1:43" x14ac:dyDescent="0.45">
      <c r="A38" s="1">
        <v>37</v>
      </c>
      <c r="B38" s="1">
        <v>77</v>
      </c>
      <c r="C38" s="1">
        <v>46</v>
      </c>
      <c r="D38" s="1" t="s">
        <v>58</v>
      </c>
      <c r="E38" s="1" t="s">
        <v>59</v>
      </c>
      <c r="F38" s="1" t="s">
        <v>60</v>
      </c>
      <c r="G38" s="1" t="s">
        <v>54</v>
      </c>
      <c r="H38" s="1" t="s">
        <v>47</v>
      </c>
      <c r="I38" s="1">
        <v>503</v>
      </c>
      <c r="J38" s="1">
        <v>17406</v>
      </c>
      <c r="K38" s="1">
        <v>1</v>
      </c>
      <c r="L38" s="1">
        <v>45</v>
      </c>
      <c r="M38" s="1">
        <v>1337</v>
      </c>
      <c r="N38" s="1" t="s">
        <v>48</v>
      </c>
      <c r="O38" s="1">
        <v>196199</v>
      </c>
      <c r="P38" s="1">
        <v>88</v>
      </c>
      <c r="Q38" s="1" t="s">
        <v>49</v>
      </c>
      <c r="R38" s="1" t="s">
        <v>50</v>
      </c>
      <c r="S38" s="1">
        <v>0</v>
      </c>
      <c r="T38" s="1">
        <v>0</v>
      </c>
      <c r="U38" s="1">
        <v>64.108000000000004</v>
      </c>
      <c r="V38" s="1">
        <v>25.141999999999999</v>
      </c>
      <c r="W38" s="1">
        <v>0.62</v>
      </c>
      <c r="X38" s="1">
        <v>0.33900000000000002</v>
      </c>
      <c r="Y38" s="1">
        <v>25.481000000000002</v>
      </c>
      <c r="Z38" s="1">
        <v>2.0539999999999998</v>
      </c>
      <c r="AA38" s="1">
        <v>2.7</v>
      </c>
      <c r="AB38" s="1">
        <v>2.7</v>
      </c>
      <c r="AC38" s="1">
        <v>2.7</v>
      </c>
      <c r="AD38" s="1">
        <v>0.33900000000000002</v>
      </c>
      <c r="AE38" s="1">
        <v>2.0489999999999999</v>
      </c>
      <c r="AF38" s="1">
        <v>0.69499999999999995</v>
      </c>
      <c r="AG38" s="1">
        <v>2.7</v>
      </c>
      <c r="AI38" s="1">
        <v>0</v>
      </c>
      <c r="AJ38" s="1">
        <v>0</v>
      </c>
      <c r="AK38" s="1">
        <v>0</v>
      </c>
      <c r="AL38" s="1">
        <v>1</v>
      </c>
      <c r="AM38" s="1">
        <v>57798</v>
      </c>
      <c r="AN38" s="1">
        <v>21516</v>
      </c>
      <c r="AO38" s="1">
        <v>36282</v>
      </c>
      <c r="AP38" s="1">
        <v>47056</v>
      </c>
      <c r="AQ38" s="16">
        <v>4.5203553741049349</v>
      </c>
    </row>
    <row r="39" spans="1:43" x14ac:dyDescent="0.45">
      <c r="A39" s="1">
        <v>38</v>
      </c>
      <c r="B39" s="1">
        <v>98</v>
      </c>
      <c r="C39" s="1">
        <v>74</v>
      </c>
      <c r="D39" s="1" t="s">
        <v>61</v>
      </c>
      <c r="E39" s="1" t="s">
        <v>62</v>
      </c>
      <c r="F39" s="1" t="s">
        <v>63</v>
      </c>
      <c r="G39" s="1" t="s">
        <v>46</v>
      </c>
      <c r="H39" s="1" t="s">
        <v>47</v>
      </c>
      <c r="I39" s="1">
        <v>1175</v>
      </c>
      <c r="J39" s="1">
        <v>30642</v>
      </c>
      <c r="K39" s="1">
        <v>1</v>
      </c>
      <c r="L39" s="1">
        <v>73</v>
      </c>
      <c r="M39" s="1">
        <v>1392</v>
      </c>
      <c r="N39" s="1" t="s">
        <v>48</v>
      </c>
      <c r="O39" s="1">
        <v>198607</v>
      </c>
      <c r="P39" s="1">
        <v>88</v>
      </c>
      <c r="Q39" s="1" t="s">
        <v>49</v>
      </c>
      <c r="R39" s="1" t="s">
        <v>50</v>
      </c>
      <c r="S39" s="1">
        <v>0</v>
      </c>
      <c r="T39" s="1">
        <v>0</v>
      </c>
      <c r="U39" s="1">
        <v>71.430000000000007</v>
      </c>
      <c r="V39" s="1">
        <v>25.236000000000001</v>
      </c>
      <c r="W39" s="1">
        <v>0.52</v>
      </c>
      <c r="X39" s="1">
        <v>0.122</v>
      </c>
      <c r="Y39" s="1">
        <v>25.358000000000001</v>
      </c>
      <c r="Z39" s="1">
        <v>0.109</v>
      </c>
      <c r="AA39" s="1">
        <v>-0.8</v>
      </c>
      <c r="AB39" s="1">
        <v>-0.6</v>
      </c>
      <c r="AC39" s="1">
        <v>-0.6</v>
      </c>
      <c r="AD39" s="1">
        <v>0.122</v>
      </c>
      <c r="AE39" s="1">
        <v>8.4000000000000005E-2</v>
      </c>
      <c r="AF39" s="1">
        <v>1.0999999999999999E-2</v>
      </c>
      <c r="AG39" s="1">
        <v>-0.8</v>
      </c>
      <c r="AI39" s="1">
        <v>0</v>
      </c>
      <c r="AJ39" s="1">
        <v>0</v>
      </c>
      <c r="AK39" s="1">
        <v>0</v>
      </c>
      <c r="AL39" s="1">
        <v>1</v>
      </c>
      <c r="AM39" s="1">
        <v>86400</v>
      </c>
      <c r="AN39" s="1">
        <v>79583</v>
      </c>
      <c r="AO39" s="1">
        <v>6817</v>
      </c>
      <c r="AP39" s="1">
        <v>49624</v>
      </c>
      <c r="AQ39" s="16">
        <v>1.128700622000171</v>
      </c>
    </row>
    <row r="40" spans="1:43" x14ac:dyDescent="0.45">
      <c r="A40" s="1">
        <v>39</v>
      </c>
      <c r="B40" s="1">
        <v>99</v>
      </c>
      <c r="C40" s="1">
        <v>75</v>
      </c>
      <c r="D40" s="1" t="s">
        <v>64</v>
      </c>
      <c r="E40" s="1" t="s">
        <v>65</v>
      </c>
      <c r="F40" s="1" t="s">
        <v>66</v>
      </c>
      <c r="G40" s="1" t="s">
        <v>46</v>
      </c>
      <c r="H40" s="1" t="s">
        <v>47</v>
      </c>
      <c r="I40" s="1">
        <v>1170</v>
      </c>
      <c r="J40" s="1">
        <v>33499</v>
      </c>
      <c r="K40" s="1">
        <v>1</v>
      </c>
      <c r="L40" s="1">
        <v>74</v>
      </c>
      <c r="M40" s="1">
        <v>1392</v>
      </c>
      <c r="N40" s="1" t="s">
        <v>48</v>
      </c>
      <c r="O40" s="1">
        <v>198607</v>
      </c>
      <c r="P40" s="1">
        <v>88</v>
      </c>
      <c r="Q40" s="1" t="s">
        <v>49</v>
      </c>
      <c r="R40" s="1" t="s">
        <v>50</v>
      </c>
      <c r="S40" s="1">
        <v>0</v>
      </c>
      <c r="T40" s="1">
        <v>0</v>
      </c>
      <c r="U40" s="1">
        <v>71.430000000000007</v>
      </c>
      <c r="V40" s="1">
        <v>25.236000000000001</v>
      </c>
      <c r="W40" s="1">
        <v>0.52</v>
      </c>
      <c r="X40" s="1">
        <v>0.122</v>
      </c>
      <c r="Y40" s="1">
        <v>25.358000000000001</v>
      </c>
      <c r="Z40" s="1">
        <v>0.109</v>
      </c>
      <c r="AA40" s="1">
        <v>-0.8</v>
      </c>
      <c r="AB40" s="1">
        <v>-0.6</v>
      </c>
      <c r="AC40" s="1">
        <v>-0.6</v>
      </c>
      <c r="AD40" s="1">
        <v>0.122</v>
      </c>
      <c r="AE40" s="1">
        <v>8.4000000000000005E-2</v>
      </c>
      <c r="AF40" s="1">
        <v>1.0999999999999999E-2</v>
      </c>
      <c r="AG40" s="1">
        <v>-0.8</v>
      </c>
      <c r="AI40" s="1">
        <v>0</v>
      </c>
      <c r="AJ40" s="1">
        <v>0</v>
      </c>
      <c r="AK40" s="1">
        <v>0</v>
      </c>
      <c r="AL40" s="1">
        <v>1</v>
      </c>
      <c r="AM40" s="1">
        <v>86400</v>
      </c>
      <c r="AN40" s="1">
        <v>79583</v>
      </c>
      <c r="AO40" s="1">
        <v>6817</v>
      </c>
      <c r="AP40" s="1">
        <v>49624</v>
      </c>
      <c r="AQ40" s="16">
        <v>1.12779195385514</v>
      </c>
    </row>
    <row r="41" spans="1:43" x14ac:dyDescent="0.45">
      <c r="A41" s="1">
        <v>40</v>
      </c>
      <c r="B41" s="1">
        <v>101</v>
      </c>
      <c r="C41" s="1">
        <v>74</v>
      </c>
      <c r="D41" s="1" t="s">
        <v>61</v>
      </c>
      <c r="E41" s="1" t="s">
        <v>62</v>
      </c>
      <c r="F41" s="1" t="s">
        <v>63</v>
      </c>
      <c r="G41" s="1" t="s">
        <v>46</v>
      </c>
      <c r="H41" s="1" t="s">
        <v>47</v>
      </c>
      <c r="I41" s="1">
        <v>1175</v>
      </c>
      <c r="J41" s="1">
        <v>30642</v>
      </c>
      <c r="K41" s="1">
        <v>1</v>
      </c>
      <c r="L41" s="1">
        <v>73</v>
      </c>
      <c r="M41" s="1">
        <v>1374</v>
      </c>
      <c r="N41" s="1" t="s">
        <v>48</v>
      </c>
      <c r="O41" s="1">
        <v>198410</v>
      </c>
      <c r="P41" s="1">
        <v>88</v>
      </c>
      <c r="Q41" s="1" t="s">
        <v>49</v>
      </c>
      <c r="R41" s="1" t="s">
        <v>50</v>
      </c>
      <c r="S41" s="1">
        <v>0</v>
      </c>
      <c r="T41" s="1">
        <v>0</v>
      </c>
      <c r="U41" s="1">
        <v>133.90799999999999</v>
      </c>
      <c r="V41" s="1">
        <v>25.021999999999998</v>
      </c>
      <c r="W41" s="1">
        <v>0.54</v>
      </c>
      <c r="X41" s="1">
        <v>0.24399999999999999</v>
      </c>
      <c r="Y41" s="1">
        <v>25.265999999999998</v>
      </c>
      <c r="Z41" s="1">
        <v>6.0999999999999999E-2</v>
      </c>
      <c r="AA41" s="1">
        <v>-0.6</v>
      </c>
      <c r="AB41" s="1">
        <v>-0.6</v>
      </c>
      <c r="AC41" s="1">
        <v>-0.6</v>
      </c>
      <c r="AD41" s="1">
        <v>0.24399999999999999</v>
      </c>
      <c r="AE41" s="1">
        <v>6.0999999999999999E-2</v>
      </c>
      <c r="AF41" s="1">
        <v>1.4999999999999999E-2</v>
      </c>
      <c r="AG41" s="1">
        <v>-0.6</v>
      </c>
      <c r="AI41" s="1">
        <v>0</v>
      </c>
      <c r="AJ41" s="1">
        <v>0</v>
      </c>
      <c r="AK41" s="1">
        <v>0</v>
      </c>
      <c r="AL41" s="1">
        <v>1</v>
      </c>
      <c r="AM41" s="1">
        <v>86400</v>
      </c>
      <c r="AN41" s="1">
        <v>79583</v>
      </c>
      <c r="AO41" s="1">
        <v>6817</v>
      </c>
      <c r="AP41" s="1">
        <v>47378</v>
      </c>
      <c r="AQ41" s="16">
        <v>11.882044579238849</v>
      </c>
    </row>
    <row r="42" spans="1:43" x14ac:dyDescent="0.45">
      <c r="A42" s="1">
        <v>41</v>
      </c>
      <c r="B42" s="1">
        <v>101</v>
      </c>
      <c r="C42" s="1">
        <v>74</v>
      </c>
      <c r="D42" s="1" t="s">
        <v>61</v>
      </c>
      <c r="E42" s="1" t="s">
        <v>62</v>
      </c>
      <c r="F42" s="1" t="s">
        <v>63</v>
      </c>
      <c r="G42" s="1" t="s">
        <v>46</v>
      </c>
      <c r="H42" s="1" t="s">
        <v>47</v>
      </c>
      <c r="I42" s="1">
        <v>1175</v>
      </c>
      <c r="J42" s="1">
        <v>30642</v>
      </c>
      <c r="K42" s="1">
        <v>1</v>
      </c>
      <c r="L42" s="1">
        <v>73</v>
      </c>
      <c r="M42" s="1">
        <v>1376</v>
      </c>
      <c r="N42" s="1" t="s">
        <v>48</v>
      </c>
      <c r="O42" s="1">
        <v>198432</v>
      </c>
      <c r="P42" s="1">
        <v>88</v>
      </c>
      <c r="Q42" s="1" t="s">
        <v>49</v>
      </c>
      <c r="R42" s="1" t="s">
        <v>50</v>
      </c>
      <c r="S42" s="1">
        <v>0</v>
      </c>
      <c r="T42" s="1">
        <v>0</v>
      </c>
      <c r="U42" s="1">
        <v>135.304</v>
      </c>
      <c r="V42" s="1">
        <v>25.076000000000001</v>
      </c>
      <c r="W42" s="1">
        <v>0.53</v>
      </c>
      <c r="X42" s="1">
        <v>0.19</v>
      </c>
      <c r="Y42" s="1">
        <v>25.266999999999999</v>
      </c>
      <c r="Z42" s="1">
        <v>5.5E-2</v>
      </c>
      <c r="AA42" s="1">
        <v>1.9</v>
      </c>
      <c r="AB42" s="1">
        <v>1.9</v>
      </c>
      <c r="AC42" s="1">
        <v>1.9</v>
      </c>
      <c r="AD42" s="1">
        <v>0.19</v>
      </c>
      <c r="AE42" s="1">
        <v>5.5E-2</v>
      </c>
      <c r="AF42" s="1">
        <v>0.01</v>
      </c>
      <c r="AG42" s="1">
        <v>1.9</v>
      </c>
      <c r="AI42" s="1">
        <v>0</v>
      </c>
      <c r="AJ42" s="1">
        <v>0</v>
      </c>
      <c r="AK42" s="1">
        <v>0</v>
      </c>
      <c r="AL42" s="1">
        <v>1</v>
      </c>
      <c r="AM42" s="1">
        <v>86400</v>
      </c>
      <c r="AN42" s="1">
        <v>76237</v>
      </c>
      <c r="AO42" s="1">
        <v>10163</v>
      </c>
      <c r="AP42" s="1">
        <v>46832</v>
      </c>
      <c r="AQ42" s="16">
        <v>3.4742025684666311</v>
      </c>
    </row>
    <row r="43" spans="1:43" x14ac:dyDescent="0.45">
      <c r="A43" s="1">
        <v>42</v>
      </c>
      <c r="B43" s="1">
        <v>101</v>
      </c>
      <c r="C43" s="1">
        <v>74</v>
      </c>
      <c r="D43" s="1" t="s">
        <v>61</v>
      </c>
      <c r="E43" s="1" t="s">
        <v>62</v>
      </c>
      <c r="F43" s="1" t="s">
        <v>63</v>
      </c>
      <c r="G43" s="1" t="s">
        <v>46</v>
      </c>
      <c r="H43" s="1" t="s">
        <v>47</v>
      </c>
      <c r="I43" s="1">
        <v>1175</v>
      </c>
      <c r="J43" s="1">
        <v>30642</v>
      </c>
      <c r="K43" s="1">
        <v>1</v>
      </c>
      <c r="L43" s="1">
        <v>73</v>
      </c>
      <c r="M43" s="1">
        <v>1380</v>
      </c>
      <c r="N43" s="1" t="s">
        <v>48</v>
      </c>
      <c r="O43" s="1">
        <v>198461</v>
      </c>
      <c r="P43" s="1">
        <v>88</v>
      </c>
      <c r="Q43" s="1" t="s">
        <v>49</v>
      </c>
      <c r="R43" s="1" t="s">
        <v>50</v>
      </c>
      <c r="S43" s="1">
        <v>0</v>
      </c>
      <c r="T43" s="1">
        <v>0</v>
      </c>
      <c r="U43" s="1">
        <v>58.322000000000003</v>
      </c>
      <c r="V43" s="1">
        <v>24.956</v>
      </c>
      <c r="W43" s="1">
        <v>0.54</v>
      </c>
      <c r="X43" s="1">
        <v>0.20799999999999999</v>
      </c>
      <c r="Y43" s="1">
        <v>25.164000000000001</v>
      </c>
      <c r="Z43" s="1">
        <v>0.55600000000000005</v>
      </c>
      <c r="AA43" s="1">
        <v>-2.4</v>
      </c>
      <c r="AB43" s="1">
        <v>-2.4</v>
      </c>
      <c r="AC43" s="1">
        <v>-2.4</v>
      </c>
      <c r="AD43" s="1">
        <v>0.20799999999999999</v>
      </c>
      <c r="AE43" s="1">
        <v>0.55500000000000005</v>
      </c>
      <c r="AF43" s="1">
        <v>0.11600000000000001</v>
      </c>
      <c r="AG43" s="1">
        <v>-2.4</v>
      </c>
      <c r="AI43" s="1">
        <v>0</v>
      </c>
      <c r="AJ43" s="1">
        <v>0</v>
      </c>
      <c r="AK43" s="1">
        <v>0</v>
      </c>
      <c r="AL43" s="1">
        <v>1</v>
      </c>
      <c r="AM43" s="1">
        <v>86400</v>
      </c>
      <c r="AN43" s="1">
        <v>79953</v>
      </c>
      <c r="AO43" s="1">
        <v>6447</v>
      </c>
      <c r="AP43" s="1">
        <v>46813</v>
      </c>
      <c r="AQ43" s="16">
        <v>9.2549849174751557</v>
      </c>
    </row>
    <row r="44" spans="1:43" x14ac:dyDescent="0.45">
      <c r="A44" s="1">
        <v>43</v>
      </c>
      <c r="B44" s="1">
        <v>101</v>
      </c>
      <c r="C44" s="1">
        <v>74</v>
      </c>
      <c r="D44" s="1" t="s">
        <v>61</v>
      </c>
      <c r="E44" s="1" t="s">
        <v>62</v>
      </c>
      <c r="F44" s="1" t="s">
        <v>63</v>
      </c>
      <c r="G44" s="1" t="s">
        <v>46</v>
      </c>
      <c r="H44" s="1" t="s">
        <v>47</v>
      </c>
      <c r="I44" s="1">
        <v>1175</v>
      </c>
      <c r="J44" s="1">
        <v>30642</v>
      </c>
      <c r="K44" s="1">
        <v>1</v>
      </c>
      <c r="L44" s="1">
        <v>73</v>
      </c>
      <c r="M44" s="1">
        <v>1381</v>
      </c>
      <c r="N44" s="1" t="s">
        <v>48</v>
      </c>
      <c r="O44" s="1">
        <v>198463</v>
      </c>
      <c r="P44" s="1">
        <v>88</v>
      </c>
      <c r="Q44" s="1" t="s">
        <v>49</v>
      </c>
      <c r="R44" s="1" t="s">
        <v>50</v>
      </c>
      <c r="S44" s="1">
        <v>0</v>
      </c>
      <c r="T44" s="1">
        <v>0</v>
      </c>
      <c r="U44" s="1">
        <v>67.843999999999994</v>
      </c>
      <c r="V44" s="1">
        <v>25.030999999999999</v>
      </c>
      <c r="W44" s="1">
        <v>0.52</v>
      </c>
      <c r="X44" s="1">
        <v>0.113</v>
      </c>
      <c r="Y44" s="1">
        <v>25.145</v>
      </c>
      <c r="Z44" s="1">
        <v>0.496</v>
      </c>
      <c r="AA44" s="1">
        <v>-2.4</v>
      </c>
      <c r="AB44" s="1">
        <v>-2.4</v>
      </c>
      <c r="AC44" s="1">
        <v>-2.4</v>
      </c>
      <c r="AD44" s="1">
        <v>0.113</v>
      </c>
      <c r="AE44" s="1">
        <v>0.49</v>
      </c>
      <c r="AF44" s="1">
        <v>5.6000000000000001E-2</v>
      </c>
      <c r="AG44" s="1">
        <v>-2.4</v>
      </c>
      <c r="AI44" s="1">
        <v>0</v>
      </c>
      <c r="AJ44" s="1">
        <v>0</v>
      </c>
      <c r="AK44" s="1">
        <v>0</v>
      </c>
      <c r="AL44" s="1">
        <v>1</v>
      </c>
      <c r="AM44" s="1">
        <v>61503</v>
      </c>
      <c r="AN44" s="1">
        <v>28675</v>
      </c>
      <c r="AO44" s="1">
        <v>32570</v>
      </c>
      <c r="AP44" s="1">
        <v>49049</v>
      </c>
      <c r="AQ44" s="16">
        <v>8.1452208108424564</v>
      </c>
    </row>
    <row r="45" spans="1:43" x14ac:dyDescent="0.45">
      <c r="A45" s="1">
        <v>44</v>
      </c>
      <c r="B45" s="1">
        <v>101</v>
      </c>
      <c r="C45" s="1">
        <v>74</v>
      </c>
      <c r="D45" s="1" t="s">
        <v>61</v>
      </c>
      <c r="E45" s="1" t="s">
        <v>62</v>
      </c>
      <c r="F45" s="1" t="s">
        <v>63</v>
      </c>
      <c r="G45" s="1" t="s">
        <v>46</v>
      </c>
      <c r="H45" s="1" t="s">
        <v>47</v>
      </c>
      <c r="I45" s="1">
        <v>1175</v>
      </c>
      <c r="J45" s="1">
        <v>30642</v>
      </c>
      <c r="K45" s="1">
        <v>1</v>
      </c>
      <c r="L45" s="1">
        <v>73</v>
      </c>
      <c r="M45" s="1">
        <v>1383</v>
      </c>
      <c r="N45" s="1" t="s">
        <v>48</v>
      </c>
      <c r="O45" s="1">
        <v>198487</v>
      </c>
      <c r="P45" s="1">
        <v>88</v>
      </c>
      <c r="Q45" s="1" t="s">
        <v>49</v>
      </c>
      <c r="R45" s="1" t="s">
        <v>50</v>
      </c>
      <c r="S45" s="1">
        <v>0</v>
      </c>
      <c r="T45" s="1">
        <v>0</v>
      </c>
      <c r="U45" s="1">
        <v>83.683999999999997</v>
      </c>
      <c r="V45" s="1">
        <v>25.073</v>
      </c>
      <c r="W45" s="1">
        <v>0.53</v>
      </c>
      <c r="X45" s="1">
        <v>0.193</v>
      </c>
      <c r="Y45" s="1">
        <v>25.265999999999998</v>
      </c>
      <c r="Z45" s="1">
        <v>7.6999999999999999E-2</v>
      </c>
      <c r="AA45" s="1">
        <v>-2.6</v>
      </c>
      <c r="AB45" s="1">
        <v>-2.6</v>
      </c>
      <c r="AC45" s="1">
        <v>-2.6</v>
      </c>
      <c r="AD45" s="1">
        <v>0.193</v>
      </c>
      <c r="AE45" s="1">
        <v>7.6999999999999999E-2</v>
      </c>
      <c r="AF45" s="1">
        <v>1.4999999999999999E-2</v>
      </c>
      <c r="AG45" s="1">
        <v>-2.6</v>
      </c>
      <c r="AI45" s="1">
        <v>0</v>
      </c>
      <c r="AJ45" s="1">
        <v>0</v>
      </c>
      <c r="AK45" s="1">
        <v>0</v>
      </c>
      <c r="AL45" s="1">
        <v>1</v>
      </c>
      <c r="AM45" s="1">
        <v>86400</v>
      </c>
      <c r="AN45" s="1">
        <v>76445</v>
      </c>
      <c r="AO45" s="1">
        <v>9955</v>
      </c>
      <c r="AP45" s="1">
        <v>47003</v>
      </c>
      <c r="AQ45" s="16">
        <v>15.599047446394991</v>
      </c>
    </row>
    <row r="46" spans="1:43" x14ac:dyDescent="0.45">
      <c r="A46" s="1">
        <v>45</v>
      </c>
      <c r="B46" s="1">
        <v>101</v>
      </c>
      <c r="C46" s="1">
        <v>74</v>
      </c>
      <c r="D46" s="1" t="s">
        <v>61</v>
      </c>
      <c r="E46" s="1" t="s">
        <v>62</v>
      </c>
      <c r="F46" s="1" t="s">
        <v>63</v>
      </c>
      <c r="G46" s="1" t="s">
        <v>46</v>
      </c>
      <c r="H46" s="1" t="s">
        <v>47</v>
      </c>
      <c r="I46" s="1">
        <v>1175</v>
      </c>
      <c r="J46" s="1">
        <v>30642</v>
      </c>
      <c r="K46" s="1">
        <v>1</v>
      </c>
      <c r="L46" s="1">
        <v>73</v>
      </c>
      <c r="M46" s="1">
        <v>1384</v>
      </c>
      <c r="N46" s="1" t="s">
        <v>48</v>
      </c>
      <c r="O46" s="1">
        <v>198541</v>
      </c>
      <c r="P46" s="1">
        <v>88</v>
      </c>
      <c r="Q46" s="1" t="s">
        <v>49</v>
      </c>
      <c r="R46" s="1" t="s">
        <v>50</v>
      </c>
      <c r="S46" s="1">
        <v>0</v>
      </c>
      <c r="T46" s="1">
        <v>0</v>
      </c>
      <c r="U46" s="1">
        <v>289.83499999999998</v>
      </c>
      <c r="V46" s="1">
        <v>25.143000000000001</v>
      </c>
      <c r="W46" s="1">
        <v>0.54</v>
      </c>
      <c r="X46" s="1">
        <v>0.24</v>
      </c>
      <c r="Y46" s="1">
        <v>25.382000000000001</v>
      </c>
      <c r="Z46" s="1">
        <v>0.08</v>
      </c>
      <c r="AA46" s="1">
        <v>-2.1</v>
      </c>
      <c r="AB46" s="1">
        <v>-2.1</v>
      </c>
      <c r="AC46" s="1">
        <v>-2.1</v>
      </c>
      <c r="AD46" s="1">
        <v>0.24</v>
      </c>
      <c r="AE46" s="1">
        <v>0.08</v>
      </c>
      <c r="AF46" s="1">
        <v>1.9E-2</v>
      </c>
      <c r="AG46" s="1">
        <v>-2.1</v>
      </c>
      <c r="AI46" s="1">
        <v>0</v>
      </c>
      <c r="AJ46" s="1">
        <v>0</v>
      </c>
      <c r="AK46" s="1">
        <v>0</v>
      </c>
      <c r="AL46" s="1">
        <v>1</v>
      </c>
      <c r="AM46" s="1">
        <v>86400</v>
      </c>
      <c r="AN46" s="1">
        <v>78212</v>
      </c>
      <c r="AO46" s="1">
        <v>8188</v>
      </c>
      <c r="AP46" s="1">
        <v>43594</v>
      </c>
      <c r="AQ46" s="16">
        <v>24.891446609903252</v>
      </c>
    </row>
    <row r="47" spans="1:43" x14ac:dyDescent="0.45">
      <c r="A47" s="1">
        <v>46</v>
      </c>
      <c r="B47" s="1">
        <v>101</v>
      </c>
      <c r="C47" s="1">
        <v>74</v>
      </c>
      <c r="D47" s="1" t="s">
        <v>61</v>
      </c>
      <c r="E47" s="1" t="s">
        <v>62</v>
      </c>
      <c r="F47" s="1" t="s">
        <v>63</v>
      </c>
      <c r="G47" s="1" t="s">
        <v>46</v>
      </c>
      <c r="H47" s="1" t="s">
        <v>47</v>
      </c>
      <c r="I47" s="1">
        <v>1175</v>
      </c>
      <c r="J47" s="1">
        <v>30642</v>
      </c>
      <c r="K47" s="1">
        <v>1</v>
      </c>
      <c r="L47" s="1">
        <v>73</v>
      </c>
      <c r="M47" s="1">
        <v>1385</v>
      </c>
      <c r="N47" s="1" t="s">
        <v>48</v>
      </c>
      <c r="O47" s="1">
        <v>198542</v>
      </c>
      <c r="P47" s="1">
        <v>88</v>
      </c>
      <c r="Q47" s="1" t="s">
        <v>49</v>
      </c>
      <c r="R47" s="1" t="s">
        <v>50</v>
      </c>
      <c r="S47" s="1">
        <v>0</v>
      </c>
      <c r="T47" s="1">
        <v>0</v>
      </c>
      <c r="U47" s="1">
        <v>289.83499999999998</v>
      </c>
      <c r="V47" s="1">
        <v>25.213999999999999</v>
      </c>
      <c r="W47" s="1">
        <v>0.53</v>
      </c>
      <c r="X47" s="1">
        <v>0.16800000000000001</v>
      </c>
      <c r="Y47" s="1">
        <v>25.382000000000001</v>
      </c>
      <c r="Z47" s="1">
        <v>3.3000000000000002E-2</v>
      </c>
      <c r="AA47" s="1">
        <v>-1</v>
      </c>
      <c r="AB47" s="1">
        <v>-1</v>
      </c>
      <c r="AC47" s="1">
        <v>-1</v>
      </c>
      <c r="AD47" s="1">
        <v>0.16800000000000001</v>
      </c>
      <c r="AE47" s="1">
        <v>3.3000000000000002E-2</v>
      </c>
      <c r="AF47" s="1">
        <v>6.0000000000000001E-3</v>
      </c>
      <c r="AG47" s="1">
        <v>-1</v>
      </c>
      <c r="AI47" s="1">
        <v>0</v>
      </c>
      <c r="AJ47" s="1">
        <v>0</v>
      </c>
      <c r="AK47" s="1">
        <v>0</v>
      </c>
      <c r="AL47" s="1">
        <v>1</v>
      </c>
      <c r="AM47" s="1">
        <v>86400</v>
      </c>
      <c r="AN47" s="1">
        <v>73255</v>
      </c>
      <c r="AO47" s="1">
        <v>13145</v>
      </c>
      <c r="AP47" s="1">
        <v>43502</v>
      </c>
      <c r="AQ47" s="16">
        <v>25.132737300929911</v>
      </c>
    </row>
    <row r="48" spans="1:43" x14ac:dyDescent="0.45">
      <c r="A48" s="1">
        <v>47</v>
      </c>
      <c r="B48" s="1">
        <v>101</v>
      </c>
      <c r="C48" s="1">
        <v>74</v>
      </c>
      <c r="D48" s="1" t="s">
        <v>61</v>
      </c>
      <c r="E48" s="1" t="s">
        <v>62</v>
      </c>
      <c r="F48" s="1" t="s">
        <v>63</v>
      </c>
      <c r="G48" s="1" t="s">
        <v>46</v>
      </c>
      <c r="H48" s="1" t="s">
        <v>47</v>
      </c>
      <c r="I48" s="1">
        <v>1175</v>
      </c>
      <c r="J48" s="1">
        <v>30642</v>
      </c>
      <c r="K48" s="1">
        <v>1</v>
      </c>
      <c r="L48" s="1">
        <v>73</v>
      </c>
      <c r="M48" s="1">
        <v>1386</v>
      </c>
      <c r="N48" s="1" t="s">
        <v>48</v>
      </c>
      <c r="O48" s="1">
        <v>198593</v>
      </c>
      <c r="P48" s="1">
        <v>88</v>
      </c>
      <c r="Q48" s="1" t="s">
        <v>49</v>
      </c>
      <c r="R48" s="1" t="s">
        <v>50</v>
      </c>
      <c r="S48" s="1">
        <v>0</v>
      </c>
      <c r="T48" s="1">
        <v>0</v>
      </c>
      <c r="U48" s="1">
        <v>544.79200000000003</v>
      </c>
      <c r="V48" s="1">
        <v>25.16</v>
      </c>
      <c r="W48" s="1">
        <v>0.53</v>
      </c>
      <c r="X48" s="1">
        <v>0.185</v>
      </c>
      <c r="Y48" s="1">
        <v>25.346</v>
      </c>
      <c r="Z48" s="1">
        <v>8.5000000000000006E-2</v>
      </c>
      <c r="AA48" s="1">
        <v>2.4</v>
      </c>
      <c r="AB48" s="1">
        <v>2.4</v>
      </c>
      <c r="AC48" s="1">
        <v>2.4</v>
      </c>
      <c r="AD48" s="1">
        <v>0.185</v>
      </c>
      <c r="AE48" s="1">
        <v>8.5000000000000006E-2</v>
      </c>
      <c r="AF48" s="1">
        <v>1.6E-2</v>
      </c>
      <c r="AG48" s="1">
        <v>2.4</v>
      </c>
      <c r="AI48" s="1">
        <v>0</v>
      </c>
      <c r="AJ48" s="1">
        <v>0</v>
      </c>
      <c r="AK48" s="1">
        <v>0</v>
      </c>
      <c r="AL48" s="1">
        <v>1</v>
      </c>
      <c r="AM48" s="1">
        <v>86400</v>
      </c>
      <c r="AN48" s="1">
        <v>68996</v>
      </c>
      <c r="AO48" s="1">
        <v>17404</v>
      </c>
      <c r="AP48" s="1">
        <v>50357</v>
      </c>
      <c r="AQ48" s="16">
        <v>26.819003902703411</v>
      </c>
    </row>
    <row r="49" spans="1:43" x14ac:dyDescent="0.45">
      <c r="A49" s="1">
        <v>48</v>
      </c>
      <c r="B49" s="1">
        <v>101</v>
      </c>
      <c r="C49" s="1">
        <v>74</v>
      </c>
      <c r="D49" s="1" t="s">
        <v>61</v>
      </c>
      <c r="E49" s="1" t="s">
        <v>62</v>
      </c>
      <c r="F49" s="1" t="s">
        <v>63</v>
      </c>
      <c r="G49" s="1" t="s">
        <v>46</v>
      </c>
      <c r="H49" s="1" t="s">
        <v>47</v>
      </c>
      <c r="I49" s="1">
        <v>1175</v>
      </c>
      <c r="J49" s="1">
        <v>30642</v>
      </c>
      <c r="K49" s="1">
        <v>1</v>
      </c>
      <c r="L49" s="1">
        <v>73</v>
      </c>
      <c r="M49" s="1">
        <v>1387</v>
      </c>
      <c r="N49" s="1" t="s">
        <v>48</v>
      </c>
      <c r="O49" s="1">
        <v>198594</v>
      </c>
      <c r="P49" s="1">
        <v>88</v>
      </c>
      <c r="Q49" s="1" t="s">
        <v>49</v>
      </c>
      <c r="R49" s="1" t="s">
        <v>50</v>
      </c>
      <c r="S49" s="1">
        <v>0</v>
      </c>
      <c r="T49" s="1">
        <v>0</v>
      </c>
      <c r="U49" s="1">
        <v>600.88599999999997</v>
      </c>
      <c r="V49" s="1">
        <v>25.077999999999999</v>
      </c>
      <c r="W49" s="1">
        <v>0.54</v>
      </c>
      <c r="X49" s="1">
        <v>0.27</v>
      </c>
      <c r="Y49" s="1">
        <v>25.347999999999999</v>
      </c>
      <c r="Z49" s="1">
        <v>6.4000000000000001E-2</v>
      </c>
      <c r="AA49" s="1">
        <v>3.1</v>
      </c>
      <c r="AB49" s="1">
        <v>3.1</v>
      </c>
      <c r="AC49" s="1">
        <v>3.1</v>
      </c>
      <c r="AD49" s="1">
        <v>0.27</v>
      </c>
      <c r="AE49" s="1">
        <v>6.4000000000000001E-2</v>
      </c>
      <c r="AF49" s="1">
        <v>1.7000000000000001E-2</v>
      </c>
      <c r="AG49" s="1">
        <v>3.1</v>
      </c>
      <c r="AI49" s="1">
        <v>0</v>
      </c>
      <c r="AJ49" s="1">
        <v>0</v>
      </c>
      <c r="AK49" s="1">
        <v>0</v>
      </c>
      <c r="AL49" s="1">
        <v>1</v>
      </c>
      <c r="AM49" s="1">
        <v>86400</v>
      </c>
      <c r="AN49" s="1">
        <v>75840</v>
      </c>
      <c r="AO49" s="1">
        <v>10560</v>
      </c>
      <c r="AP49" s="1">
        <v>49471</v>
      </c>
      <c r="AQ49" s="16">
        <v>2.7249590740331948</v>
      </c>
    </row>
    <row r="50" spans="1:43" x14ac:dyDescent="0.45">
      <c r="A50" s="1">
        <v>49</v>
      </c>
      <c r="B50" s="1">
        <v>101</v>
      </c>
      <c r="C50" s="1">
        <v>74</v>
      </c>
      <c r="D50" s="1" t="s">
        <v>61</v>
      </c>
      <c r="E50" s="1" t="s">
        <v>62</v>
      </c>
      <c r="F50" s="1" t="s">
        <v>63</v>
      </c>
      <c r="G50" s="1" t="s">
        <v>46</v>
      </c>
      <c r="H50" s="1" t="s">
        <v>47</v>
      </c>
      <c r="I50" s="1">
        <v>1175</v>
      </c>
      <c r="J50" s="1">
        <v>30642</v>
      </c>
      <c r="K50" s="1">
        <v>1</v>
      </c>
      <c r="L50" s="1">
        <v>73</v>
      </c>
      <c r="M50" s="1">
        <v>1388</v>
      </c>
      <c r="N50" s="1" t="s">
        <v>48</v>
      </c>
      <c r="O50" s="1">
        <v>198595</v>
      </c>
      <c r="P50" s="1">
        <v>88</v>
      </c>
      <c r="Q50" s="1" t="s">
        <v>49</v>
      </c>
      <c r="R50" s="1" t="s">
        <v>50</v>
      </c>
      <c r="S50" s="1">
        <v>0</v>
      </c>
      <c r="T50" s="1">
        <v>0</v>
      </c>
      <c r="U50" s="1">
        <v>356.9</v>
      </c>
      <c r="V50" s="1">
        <v>25.073</v>
      </c>
      <c r="W50" s="1">
        <v>0.54</v>
      </c>
      <c r="X50" s="1">
        <v>0.27500000000000002</v>
      </c>
      <c r="Y50" s="1">
        <v>25.347999999999999</v>
      </c>
      <c r="Z50" s="1">
        <v>2.9000000000000001E-2</v>
      </c>
      <c r="AA50" s="1">
        <v>-1.1000000000000001</v>
      </c>
      <c r="AB50" s="1">
        <v>-1.1000000000000001</v>
      </c>
      <c r="AC50" s="1">
        <v>-1.1000000000000001</v>
      </c>
      <c r="AD50" s="1">
        <v>0.27500000000000002</v>
      </c>
      <c r="AE50" s="1">
        <v>2.9000000000000001E-2</v>
      </c>
      <c r="AF50" s="1">
        <v>8.0000000000000002E-3</v>
      </c>
      <c r="AG50" s="1">
        <v>-1.1000000000000001</v>
      </c>
      <c r="AI50" s="1">
        <v>0</v>
      </c>
      <c r="AJ50" s="1">
        <v>0</v>
      </c>
      <c r="AK50" s="1">
        <v>0</v>
      </c>
      <c r="AL50" s="1">
        <v>1</v>
      </c>
      <c r="AM50" s="1">
        <v>86400</v>
      </c>
      <c r="AN50" s="1">
        <v>76273</v>
      </c>
      <c r="AO50" s="1">
        <v>10127</v>
      </c>
      <c r="AP50" s="1">
        <v>49909</v>
      </c>
      <c r="AQ50" s="16">
        <v>49.442101089761117</v>
      </c>
    </row>
    <row r="51" spans="1:43" x14ac:dyDescent="0.45">
      <c r="A51" s="1">
        <v>50</v>
      </c>
      <c r="B51" s="1">
        <v>101</v>
      </c>
      <c r="C51" s="1">
        <v>74</v>
      </c>
      <c r="D51" s="1" t="s">
        <v>61</v>
      </c>
      <c r="E51" s="1" t="s">
        <v>62</v>
      </c>
      <c r="F51" s="1" t="s">
        <v>63</v>
      </c>
      <c r="G51" s="1" t="s">
        <v>46</v>
      </c>
      <c r="H51" s="1" t="s">
        <v>47</v>
      </c>
      <c r="I51" s="1">
        <v>1175</v>
      </c>
      <c r="J51" s="1">
        <v>30642</v>
      </c>
      <c r="K51" s="1">
        <v>1</v>
      </c>
      <c r="L51" s="1">
        <v>73</v>
      </c>
      <c r="M51" s="1">
        <v>1389</v>
      </c>
      <c r="N51" s="1" t="s">
        <v>48</v>
      </c>
      <c r="O51" s="1">
        <v>198598</v>
      </c>
      <c r="P51" s="1">
        <v>88</v>
      </c>
      <c r="Q51" s="1" t="s">
        <v>49</v>
      </c>
      <c r="R51" s="1" t="s">
        <v>50</v>
      </c>
      <c r="S51" s="1">
        <v>0</v>
      </c>
      <c r="T51" s="1">
        <v>0</v>
      </c>
      <c r="U51" s="1">
        <v>434.84699999999998</v>
      </c>
      <c r="V51" s="1">
        <v>25.167000000000002</v>
      </c>
      <c r="W51" s="1">
        <v>0.53</v>
      </c>
      <c r="X51" s="1">
        <v>0.18099999999999999</v>
      </c>
      <c r="Y51" s="1">
        <v>25.347999999999999</v>
      </c>
      <c r="Z51" s="1">
        <v>0.08</v>
      </c>
      <c r="AA51" s="1">
        <v>1.6</v>
      </c>
      <c r="AB51" s="1">
        <v>1.6</v>
      </c>
      <c r="AC51" s="1">
        <v>1.6</v>
      </c>
      <c r="AD51" s="1">
        <v>0.18099999999999999</v>
      </c>
      <c r="AE51" s="1">
        <v>7.1999999999999995E-2</v>
      </c>
      <c r="AF51" s="1">
        <v>1.4E-2</v>
      </c>
      <c r="AG51" s="1">
        <v>1.6</v>
      </c>
      <c r="AI51" s="1">
        <v>0</v>
      </c>
      <c r="AJ51" s="1">
        <v>0</v>
      </c>
      <c r="AK51" s="1">
        <v>0</v>
      </c>
      <c r="AL51" s="1">
        <v>1</v>
      </c>
      <c r="AM51" s="1">
        <v>86400</v>
      </c>
      <c r="AN51" s="1">
        <v>68478</v>
      </c>
      <c r="AO51" s="1">
        <v>17922</v>
      </c>
      <c r="AP51" s="1">
        <v>49633</v>
      </c>
      <c r="AQ51" s="16">
        <v>26.300615520015079</v>
      </c>
    </row>
    <row r="52" spans="1:43" x14ac:dyDescent="0.45">
      <c r="A52" s="1">
        <v>51</v>
      </c>
      <c r="B52" s="1">
        <v>101</v>
      </c>
      <c r="C52" s="1">
        <v>74</v>
      </c>
      <c r="D52" s="1" t="s">
        <v>61</v>
      </c>
      <c r="E52" s="1" t="s">
        <v>62</v>
      </c>
      <c r="F52" s="1" t="s">
        <v>63</v>
      </c>
      <c r="G52" s="1" t="s">
        <v>46</v>
      </c>
      <c r="H52" s="1" t="s">
        <v>47</v>
      </c>
      <c r="I52" s="1">
        <v>1175</v>
      </c>
      <c r="J52" s="1">
        <v>30642</v>
      </c>
      <c r="K52" s="1">
        <v>1</v>
      </c>
      <c r="L52" s="1">
        <v>73</v>
      </c>
      <c r="M52" s="1">
        <v>1390</v>
      </c>
      <c r="N52" s="1" t="s">
        <v>48</v>
      </c>
      <c r="O52" s="1">
        <v>198604</v>
      </c>
      <c r="P52" s="1">
        <v>88</v>
      </c>
      <c r="Q52" s="1" t="s">
        <v>49</v>
      </c>
      <c r="R52" s="1" t="s">
        <v>50</v>
      </c>
      <c r="S52" s="1">
        <v>0</v>
      </c>
      <c r="T52" s="1">
        <v>0</v>
      </c>
      <c r="U52" s="1">
        <v>319.57100000000003</v>
      </c>
      <c r="V52" s="1">
        <v>25.094999999999999</v>
      </c>
      <c r="W52" s="1">
        <v>0.54</v>
      </c>
      <c r="X52" s="1">
        <v>0.25900000000000001</v>
      </c>
      <c r="Y52" s="1">
        <v>25.353999999999999</v>
      </c>
      <c r="Z52" s="1">
        <v>8.6999999999999994E-2</v>
      </c>
      <c r="AA52" s="1">
        <v>0.1</v>
      </c>
      <c r="AB52" s="1">
        <v>0</v>
      </c>
      <c r="AC52" s="1">
        <v>0</v>
      </c>
      <c r="AD52" s="1">
        <v>0.25900000000000001</v>
      </c>
      <c r="AE52" s="1">
        <v>8.5000000000000006E-2</v>
      </c>
      <c r="AF52" s="1">
        <v>2.1999999999999999E-2</v>
      </c>
      <c r="AG52" s="1">
        <v>0.1</v>
      </c>
      <c r="AI52" s="1">
        <v>0</v>
      </c>
      <c r="AJ52" s="1">
        <v>0</v>
      </c>
      <c r="AK52" s="1">
        <v>0</v>
      </c>
      <c r="AL52" s="1">
        <v>1</v>
      </c>
      <c r="AM52" s="1">
        <v>86400</v>
      </c>
      <c r="AN52" s="1">
        <v>76632</v>
      </c>
      <c r="AO52" s="1">
        <v>9768</v>
      </c>
      <c r="AP52" s="1">
        <v>49964</v>
      </c>
      <c r="AQ52" s="16">
        <v>25.644147779351979</v>
      </c>
    </row>
    <row r="53" spans="1:43" x14ac:dyDescent="0.45">
      <c r="A53" s="1">
        <v>52</v>
      </c>
      <c r="B53" s="1">
        <v>101</v>
      </c>
      <c r="C53" s="1">
        <v>74</v>
      </c>
      <c r="D53" s="1" t="s">
        <v>61</v>
      </c>
      <c r="E53" s="1" t="s">
        <v>62</v>
      </c>
      <c r="F53" s="1" t="s">
        <v>63</v>
      </c>
      <c r="G53" s="1" t="s">
        <v>46</v>
      </c>
      <c r="H53" s="1" t="s">
        <v>47</v>
      </c>
      <c r="I53" s="1">
        <v>1175</v>
      </c>
      <c r="J53" s="1">
        <v>30642</v>
      </c>
      <c r="K53" s="1">
        <v>1</v>
      </c>
      <c r="L53" s="1">
        <v>73</v>
      </c>
      <c r="M53" s="1">
        <v>1392</v>
      </c>
      <c r="N53" s="1" t="s">
        <v>48</v>
      </c>
      <c r="O53" s="1">
        <v>198607</v>
      </c>
      <c r="P53" s="1">
        <v>88</v>
      </c>
      <c r="Q53" s="1" t="s">
        <v>49</v>
      </c>
      <c r="R53" s="1" t="s">
        <v>50</v>
      </c>
      <c r="S53" s="1">
        <v>0</v>
      </c>
      <c r="T53" s="1">
        <v>0</v>
      </c>
      <c r="U53" s="1">
        <v>71.430000000000007</v>
      </c>
      <c r="V53" s="1">
        <v>25.236000000000001</v>
      </c>
      <c r="W53" s="1">
        <v>0.52</v>
      </c>
      <c r="X53" s="1">
        <v>0.122</v>
      </c>
      <c r="Y53" s="1">
        <v>25.358000000000001</v>
      </c>
      <c r="Z53" s="1">
        <v>0.109</v>
      </c>
      <c r="AA53" s="1">
        <v>-0.8</v>
      </c>
      <c r="AB53" s="1">
        <v>-0.6</v>
      </c>
      <c r="AC53" s="1">
        <v>-0.6</v>
      </c>
      <c r="AD53" s="1">
        <v>0.122</v>
      </c>
      <c r="AE53" s="1">
        <v>8.4000000000000005E-2</v>
      </c>
      <c r="AF53" s="1">
        <v>1.0999999999999999E-2</v>
      </c>
      <c r="AG53" s="1">
        <v>-0.8</v>
      </c>
      <c r="AI53" s="1">
        <v>0</v>
      </c>
      <c r="AJ53" s="1">
        <v>0</v>
      </c>
      <c r="AK53" s="1">
        <v>0</v>
      </c>
      <c r="AL53" s="1">
        <v>1</v>
      </c>
      <c r="AM53" s="1">
        <v>86400</v>
      </c>
      <c r="AN53" s="1">
        <v>79583</v>
      </c>
      <c r="AO53" s="1">
        <v>6817</v>
      </c>
      <c r="AP53" s="1">
        <v>49624</v>
      </c>
      <c r="AQ53" s="16">
        <v>10.66390759449977</v>
      </c>
    </row>
    <row r="54" spans="1:43" x14ac:dyDescent="0.45">
      <c r="A54" s="1">
        <v>53</v>
      </c>
      <c r="B54" s="1">
        <v>142</v>
      </c>
      <c r="C54" s="1">
        <v>78</v>
      </c>
      <c r="D54" s="1" t="s">
        <v>67</v>
      </c>
      <c r="E54" s="1" t="s">
        <v>68</v>
      </c>
      <c r="F54" s="1" t="s">
        <v>69</v>
      </c>
      <c r="G54" s="1" t="s">
        <v>46</v>
      </c>
      <c r="H54" s="1" t="s">
        <v>47</v>
      </c>
      <c r="I54" s="1">
        <v>1163</v>
      </c>
      <c r="J54" s="1">
        <v>33073</v>
      </c>
      <c r="K54" s="1">
        <v>1</v>
      </c>
      <c r="L54" s="1">
        <v>77</v>
      </c>
      <c r="M54" s="1">
        <v>1322</v>
      </c>
      <c r="N54" s="1" t="s">
        <v>48</v>
      </c>
      <c r="O54" s="1">
        <v>194312</v>
      </c>
      <c r="P54" s="1">
        <v>88</v>
      </c>
      <c r="Q54" s="1" t="s">
        <v>49</v>
      </c>
      <c r="R54" s="1" t="s">
        <v>50</v>
      </c>
      <c r="S54" s="1">
        <v>0</v>
      </c>
      <c r="T54" s="1">
        <v>0</v>
      </c>
      <c r="U54" s="1">
        <v>570.83799999999997</v>
      </c>
      <c r="V54" s="1">
        <v>25.484000000000002</v>
      </c>
      <c r="W54" s="1">
        <v>0.55000000000000004</v>
      </c>
      <c r="X54" s="1">
        <v>0.29899999999999999</v>
      </c>
      <c r="Y54" s="1">
        <v>25.783000000000001</v>
      </c>
      <c r="Z54" s="1">
        <v>6.3E-2</v>
      </c>
      <c r="AA54" s="1">
        <v>-1.7</v>
      </c>
      <c r="AB54" s="1">
        <v>-1.7</v>
      </c>
      <c r="AC54" s="1">
        <v>-1.7</v>
      </c>
      <c r="AD54" s="1">
        <v>0.29899999999999999</v>
      </c>
      <c r="AE54" s="1">
        <v>6.3E-2</v>
      </c>
      <c r="AF54" s="1">
        <v>1.9E-2</v>
      </c>
      <c r="AG54" s="1">
        <v>-1.7</v>
      </c>
      <c r="AI54" s="1">
        <v>0</v>
      </c>
      <c r="AJ54" s="1">
        <v>0</v>
      </c>
      <c r="AK54" s="1">
        <v>0</v>
      </c>
      <c r="AL54" s="1">
        <v>1</v>
      </c>
      <c r="AM54" s="1">
        <v>86400</v>
      </c>
      <c r="AN54" s="1">
        <v>74367</v>
      </c>
      <c r="AO54" s="1">
        <v>12033</v>
      </c>
      <c r="AP54" s="1">
        <v>43554</v>
      </c>
      <c r="AQ54" s="16">
        <v>1.131743174433216</v>
      </c>
    </row>
    <row r="55" spans="1:43" x14ac:dyDescent="0.45">
      <c r="A55" s="1">
        <v>54</v>
      </c>
      <c r="B55" s="1">
        <v>142</v>
      </c>
      <c r="C55" s="1">
        <v>78</v>
      </c>
      <c r="D55" s="1" t="s">
        <v>67</v>
      </c>
      <c r="E55" s="1" t="s">
        <v>68</v>
      </c>
      <c r="F55" s="1" t="s">
        <v>69</v>
      </c>
      <c r="G55" s="1" t="s">
        <v>46</v>
      </c>
      <c r="H55" s="1" t="s">
        <v>47</v>
      </c>
      <c r="I55" s="1">
        <v>1163</v>
      </c>
      <c r="J55" s="1">
        <v>33073</v>
      </c>
      <c r="K55" s="1">
        <v>1</v>
      </c>
      <c r="L55" s="1">
        <v>77</v>
      </c>
      <c r="M55" s="1">
        <v>1323</v>
      </c>
      <c r="N55" s="1" t="s">
        <v>48</v>
      </c>
      <c r="O55" s="1">
        <v>194313</v>
      </c>
      <c r="P55" s="1">
        <v>88</v>
      </c>
      <c r="Q55" s="1" t="s">
        <v>49</v>
      </c>
      <c r="R55" s="1" t="s">
        <v>50</v>
      </c>
      <c r="S55" s="1">
        <v>0</v>
      </c>
      <c r="T55" s="1">
        <v>0</v>
      </c>
      <c r="U55" s="1">
        <v>403.28300000000002</v>
      </c>
      <c r="V55" s="1">
        <v>25.466999999999999</v>
      </c>
      <c r="W55" s="1">
        <v>0.55000000000000004</v>
      </c>
      <c r="X55" s="1">
        <v>0.316</v>
      </c>
      <c r="Y55" s="1">
        <v>25.783000000000001</v>
      </c>
      <c r="Z55" s="1">
        <v>6.4000000000000001E-2</v>
      </c>
      <c r="AA55" s="1">
        <v>-1.7</v>
      </c>
      <c r="AB55" s="1">
        <v>-1.7</v>
      </c>
      <c r="AC55" s="1">
        <v>-1.7</v>
      </c>
      <c r="AD55" s="1">
        <v>0.316</v>
      </c>
      <c r="AE55" s="1">
        <v>6.4000000000000001E-2</v>
      </c>
      <c r="AF55" s="1">
        <v>0.02</v>
      </c>
      <c r="AG55" s="1">
        <v>-1.7</v>
      </c>
      <c r="AI55" s="1">
        <v>0</v>
      </c>
      <c r="AJ55" s="1">
        <v>0</v>
      </c>
      <c r="AK55" s="1">
        <v>0</v>
      </c>
      <c r="AL55" s="1">
        <v>1</v>
      </c>
      <c r="AM55" s="1">
        <v>86400</v>
      </c>
      <c r="AN55" s="1">
        <v>76394</v>
      </c>
      <c r="AO55" s="1">
        <v>10006</v>
      </c>
      <c r="AP55" s="1">
        <v>43515</v>
      </c>
      <c r="AQ55" s="16">
        <v>27.22208285825711</v>
      </c>
    </row>
    <row r="56" spans="1:43" x14ac:dyDescent="0.45">
      <c r="A56" s="1">
        <v>55</v>
      </c>
      <c r="B56" s="1">
        <v>142</v>
      </c>
      <c r="C56" s="1">
        <v>78</v>
      </c>
      <c r="D56" s="1" t="s">
        <v>67</v>
      </c>
      <c r="E56" s="1" t="s">
        <v>68</v>
      </c>
      <c r="F56" s="1" t="s">
        <v>69</v>
      </c>
      <c r="G56" s="1" t="s">
        <v>46</v>
      </c>
      <c r="H56" s="1" t="s">
        <v>47</v>
      </c>
      <c r="I56" s="1">
        <v>1163</v>
      </c>
      <c r="J56" s="1">
        <v>33073</v>
      </c>
      <c r="K56" s="1">
        <v>1</v>
      </c>
      <c r="L56" s="1">
        <v>77</v>
      </c>
      <c r="M56" s="1">
        <v>1324</v>
      </c>
      <c r="N56" s="1" t="s">
        <v>48</v>
      </c>
      <c r="O56" s="1">
        <v>194321</v>
      </c>
      <c r="P56" s="1">
        <v>88</v>
      </c>
      <c r="Q56" s="1" t="s">
        <v>49</v>
      </c>
      <c r="R56" s="1" t="s">
        <v>50</v>
      </c>
      <c r="S56" s="1">
        <v>0</v>
      </c>
      <c r="T56" s="1">
        <v>0</v>
      </c>
      <c r="U56" s="1">
        <v>430.35700000000003</v>
      </c>
      <c r="V56" s="1">
        <v>25.529</v>
      </c>
      <c r="W56" s="1">
        <v>0.54</v>
      </c>
      <c r="X56" s="1">
        <v>0.219</v>
      </c>
      <c r="Y56" s="1">
        <v>25.748999999999999</v>
      </c>
      <c r="Z56" s="1">
        <v>9.8000000000000004E-2</v>
      </c>
      <c r="AA56" s="1">
        <v>-0.9</v>
      </c>
      <c r="AB56" s="1">
        <v>-0.9</v>
      </c>
      <c r="AC56" s="1">
        <v>-0.9</v>
      </c>
      <c r="AD56" s="1">
        <v>0.219</v>
      </c>
      <c r="AE56" s="1">
        <v>9.8000000000000004E-2</v>
      </c>
      <c r="AF56" s="1">
        <v>2.1999999999999999E-2</v>
      </c>
      <c r="AG56" s="1">
        <v>-0.9</v>
      </c>
      <c r="AI56" s="1">
        <v>0</v>
      </c>
      <c r="AJ56" s="1">
        <v>0</v>
      </c>
      <c r="AK56" s="1">
        <v>0</v>
      </c>
      <c r="AL56" s="1">
        <v>1</v>
      </c>
      <c r="AM56" s="1">
        <v>86400</v>
      </c>
      <c r="AN56" s="1">
        <v>72791</v>
      </c>
      <c r="AO56" s="1">
        <v>13609</v>
      </c>
      <c r="AP56" s="1">
        <v>47108</v>
      </c>
      <c r="AQ56" s="16">
        <v>0.81082726490215773</v>
      </c>
    </row>
    <row r="57" spans="1:43" x14ac:dyDescent="0.45">
      <c r="A57" s="1">
        <v>56</v>
      </c>
      <c r="B57" s="1">
        <v>142</v>
      </c>
      <c r="C57" s="1">
        <v>78</v>
      </c>
      <c r="D57" s="1" t="s">
        <v>67</v>
      </c>
      <c r="E57" s="1" t="s">
        <v>68</v>
      </c>
      <c r="F57" s="1" t="s">
        <v>69</v>
      </c>
      <c r="G57" s="1" t="s">
        <v>46</v>
      </c>
      <c r="H57" s="1" t="s">
        <v>47</v>
      </c>
      <c r="I57" s="1">
        <v>1163</v>
      </c>
      <c r="J57" s="1">
        <v>33073</v>
      </c>
      <c r="K57" s="1">
        <v>1</v>
      </c>
      <c r="L57" s="1">
        <v>77</v>
      </c>
      <c r="M57" s="1">
        <v>1325</v>
      </c>
      <c r="N57" s="1" t="s">
        <v>48</v>
      </c>
      <c r="O57" s="1">
        <v>194325</v>
      </c>
      <c r="P57" s="1">
        <v>88</v>
      </c>
      <c r="Q57" s="1" t="s">
        <v>49</v>
      </c>
      <c r="R57" s="1" t="s">
        <v>50</v>
      </c>
      <c r="S57" s="1">
        <v>0</v>
      </c>
      <c r="T57" s="1">
        <v>0</v>
      </c>
      <c r="U57" s="1">
        <v>137.80099999999999</v>
      </c>
      <c r="V57" s="1">
        <v>25.645</v>
      </c>
      <c r="W57" s="1">
        <v>0.52</v>
      </c>
      <c r="X57" s="1">
        <v>0.10299999999999999</v>
      </c>
      <c r="Y57" s="1">
        <v>25.748000000000001</v>
      </c>
      <c r="Z57" s="1">
        <v>0.193</v>
      </c>
      <c r="AA57" s="1">
        <v>-0.5</v>
      </c>
      <c r="AB57" s="1">
        <v>-0.5</v>
      </c>
      <c r="AC57" s="1">
        <v>-0.5</v>
      </c>
      <c r="AD57" s="1">
        <v>0.10299999999999999</v>
      </c>
      <c r="AE57" s="1">
        <v>0.191</v>
      </c>
      <c r="AF57" s="1">
        <v>0.02</v>
      </c>
      <c r="AG57" s="1">
        <v>-0.5</v>
      </c>
      <c r="AI57" s="1">
        <v>0</v>
      </c>
      <c r="AJ57" s="1">
        <v>0</v>
      </c>
      <c r="AK57" s="1">
        <v>0</v>
      </c>
      <c r="AL57" s="1">
        <v>1</v>
      </c>
      <c r="AM57" s="1">
        <v>54417</v>
      </c>
      <c r="AN57" s="1">
        <v>14319</v>
      </c>
      <c r="AO57" s="1">
        <v>40098</v>
      </c>
      <c r="AP57" s="1">
        <v>46942</v>
      </c>
      <c r="AQ57" s="16">
        <v>0.71025518424474854</v>
      </c>
    </row>
    <row r="58" spans="1:43" x14ac:dyDescent="0.45">
      <c r="A58" s="1">
        <v>57</v>
      </c>
      <c r="B58" s="1">
        <v>142</v>
      </c>
      <c r="C58" s="1">
        <v>78</v>
      </c>
      <c r="D58" s="1" t="s">
        <v>67</v>
      </c>
      <c r="E58" s="1" t="s">
        <v>68</v>
      </c>
      <c r="F58" s="1" t="s">
        <v>69</v>
      </c>
      <c r="G58" s="1" t="s">
        <v>46</v>
      </c>
      <c r="H58" s="1" t="s">
        <v>47</v>
      </c>
      <c r="I58" s="1">
        <v>1163</v>
      </c>
      <c r="J58" s="1">
        <v>33073</v>
      </c>
      <c r="K58" s="1">
        <v>1</v>
      </c>
      <c r="L58" s="1">
        <v>77</v>
      </c>
      <c r="M58" s="1">
        <v>1326</v>
      </c>
      <c r="N58" s="1" t="s">
        <v>48</v>
      </c>
      <c r="O58" s="1">
        <v>194541</v>
      </c>
      <c r="P58" s="1">
        <v>88</v>
      </c>
      <c r="Q58" s="1" t="s">
        <v>49</v>
      </c>
      <c r="R58" s="1" t="s">
        <v>50</v>
      </c>
      <c r="S58" s="1">
        <v>0</v>
      </c>
      <c r="T58" s="1">
        <v>0</v>
      </c>
      <c r="U58" s="1">
        <v>444.91399999999999</v>
      </c>
      <c r="V58" s="1">
        <v>25.006</v>
      </c>
      <c r="W58" s="1">
        <v>0.53</v>
      </c>
      <c r="X58" s="1">
        <v>0.157</v>
      </c>
      <c r="Y58" s="1">
        <v>25.161999999999999</v>
      </c>
      <c r="Z58" s="1">
        <v>9.4E-2</v>
      </c>
      <c r="AA58" s="1">
        <v>0.2</v>
      </c>
      <c r="AB58" s="1">
        <v>0.2</v>
      </c>
      <c r="AC58" s="1">
        <v>0.2</v>
      </c>
      <c r="AD58" s="1">
        <v>0.157</v>
      </c>
      <c r="AE58" s="1">
        <v>9.1999999999999998E-2</v>
      </c>
      <c r="AF58" s="1">
        <v>1.4E-2</v>
      </c>
      <c r="AG58" s="1">
        <v>0.2</v>
      </c>
      <c r="AI58" s="1">
        <v>0</v>
      </c>
      <c r="AJ58" s="1">
        <v>0</v>
      </c>
      <c r="AK58" s="1">
        <v>0</v>
      </c>
      <c r="AL58" s="1">
        <v>1</v>
      </c>
      <c r="AM58" s="1">
        <v>86400</v>
      </c>
      <c r="AN58" s="1">
        <v>71111</v>
      </c>
      <c r="AO58" s="1">
        <v>15289</v>
      </c>
      <c r="AP58" s="1">
        <v>47290</v>
      </c>
      <c r="AQ58" s="16">
        <v>26.147441836754549</v>
      </c>
    </row>
    <row r="59" spans="1:43" x14ac:dyDescent="0.45">
      <c r="A59" s="1">
        <v>58</v>
      </c>
      <c r="B59" s="1">
        <v>142</v>
      </c>
      <c r="C59" s="1">
        <v>78</v>
      </c>
      <c r="D59" s="1" t="s">
        <v>67</v>
      </c>
      <c r="E59" s="1" t="s">
        <v>68</v>
      </c>
      <c r="F59" s="1" t="s">
        <v>69</v>
      </c>
      <c r="G59" s="1" t="s">
        <v>46</v>
      </c>
      <c r="H59" s="1" t="s">
        <v>47</v>
      </c>
      <c r="I59" s="1">
        <v>1163</v>
      </c>
      <c r="J59" s="1">
        <v>33073</v>
      </c>
      <c r="K59" s="1">
        <v>1</v>
      </c>
      <c r="L59" s="1">
        <v>77</v>
      </c>
      <c r="M59" s="1">
        <v>1327</v>
      </c>
      <c r="N59" s="1" t="s">
        <v>48</v>
      </c>
      <c r="O59" s="1">
        <v>194543</v>
      </c>
      <c r="P59" s="1">
        <v>88</v>
      </c>
      <c r="Q59" s="1" t="s">
        <v>49</v>
      </c>
      <c r="R59" s="1" t="s">
        <v>50</v>
      </c>
      <c r="S59" s="1">
        <v>0</v>
      </c>
      <c r="T59" s="1">
        <v>0</v>
      </c>
      <c r="U59" s="1">
        <v>99.31</v>
      </c>
      <c r="V59" s="1">
        <v>24.934000000000001</v>
      </c>
      <c r="W59" s="1">
        <v>0.54</v>
      </c>
      <c r="X59" s="1">
        <v>0.22900000000000001</v>
      </c>
      <c r="Y59" s="1">
        <v>25.164000000000001</v>
      </c>
      <c r="Z59" s="1">
        <v>7.4999999999999997E-2</v>
      </c>
      <c r="AA59" s="1">
        <v>0.5</v>
      </c>
      <c r="AB59" s="1">
        <v>0.5</v>
      </c>
      <c r="AC59" s="1">
        <v>0.5</v>
      </c>
      <c r="AD59" s="1">
        <v>0.22900000000000001</v>
      </c>
      <c r="AE59" s="1">
        <v>7.4999999999999997E-2</v>
      </c>
      <c r="AF59" s="1">
        <v>1.7000000000000001E-2</v>
      </c>
      <c r="AG59" s="1">
        <v>0.5</v>
      </c>
      <c r="AI59" s="1">
        <v>0</v>
      </c>
      <c r="AJ59" s="1">
        <v>0</v>
      </c>
      <c r="AK59" s="1">
        <v>0</v>
      </c>
      <c r="AL59" s="1">
        <v>1</v>
      </c>
      <c r="AM59" s="1">
        <v>86400</v>
      </c>
      <c r="AN59" s="1">
        <v>75473</v>
      </c>
      <c r="AO59" s="1">
        <v>10927</v>
      </c>
      <c r="AP59" s="1">
        <v>47138</v>
      </c>
      <c r="AQ59" s="16">
        <v>9.402992152571759</v>
      </c>
    </row>
    <row r="60" spans="1:43" x14ac:dyDescent="0.45">
      <c r="A60" s="1">
        <v>59</v>
      </c>
      <c r="B60" s="1">
        <v>142</v>
      </c>
      <c r="C60" s="1">
        <v>78</v>
      </c>
      <c r="D60" s="1" t="s">
        <v>67</v>
      </c>
      <c r="E60" s="1" t="s">
        <v>68</v>
      </c>
      <c r="F60" s="1" t="s">
        <v>69</v>
      </c>
      <c r="G60" s="1" t="s">
        <v>46</v>
      </c>
      <c r="H60" s="1" t="s">
        <v>47</v>
      </c>
      <c r="I60" s="1">
        <v>1163</v>
      </c>
      <c r="J60" s="1">
        <v>33073</v>
      </c>
      <c r="K60" s="1">
        <v>1</v>
      </c>
      <c r="L60" s="1">
        <v>77</v>
      </c>
      <c r="M60" s="1">
        <v>1328</v>
      </c>
      <c r="N60" s="1" t="s">
        <v>48</v>
      </c>
      <c r="O60" s="1">
        <v>194544</v>
      </c>
      <c r="P60" s="1">
        <v>88</v>
      </c>
      <c r="Q60" s="1" t="s">
        <v>49</v>
      </c>
      <c r="R60" s="1" t="s">
        <v>50</v>
      </c>
      <c r="S60" s="1">
        <v>0</v>
      </c>
      <c r="T60" s="1">
        <v>0</v>
      </c>
      <c r="U60" s="1">
        <v>98.995000000000005</v>
      </c>
      <c r="V60" s="1">
        <v>24.971</v>
      </c>
      <c r="W60" s="1">
        <v>0.53</v>
      </c>
      <c r="X60" s="1">
        <v>0.193</v>
      </c>
      <c r="Y60" s="1">
        <v>25.163</v>
      </c>
      <c r="Z60" s="1">
        <v>7.0000000000000007E-2</v>
      </c>
      <c r="AA60" s="1">
        <v>0.3</v>
      </c>
      <c r="AB60" s="1">
        <v>0.2</v>
      </c>
      <c r="AC60" s="1">
        <v>0.2</v>
      </c>
      <c r="AD60" s="1">
        <v>0.193</v>
      </c>
      <c r="AE60" s="1">
        <v>7.0000000000000007E-2</v>
      </c>
      <c r="AF60" s="1">
        <v>1.4E-2</v>
      </c>
      <c r="AG60" s="1">
        <v>0.3</v>
      </c>
      <c r="AI60" s="1">
        <v>0</v>
      </c>
      <c r="AJ60" s="1">
        <v>0</v>
      </c>
      <c r="AK60" s="1">
        <v>0</v>
      </c>
      <c r="AL60" s="1">
        <v>1</v>
      </c>
      <c r="AM60" s="1">
        <v>86400</v>
      </c>
      <c r="AN60" s="1">
        <v>73804</v>
      </c>
      <c r="AO60" s="1">
        <v>12596</v>
      </c>
      <c r="AP60" s="1">
        <v>47280</v>
      </c>
      <c r="AQ60" s="16">
        <v>17.426884546178929</v>
      </c>
    </row>
    <row r="61" spans="1:43" x14ac:dyDescent="0.45">
      <c r="A61" s="1">
        <v>60</v>
      </c>
      <c r="B61" s="1">
        <v>142</v>
      </c>
      <c r="C61" s="1">
        <v>78</v>
      </c>
      <c r="D61" s="1" t="s">
        <v>67</v>
      </c>
      <c r="E61" s="1" t="s">
        <v>68</v>
      </c>
      <c r="F61" s="1" t="s">
        <v>69</v>
      </c>
      <c r="G61" s="1" t="s">
        <v>46</v>
      </c>
      <c r="H61" s="1" t="s">
        <v>47</v>
      </c>
      <c r="I61" s="1">
        <v>1163</v>
      </c>
      <c r="J61" s="1">
        <v>33073</v>
      </c>
      <c r="K61" s="1">
        <v>1</v>
      </c>
      <c r="L61" s="1">
        <v>77</v>
      </c>
      <c r="M61" s="1">
        <v>1329</v>
      </c>
      <c r="N61" s="1" t="s">
        <v>48</v>
      </c>
      <c r="O61" s="1">
        <v>194545</v>
      </c>
      <c r="P61" s="1">
        <v>88</v>
      </c>
      <c r="Q61" s="1" t="s">
        <v>49</v>
      </c>
      <c r="R61" s="1" t="s">
        <v>50</v>
      </c>
      <c r="S61" s="1">
        <v>0</v>
      </c>
      <c r="T61" s="1">
        <v>0</v>
      </c>
      <c r="U61" s="1">
        <v>108.714</v>
      </c>
      <c r="V61" s="1">
        <v>24.908000000000001</v>
      </c>
      <c r="W61" s="1">
        <v>0.54</v>
      </c>
      <c r="X61" s="1">
        <v>0.255</v>
      </c>
      <c r="Y61" s="1">
        <v>25.164000000000001</v>
      </c>
      <c r="Z61" s="1">
        <v>4.3999999999999997E-2</v>
      </c>
      <c r="AA61" s="1">
        <v>1</v>
      </c>
      <c r="AB61" s="1">
        <v>1</v>
      </c>
      <c r="AC61" s="1">
        <v>1</v>
      </c>
      <c r="AD61" s="1">
        <v>0.255</v>
      </c>
      <c r="AE61" s="1">
        <v>4.3999999999999997E-2</v>
      </c>
      <c r="AF61" s="1">
        <v>1.0999999999999999E-2</v>
      </c>
      <c r="AG61" s="1">
        <v>1</v>
      </c>
      <c r="AI61" s="1">
        <v>0</v>
      </c>
      <c r="AJ61" s="1">
        <v>0</v>
      </c>
      <c r="AK61" s="1">
        <v>0</v>
      </c>
      <c r="AL61" s="1">
        <v>1</v>
      </c>
      <c r="AM61" s="1">
        <v>86400</v>
      </c>
      <c r="AN61" s="1">
        <v>76602</v>
      </c>
      <c r="AO61" s="1">
        <v>9798</v>
      </c>
      <c r="AP61" s="1">
        <v>47233</v>
      </c>
      <c r="AQ61" s="16">
        <v>1.659668804184055</v>
      </c>
    </row>
    <row r="62" spans="1:43" x14ac:dyDescent="0.45">
      <c r="A62" s="1">
        <v>61</v>
      </c>
      <c r="B62" s="1">
        <v>142</v>
      </c>
      <c r="C62" s="1">
        <v>78</v>
      </c>
      <c r="D62" s="1" t="s">
        <v>67</v>
      </c>
      <c r="E62" s="1" t="s">
        <v>68</v>
      </c>
      <c r="F62" s="1" t="s">
        <v>69</v>
      </c>
      <c r="G62" s="1" t="s">
        <v>46</v>
      </c>
      <c r="H62" s="1" t="s">
        <v>47</v>
      </c>
      <c r="I62" s="1">
        <v>1163</v>
      </c>
      <c r="J62" s="1">
        <v>33073</v>
      </c>
      <c r="K62" s="1">
        <v>1</v>
      </c>
      <c r="L62" s="1">
        <v>77</v>
      </c>
      <c r="M62" s="1">
        <v>1330</v>
      </c>
      <c r="N62" s="1" t="s">
        <v>48</v>
      </c>
      <c r="O62" s="1">
        <v>194546</v>
      </c>
      <c r="P62" s="1">
        <v>88</v>
      </c>
      <c r="Q62" s="1" t="s">
        <v>49</v>
      </c>
      <c r="R62" s="1" t="s">
        <v>50</v>
      </c>
      <c r="S62" s="1">
        <v>0</v>
      </c>
      <c r="T62" s="1">
        <v>0</v>
      </c>
      <c r="U62" s="1">
        <v>327.06</v>
      </c>
      <c r="V62" s="1">
        <v>24.867999999999999</v>
      </c>
      <c r="W62" s="1">
        <v>0.55000000000000004</v>
      </c>
      <c r="X62" s="1">
        <v>0.29599999999999999</v>
      </c>
      <c r="Y62" s="1">
        <v>25.164000000000001</v>
      </c>
      <c r="Z62" s="1">
        <v>7.4999999999999997E-2</v>
      </c>
      <c r="AA62" s="1">
        <v>0.2</v>
      </c>
      <c r="AB62" s="1">
        <v>0.2</v>
      </c>
      <c r="AC62" s="1">
        <v>0.2</v>
      </c>
      <c r="AD62" s="1">
        <v>0.29599999999999999</v>
      </c>
      <c r="AE62" s="1">
        <v>7.4999999999999997E-2</v>
      </c>
      <c r="AF62" s="1">
        <v>2.1999999999999999E-2</v>
      </c>
      <c r="AG62" s="1">
        <v>0.2</v>
      </c>
      <c r="AI62" s="1">
        <v>0</v>
      </c>
      <c r="AJ62" s="1">
        <v>0</v>
      </c>
      <c r="AK62" s="1">
        <v>0</v>
      </c>
      <c r="AL62" s="1">
        <v>1</v>
      </c>
      <c r="AM62" s="1">
        <v>86400</v>
      </c>
      <c r="AN62" s="1">
        <v>78598</v>
      </c>
      <c r="AO62" s="1">
        <v>7802</v>
      </c>
      <c r="AP62" s="1">
        <v>46930</v>
      </c>
      <c r="AQ62" s="16">
        <v>0.62107041281627839</v>
      </c>
    </row>
    <row r="63" spans="1:43" x14ac:dyDescent="0.45">
      <c r="A63" s="1">
        <v>62</v>
      </c>
      <c r="B63" s="1">
        <v>142</v>
      </c>
      <c r="C63" s="1">
        <v>78</v>
      </c>
      <c r="D63" s="1" t="s">
        <v>67</v>
      </c>
      <c r="E63" s="1" t="s">
        <v>68</v>
      </c>
      <c r="F63" s="1" t="s">
        <v>69</v>
      </c>
      <c r="G63" s="1" t="s">
        <v>46</v>
      </c>
      <c r="H63" s="1" t="s">
        <v>47</v>
      </c>
      <c r="I63" s="1">
        <v>1163</v>
      </c>
      <c r="J63" s="1">
        <v>33073</v>
      </c>
      <c r="K63" s="1">
        <v>1</v>
      </c>
      <c r="L63" s="1">
        <v>77</v>
      </c>
      <c r="M63" s="1">
        <v>1331</v>
      </c>
      <c r="N63" s="1" t="s">
        <v>48</v>
      </c>
      <c r="O63" s="1">
        <v>194548</v>
      </c>
      <c r="P63" s="1">
        <v>88</v>
      </c>
      <c r="Q63" s="1" t="s">
        <v>49</v>
      </c>
      <c r="R63" s="1" t="s">
        <v>50</v>
      </c>
      <c r="S63" s="1">
        <v>0</v>
      </c>
      <c r="T63" s="1">
        <v>0</v>
      </c>
      <c r="U63" s="1">
        <v>95.963999999999999</v>
      </c>
      <c r="V63" s="1">
        <v>25.006</v>
      </c>
      <c r="W63" s="1">
        <v>0.53</v>
      </c>
      <c r="X63" s="1">
        <v>0.158</v>
      </c>
      <c r="Y63" s="1">
        <v>25.164000000000001</v>
      </c>
      <c r="Z63" s="1">
        <v>6.8000000000000005E-2</v>
      </c>
      <c r="AA63" s="1">
        <v>1.8</v>
      </c>
      <c r="AB63" s="1">
        <v>1.8</v>
      </c>
      <c r="AC63" s="1">
        <v>1.8</v>
      </c>
      <c r="AD63" s="1">
        <v>0.158</v>
      </c>
      <c r="AE63" s="1">
        <v>6.8000000000000005E-2</v>
      </c>
      <c r="AF63" s="1">
        <v>1.0999999999999999E-2</v>
      </c>
      <c r="AG63" s="1">
        <v>1.8</v>
      </c>
      <c r="AI63" s="1">
        <v>0</v>
      </c>
      <c r="AJ63" s="1">
        <v>0</v>
      </c>
      <c r="AK63" s="1">
        <v>0</v>
      </c>
      <c r="AL63" s="1">
        <v>1</v>
      </c>
      <c r="AM63" s="1">
        <v>86400</v>
      </c>
      <c r="AN63" s="1">
        <v>71077</v>
      </c>
      <c r="AO63" s="1">
        <v>15323</v>
      </c>
      <c r="AP63" s="1">
        <v>47044</v>
      </c>
      <c r="AQ63" s="16">
        <v>21.030445631260442</v>
      </c>
    </row>
    <row r="64" spans="1:43" x14ac:dyDescent="0.45">
      <c r="A64" s="1">
        <v>63</v>
      </c>
      <c r="B64" s="1">
        <v>142</v>
      </c>
      <c r="C64" s="1">
        <v>78</v>
      </c>
      <c r="D64" s="1" t="s">
        <v>67</v>
      </c>
      <c r="E64" s="1" t="s">
        <v>68</v>
      </c>
      <c r="F64" s="1" t="s">
        <v>69</v>
      </c>
      <c r="G64" s="1" t="s">
        <v>46</v>
      </c>
      <c r="H64" s="1" t="s">
        <v>47</v>
      </c>
      <c r="I64" s="1">
        <v>1163</v>
      </c>
      <c r="J64" s="1">
        <v>33073</v>
      </c>
      <c r="K64" s="1">
        <v>1</v>
      </c>
      <c r="L64" s="1">
        <v>77</v>
      </c>
      <c r="M64" s="1">
        <v>1332</v>
      </c>
      <c r="N64" s="1" t="s">
        <v>48</v>
      </c>
      <c r="O64" s="1">
        <v>194549</v>
      </c>
      <c r="P64" s="1">
        <v>88</v>
      </c>
      <c r="Q64" s="1" t="s">
        <v>49</v>
      </c>
      <c r="R64" s="1" t="s">
        <v>50</v>
      </c>
      <c r="S64" s="1">
        <v>0</v>
      </c>
      <c r="T64" s="1">
        <v>0</v>
      </c>
      <c r="U64" s="1">
        <v>199.88499999999999</v>
      </c>
      <c r="V64" s="1">
        <v>24.984000000000002</v>
      </c>
      <c r="W64" s="1">
        <v>0.53</v>
      </c>
      <c r="X64" s="1">
        <v>0.17899999999999999</v>
      </c>
      <c r="Y64" s="1">
        <v>25.163</v>
      </c>
      <c r="Z64" s="1">
        <v>9.2999999999999999E-2</v>
      </c>
      <c r="AA64" s="1">
        <v>1.9</v>
      </c>
      <c r="AB64" s="1">
        <v>1.9</v>
      </c>
      <c r="AC64" s="1">
        <v>1.9</v>
      </c>
      <c r="AD64" s="1">
        <v>0.17899999999999999</v>
      </c>
      <c r="AE64" s="1">
        <v>9.2999999999999999E-2</v>
      </c>
      <c r="AF64" s="1">
        <v>1.7000000000000001E-2</v>
      </c>
      <c r="AG64" s="1">
        <v>1.9</v>
      </c>
      <c r="AI64" s="1">
        <v>0</v>
      </c>
      <c r="AJ64" s="1">
        <v>0</v>
      </c>
      <c r="AK64" s="1">
        <v>0</v>
      </c>
      <c r="AL64" s="1">
        <v>1</v>
      </c>
      <c r="AM64" s="1">
        <v>86400</v>
      </c>
      <c r="AN64" s="1">
        <v>72898</v>
      </c>
      <c r="AO64" s="1">
        <v>13502</v>
      </c>
      <c r="AP64" s="1">
        <v>49928</v>
      </c>
      <c r="AQ64" s="16">
        <v>1.6542382139206111</v>
      </c>
    </row>
    <row r="65" spans="1:43" x14ac:dyDescent="0.45">
      <c r="A65" s="1">
        <v>64</v>
      </c>
      <c r="B65" s="1">
        <v>142</v>
      </c>
      <c r="C65" s="1">
        <v>78</v>
      </c>
      <c r="D65" s="1" t="s">
        <v>67</v>
      </c>
      <c r="E65" s="1" t="s">
        <v>68</v>
      </c>
      <c r="F65" s="1" t="s">
        <v>69</v>
      </c>
      <c r="G65" s="1" t="s">
        <v>46</v>
      </c>
      <c r="H65" s="1" t="s">
        <v>47</v>
      </c>
      <c r="I65" s="1">
        <v>1163</v>
      </c>
      <c r="J65" s="1">
        <v>33073</v>
      </c>
      <c r="K65" s="1">
        <v>1</v>
      </c>
      <c r="L65" s="1">
        <v>77</v>
      </c>
      <c r="M65" s="1">
        <v>1334</v>
      </c>
      <c r="N65" s="1" t="s">
        <v>48</v>
      </c>
      <c r="O65" s="1">
        <v>194554</v>
      </c>
      <c r="P65" s="1">
        <v>88</v>
      </c>
      <c r="Q65" s="1" t="s">
        <v>49</v>
      </c>
      <c r="R65" s="1" t="s">
        <v>50</v>
      </c>
      <c r="S65" s="1">
        <v>0</v>
      </c>
      <c r="T65" s="1">
        <v>0</v>
      </c>
      <c r="U65" s="1">
        <v>58.304000000000002</v>
      </c>
      <c r="V65" s="1">
        <v>25.05</v>
      </c>
      <c r="W65" s="1">
        <v>0.52</v>
      </c>
      <c r="X65" s="1">
        <v>0.113</v>
      </c>
      <c r="Y65" s="1">
        <v>25.163</v>
      </c>
      <c r="Z65" s="1">
        <v>7.0000000000000007E-2</v>
      </c>
      <c r="AA65" s="1">
        <v>0.7</v>
      </c>
      <c r="AB65" s="1">
        <v>0.6</v>
      </c>
      <c r="AC65" s="1">
        <v>0.6</v>
      </c>
      <c r="AD65" s="1">
        <v>0.113</v>
      </c>
      <c r="AE65" s="1">
        <v>6.9000000000000006E-2</v>
      </c>
      <c r="AF65" s="1">
        <v>8.0000000000000002E-3</v>
      </c>
      <c r="AG65" s="1">
        <v>0.7</v>
      </c>
      <c r="AI65" s="1">
        <v>0</v>
      </c>
      <c r="AJ65" s="1">
        <v>0</v>
      </c>
      <c r="AK65" s="1">
        <v>0</v>
      </c>
      <c r="AL65" s="1">
        <v>1</v>
      </c>
      <c r="AM65" s="1">
        <v>86400</v>
      </c>
      <c r="AN65" s="1">
        <v>66250</v>
      </c>
      <c r="AO65" s="1">
        <v>20149</v>
      </c>
      <c r="AP65" s="1">
        <v>46862</v>
      </c>
      <c r="AQ65" s="16">
        <v>17.99697230014019</v>
      </c>
    </row>
    <row r="66" spans="1:43" x14ac:dyDescent="0.45">
      <c r="A66" s="1">
        <v>65</v>
      </c>
      <c r="B66" s="1">
        <v>181</v>
      </c>
      <c r="C66" s="1">
        <v>75</v>
      </c>
      <c r="D66" s="1" t="s">
        <v>64</v>
      </c>
      <c r="E66" s="1" t="s">
        <v>65</v>
      </c>
      <c r="F66" s="1" t="s">
        <v>66</v>
      </c>
      <c r="G66" s="1" t="s">
        <v>46</v>
      </c>
      <c r="H66" s="1" t="s">
        <v>47</v>
      </c>
      <c r="I66" s="1">
        <v>1170</v>
      </c>
      <c r="J66" s="1">
        <v>33499</v>
      </c>
      <c r="K66" s="1">
        <v>1</v>
      </c>
      <c r="L66" s="1">
        <v>74</v>
      </c>
      <c r="M66" s="1">
        <v>1234</v>
      </c>
      <c r="N66" s="1" t="s">
        <v>48</v>
      </c>
      <c r="O66" s="1">
        <v>193959</v>
      </c>
      <c r="P66" s="1">
        <v>88</v>
      </c>
      <c r="Q66" s="1" t="s">
        <v>49</v>
      </c>
      <c r="R66" s="1" t="s">
        <v>50</v>
      </c>
      <c r="S66" s="1">
        <v>0</v>
      </c>
      <c r="T66" s="1">
        <v>0</v>
      </c>
      <c r="U66" s="1">
        <v>510.173</v>
      </c>
      <c r="V66" s="1">
        <v>24.927</v>
      </c>
      <c r="W66" s="1">
        <v>0.53</v>
      </c>
      <c r="X66" s="1">
        <v>0.17899999999999999</v>
      </c>
      <c r="Y66" s="1">
        <v>25.106000000000002</v>
      </c>
      <c r="Z66" s="1">
        <v>0.17299999999999999</v>
      </c>
      <c r="AA66" s="1">
        <v>-2.6</v>
      </c>
      <c r="AB66" s="1">
        <v>-2.6</v>
      </c>
      <c r="AC66" s="1">
        <v>-2.6</v>
      </c>
      <c r="AD66" s="1">
        <v>0.17899999999999999</v>
      </c>
      <c r="AE66" s="1">
        <v>0.17299999999999999</v>
      </c>
      <c r="AF66" s="1">
        <v>3.1E-2</v>
      </c>
      <c r="AG66" s="1">
        <v>-2.6</v>
      </c>
      <c r="AI66" s="1">
        <v>0</v>
      </c>
      <c r="AJ66" s="1">
        <v>0</v>
      </c>
      <c r="AK66" s="1">
        <v>0</v>
      </c>
      <c r="AL66" s="1">
        <v>1</v>
      </c>
      <c r="AM66" s="1">
        <v>86400</v>
      </c>
      <c r="AN66" s="1">
        <v>76189</v>
      </c>
      <c r="AO66" s="1">
        <v>10211</v>
      </c>
      <c r="AP66" s="1">
        <v>47768</v>
      </c>
      <c r="AQ66" s="16">
        <v>39.084261990656927</v>
      </c>
    </row>
    <row r="67" spans="1:43" x14ac:dyDescent="0.45">
      <c r="A67" s="1">
        <v>66</v>
      </c>
      <c r="B67" s="1">
        <v>181</v>
      </c>
      <c r="C67" s="1">
        <v>75</v>
      </c>
      <c r="D67" s="1" t="s">
        <v>64</v>
      </c>
      <c r="E67" s="1" t="s">
        <v>65</v>
      </c>
      <c r="F67" s="1" t="s">
        <v>66</v>
      </c>
      <c r="G67" s="1" t="s">
        <v>46</v>
      </c>
      <c r="H67" s="1" t="s">
        <v>47</v>
      </c>
      <c r="I67" s="1">
        <v>1170</v>
      </c>
      <c r="J67" s="1">
        <v>33499</v>
      </c>
      <c r="K67" s="1">
        <v>1</v>
      </c>
      <c r="L67" s="1">
        <v>74</v>
      </c>
      <c r="M67" s="1">
        <v>1235</v>
      </c>
      <c r="N67" s="1" t="s">
        <v>48</v>
      </c>
      <c r="O67" s="1">
        <v>193961</v>
      </c>
      <c r="P67" s="1">
        <v>88</v>
      </c>
      <c r="Q67" s="1" t="s">
        <v>49</v>
      </c>
      <c r="R67" s="1" t="s">
        <v>50</v>
      </c>
      <c r="S67" s="1">
        <v>0</v>
      </c>
      <c r="T67" s="1">
        <v>0</v>
      </c>
      <c r="U67" s="1">
        <v>510.173</v>
      </c>
      <c r="V67" s="1">
        <v>24.913</v>
      </c>
      <c r="W67" s="1">
        <v>0.53</v>
      </c>
      <c r="X67" s="1">
        <v>0.193</v>
      </c>
      <c r="Y67" s="1">
        <v>25.106000000000002</v>
      </c>
      <c r="Z67" s="1">
        <v>0.17699999999999999</v>
      </c>
      <c r="AA67" s="1">
        <v>2.2000000000000002</v>
      </c>
      <c r="AB67" s="1">
        <v>2.2000000000000002</v>
      </c>
      <c r="AC67" s="1">
        <v>2.2000000000000002</v>
      </c>
      <c r="AD67" s="1">
        <v>0.193</v>
      </c>
      <c r="AE67" s="1">
        <v>0.17699999999999999</v>
      </c>
      <c r="AF67" s="1">
        <v>3.4000000000000002E-2</v>
      </c>
      <c r="AG67" s="1">
        <v>2.2000000000000002</v>
      </c>
      <c r="AI67" s="1">
        <v>0</v>
      </c>
      <c r="AJ67" s="1">
        <v>0</v>
      </c>
      <c r="AK67" s="1">
        <v>0</v>
      </c>
      <c r="AL67" s="1">
        <v>1</v>
      </c>
      <c r="AM67" s="1">
        <v>86400</v>
      </c>
      <c r="AN67" s="1">
        <v>77384</v>
      </c>
      <c r="AO67" s="1">
        <v>9016</v>
      </c>
      <c r="AP67" s="1">
        <v>47392</v>
      </c>
      <c r="AQ67" s="16">
        <v>47.839602141328243</v>
      </c>
    </row>
    <row r="68" spans="1:43" x14ac:dyDescent="0.45">
      <c r="A68" s="1">
        <v>67</v>
      </c>
      <c r="B68" s="1">
        <v>181</v>
      </c>
      <c r="C68" s="1">
        <v>75</v>
      </c>
      <c r="D68" s="1" t="s">
        <v>64</v>
      </c>
      <c r="E68" s="1" t="s">
        <v>65</v>
      </c>
      <c r="F68" s="1" t="s">
        <v>66</v>
      </c>
      <c r="G68" s="1" t="s">
        <v>46</v>
      </c>
      <c r="H68" s="1" t="s">
        <v>47</v>
      </c>
      <c r="I68" s="1">
        <v>1170</v>
      </c>
      <c r="J68" s="1">
        <v>33499</v>
      </c>
      <c r="K68" s="1">
        <v>1</v>
      </c>
      <c r="L68" s="1">
        <v>74</v>
      </c>
      <c r="M68" s="1">
        <v>1236</v>
      </c>
      <c r="N68" s="1" t="s">
        <v>48</v>
      </c>
      <c r="O68" s="1">
        <v>194014</v>
      </c>
      <c r="P68" s="1">
        <v>88</v>
      </c>
      <c r="Q68" s="1" t="s">
        <v>49</v>
      </c>
      <c r="R68" s="1" t="s">
        <v>50</v>
      </c>
      <c r="S68" s="1">
        <v>0</v>
      </c>
      <c r="T68" s="1">
        <v>0</v>
      </c>
      <c r="U68" s="1">
        <v>551.16899999999998</v>
      </c>
      <c r="V68" s="1">
        <v>24.986999999999998</v>
      </c>
      <c r="W68" s="1">
        <v>0.53</v>
      </c>
      <c r="X68" s="1">
        <v>0.20300000000000001</v>
      </c>
      <c r="Y68" s="1">
        <v>25.19</v>
      </c>
      <c r="Z68" s="1">
        <v>8.8999999999999996E-2</v>
      </c>
      <c r="AA68" s="1">
        <v>2.2000000000000002</v>
      </c>
      <c r="AB68" s="1">
        <v>2.2000000000000002</v>
      </c>
      <c r="AC68" s="1">
        <v>2.2000000000000002</v>
      </c>
      <c r="AD68" s="1">
        <v>0.20300000000000001</v>
      </c>
      <c r="AE68" s="1">
        <v>8.8999999999999996E-2</v>
      </c>
      <c r="AF68" s="1">
        <v>1.7999999999999999E-2</v>
      </c>
      <c r="AG68" s="1">
        <v>2.2000000000000002</v>
      </c>
      <c r="AI68" s="1">
        <v>0</v>
      </c>
      <c r="AJ68" s="1">
        <v>0</v>
      </c>
      <c r="AK68" s="1">
        <v>0</v>
      </c>
      <c r="AL68" s="1">
        <v>1</v>
      </c>
      <c r="AM68" s="1">
        <v>86400</v>
      </c>
      <c r="AN68" s="1">
        <v>76525</v>
      </c>
      <c r="AO68" s="1">
        <v>9875</v>
      </c>
      <c r="AP68" s="1">
        <v>44169</v>
      </c>
      <c r="AQ68" s="16">
        <v>1.590368793303959</v>
      </c>
    </row>
    <row r="69" spans="1:43" x14ac:dyDescent="0.45">
      <c r="A69" s="1">
        <v>68</v>
      </c>
      <c r="B69" s="1">
        <v>181</v>
      </c>
      <c r="C69" s="1">
        <v>75</v>
      </c>
      <c r="D69" s="1" t="s">
        <v>64</v>
      </c>
      <c r="E69" s="1" t="s">
        <v>65</v>
      </c>
      <c r="F69" s="1" t="s">
        <v>66</v>
      </c>
      <c r="G69" s="1" t="s">
        <v>46</v>
      </c>
      <c r="H69" s="1" t="s">
        <v>47</v>
      </c>
      <c r="I69" s="1">
        <v>1170</v>
      </c>
      <c r="J69" s="1">
        <v>33499</v>
      </c>
      <c r="K69" s="1">
        <v>1</v>
      </c>
      <c r="L69" s="1">
        <v>74</v>
      </c>
      <c r="M69" s="1">
        <v>1237</v>
      </c>
      <c r="N69" s="1" t="s">
        <v>48</v>
      </c>
      <c r="O69" s="1">
        <v>194021</v>
      </c>
      <c r="P69" s="1">
        <v>88</v>
      </c>
      <c r="Q69" s="1" t="s">
        <v>49</v>
      </c>
      <c r="R69" s="1" t="s">
        <v>50</v>
      </c>
      <c r="S69" s="1">
        <v>0</v>
      </c>
      <c r="T69" s="1">
        <v>0</v>
      </c>
      <c r="U69" s="1">
        <v>595.303</v>
      </c>
      <c r="V69" s="1">
        <v>24.879000000000001</v>
      </c>
      <c r="W69" s="1">
        <v>0.54</v>
      </c>
      <c r="X69" s="1">
        <v>0.22700000000000001</v>
      </c>
      <c r="Y69" s="1">
        <v>25.106000000000002</v>
      </c>
      <c r="Z69" s="1">
        <v>0.27100000000000002</v>
      </c>
      <c r="AA69" s="1">
        <v>2.2999999999999998</v>
      </c>
      <c r="AB69" s="1">
        <v>2.2999999999999998</v>
      </c>
      <c r="AC69" s="1">
        <v>2.2999999999999998</v>
      </c>
      <c r="AD69" s="1">
        <v>0.22700000000000001</v>
      </c>
      <c r="AE69" s="1">
        <v>0.27100000000000002</v>
      </c>
      <c r="AF69" s="1">
        <v>6.2E-2</v>
      </c>
      <c r="AG69" s="1">
        <v>2.2999999999999998</v>
      </c>
      <c r="AI69" s="1">
        <v>0</v>
      </c>
      <c r="AJ69" s="1">
        <v>0</v>
      </c>
      <c r="AK69" s="1">
        <v>0</v>
      </c>
      <c r="AL69" s="1">
        <v>1</v>
      </c>
      <c r="AM69" s="1">
        <v>86400</v>
      </c>
      <c r="AN69" s="1">
        <v>79782</v>
      </c>
      <c r="AO69" s="1">
        <v>6618</v>
      </c>
      <c r="AP69" s="1">
        <v>47032</v>
      </c>
      <c r="AQ69" s="16">
        <v>2.7063584476982121</v>
      </c>
    </row>
    <row r="70" spans="1:43" x14ac:dyDescent="0.45">
      <c r="A70" s="1">
        <v>69</v>
      </c>
      <c r="B70" s="1">
        <v>181</v>
      </c>
      <c r="C70" s="1">
        <v>75</v>
      </c>
      <c r="D70" s="1" t="s">
        <v>64</v>
      </c>
      <c r="E70" s="1" t="s">
        <v>65</v>
      </c>
      <c r="F70" s="1" t="s">
        <v>66</v>
      </c>
      <c r="G70" s="1" t="s">
        <v>46</v>
      </c>
      <c r="H70" s="1" t="s">
        <v>47</v>
      </c>
      <c r="I70" s="1">
        <v>1170</v>
      </c>
      <c r="J70" s="1">
        <v>33499</v>
      </c>
      <c r="K70" s="1">
        <v>1</v>
      </c>
      <c r="L70" s="1">
        <v>74</v>
      </c>
      <c r="M70" s="1">
        <v>1238</v>
      </c>
      <c r="N70" s="1" t="s">
        <v>48</v>
      </c>
      <c r="O70" s="1">
        <v>194022</v>
      </c>
      <c r="P70" s="1">
        <v>88</v>
      </c>
      <c r="Q70" s="1" t="s">
        <v>49</v>
      </c>
      <c r="R70" s="1" t="s">
        <v>50</v>
      </c>
      <c r="S70" s="1">
        <v>0</v>
      </c>
      <c r="T70" s="1">
        <v>0</v>
      </c>
      <c r="U70" s="1">
        <v>889.76199999999994</v>
      </c>
      <c r="V70" s="1">
        <v>24.957000000000001</v>
      </c>
      <c r="W70" s="1">
        <v>0.52</v>
      </c>
      <c r="X70" s="1">
        <v>0.14599999999999999</v>
      </c>
      <c r="Y70" s="1">
        <v>25.103999999999999</v>
      </c>
      <c r="Z70" s="1">
        <v>0.186</v>
      </c>
      <c r="AA70" s="1">
        <v>-2.6</v>
      </c>
      <c r="AB70" s="1">
        <v>-2.6</v>
      </c>
      <c r="AC70" s="1">
        <v>-2.6</v>
      </c>
      <c r="AD70" s="1">
        <v>0.14599999999999999</v>
      </c>
      <c r="AE70" s="1">
        <v>0.185</v>
      </c>
      <c r="AF70" s="1">
        <v>2.7E-2</v>
      </c>
      <c r="AG70" s="1">
        <v>-2.6</v>
      </c>
      <c r="AI70" s="1">
        <v>0</v>
      </c>
      <c r="AJ70" s="1">
        <v>0</v>
      </c>
      <c r="AK70" s="1">
        <v>0</v>
      </c>
      <c r="AL70" s="1">
        <v>1</v>
      </c>
      <c r="AM70" s="1">
        <v>86400</v>
      </c>
      <c r="AN70" s="1">
        <v>72071</v>
      </c>
      <c r="AO70" s="1">
        <v>14329</v>
      </c>
      <c r="AP70" s="1">
        <v>47540</v>
      </c>
      <c r="AQ70" s="16">
        <v>0.32259802925756131</v>
      </c>
    </row>
    <row r="71" spans="1:43" x14ac:dyDescent="0.45">
      <c r="A71" s="1">
        <v>70</v>
      </c>
      <c r="B71" s="1">
        <v>181</v>
      </c>
      <c r="C71" s="1">
        <v>75</v>
      </c>
      <c r="D71" s="1" t="s">
        <v>64</v>
      </c>
      <c r="E71" s="1" t="s">
        <v>65</v>
      </c>
      <c r="F71" s="1" t="s">
        <v>66</v>
      </c>
      <c r="G71" s="1" t="s">
        <v>46</v>
      </c>
      <c r="H71" s="1" t="s">
        <v>47</v>
      </c>
      <c r="I71" s="1">
        <v>1170</v>
      </c>
      <c r="J71" s="1">
        <v>33499</v>
      </c>
      <c r="K71" s="1">
        <v>1</v>
      </c>
      <c r="L71" s="1">
        <v>74</v>
      </c>
      <c r="M71" s="1">
        <v>1239</v>
      </c>
      <c r="N71" s="1" t="s">
        <v>48</v>
      </c>
      <c r="O71" s="1">
        <v>194023</v>
      </c>
      <c r="P71" s="1">
        <v>88</v>
      </c>
      <c r="Q71" s="1" t="s">
        <v>49</v>
      </c>
      <c r="R71" s="1" t="s">
        <v>50</v>
      </c>
      <c r="S71" s="1">
        <v>0</v>
      </c>
      <c r="T71" s="1">
        <v>0</v>
      </c>
      <c r="U71" s="1">
        <v>495.976</v>
      </c>
      <c r="V71" s="1">
        <v>24.9</v>
      </c>
      <c r="W71" s="1">
        <v>0.53</v>
      </c>
      <c r="X71" s="1">
        <v>0.20200000000000001</v>
      </c>
      <c r="Y71" s="1">
        <v>25.103000000000002</v>
      </c>
      <c r="Z71" s="1">
        <v>0.14899999999999999</v>
      </c>
      <c r="AA71" s="1">
        <v>-2.8</v>
      </c>
      <c r="AB71" s="1">
        <v>-2.8</v>
      </c>
      <c r="AC71" s="1">
        <v>-2.8</v>
      </c>
      <c r="AD71" s="1">
        <v>0.20200000000000001</v>
      </c>
      <c r="AE71" s="1">
        <v>0.14799999999999999</v>
      </c>
      <c r="AF71" s="1">
        <v>0.03</v>
      </c>
      <c r="AG71" s="1">
        <v>-2.8</v>
      </c>
      <c r="AI71" s="1">
        <v>0</v>
      </c>
      <c r="AJ71" s="1">
        <v>0</v>
      </c>
      <c r="AK71" s="1">
        <v>0</v>
      </c>
      <c r="AL71" s="1">
        <v>1</v>
      </c>
      <c r="AM71" s="1">
        <v>86400</v>
      </c>
      <c r="AN71" s="1">
        <v>77997</v>
      </c>
      <c r="AO71" s="1">
        <v>8403</v>
      </c>
      <c r="AP71" s="1">
        <v>47448</v>
      </c>
      <c r="AQ71" s="16">
        <v>26.101421947845822</v>
      </c>
    </row>
    <row r="72" spans="1:43" x14ac:dyDescent="0.45">
      <c r="A72" s="1">
        <v>71</v>
      </c>
      <c r="B72" s="1">
        <v>181</v>
      </c>
      <c r="C72" s="1">
        <v>75</v>
      </c>
      <c r="D72" s="1" t="s">
        <v>64</v>
      </c>
      <c r="E72" s="1" t="s">
        <v>65</v>
      </c>
      <c r="F72" s="1" t="s">
        <v>66</v>
      </c>
      <c r="G72" s="1" t="s">
        <v>46</v>
      </c>
      <c r="H72" s="1" t="s">
        <v>47</v>
      </c>
      <c r="I72" s="1">
        <v>1170</v>
      </c>
      <c r="J72" s="1">
        <v>33499</v>
      </c>
      <c r="K72" s="1">
        <v>1</v>
      </c>
      <c r="L72" s="1">
        <v>74</v>
      </c>
      <c r="M72" s="1">
        <v>1240</v>
      </c>
      <c r="N72" s="1" t="s">
        <v>48</v>
      </c>
      <c r="O72" s="1">
        <v>194024</v>
      </c>
      <c r="P72" s="1">
        <v>88</v>
      </c>
      <c r="Q72" s="1" t="s">
        <v>49</v>
      </c>
      <c r="R72" s="1" t="s">
        <v>50</v>
      </c>
      <c r="S72" s="1">
        <v>0</v>
      </c>
      <c r="T72" s="1">
        <v>0</v>
      </c>
      <c r="U72" s="1">
        <v>236.39</v>
      </c>
      <c r="V72" s="1">
        <v>24.927</v>
      </c>
      <c r="W72" s="1">
        <v>0.53</v>
      </c>
      <c r="X72" s="1">
        <v>0.17299999999999999</v>
      </c>
      <c r="Y72" s="1">
        <v>25.1</v>
      </c>
      <c r="Z72" s="1">
        <v>0.14099999999999999</v>
      </c>
      <c r="AA72" s="1">
        <v>-2.2999999999999998</v>
      </c>
      <c r="AB72" s="1">
        <v>-2.2999999999999998</v>
      </c>
      <c r="AC72" s="1">
        <v>-2.2999999999999998</v>
      </c>
      <c r="AD72" s="1">
        <v>0.17299999999999999</v>
      </c>
      <c r="AE72" s="1">
        <v>0.14000000000000001</v>
      </c>
      <c r="AF72" s="1">
        <v>2.4E-2</v>
      </c>
      <c r="AG72" s="1">
        <v>-2.2999999999999998</v>
      </c>
      <c r="AI72" s="1">
        <v>0</v>
      </c>
      <c r="AJ72" s="1">
        <v>0</v>
      </c>
      <c r="AK72" s="1">
        <v>0</v>
      </c>
      <c r="AL72" s="1">
        <v>1</v>
      </c>
      <c r="AM72" s="1">
        <v>86400</v>
      </c>
      <c r="AN72" s="1">
        <v>75689</v>
      </c>
      <c r="AO72" s="1">
        <v>10711</v>
      </c>
      <c r="AP72" s="1">
        <v>47313</v>
      </c>
      <c r="AQ72" s="16">
        <v>0.1408123542554123</v>
      </c>
    </row>
    <row r="73" spans="1:43" x14ac:dyDescent="0.45">
      <c r="A73" s="1">
        <v>72</v>
      </c>
      <c r="B73" s="1">
        <v>181</v>
      </c>
      <c r="C73" s="1">
        <v>75</v>
      </c>
      <c r="D73" s="1" t="s">
        <v>64</v>
      </c>
      <c r="E73" s="1" t="s">
        <v>65</v>
      </c>
      <c r="F73" s="1" t="s">
        <v>66</v>
      </c>
      <c r="G73" s="1" t="s">
        <v>46</v>
      </c>
      <c r="H73" s="1" t="s">
        <v>47</v>
      </c>
      <c r="I73" s="1">
        <v>1170</v>
      </c>
      <c r="J73" s="1">
        <v>33499</v>
      </c>
      <c r="K73" s="1">
        <v>1</v>
      </c>
      <c r="L73" s="1">
        <v>74</v>
      </c>
      <c r="M73" s="1">
        <v>1241</v>
      </c>
      <c r="N73" s="1" t="s">
        <v>48</v>
      </c>
      <c r="O73" s="1">
        <v>194037</v>
      </c>
      <c r="P73" s="1">
        <v>88</v>
      </c>
      <c r="Q73" s="1" t="s">
        <v>49</v>
      </c>
      <c r="R73" s="1" t="s">
        <v>50</v>
      </c>
      <c r="S73" s="1">
        <v>0</v>
      </c>
      <c r="T73" s="1">
        <v>0</v>
      </c>
      <c r="U73" s="1">
        <v>71.201999999999998</v>
      </c>
      <c r="V73" s="1">
        <v>24.815999999999999</v>
      </c>
      <c r="W73" s="1">
        <v>0.55000000000000004</v>
      </c>
      <c r="X73" s="1">
        <v>0.28799999999999998</v>
      </c>
      <c r="Y73" s="1">
        <v>25.103999999999999</v>
      </c>
      <c r="Z73" s="1">
        <v>9.0999999999999998E-2</v>
      </c>
      <c r="AA73" s="1">
        <v>0.7</v>
      </c>
      <c r="AB73" s="1">
        <v>0.7</v>
      </c>
      <c r="AC73" s="1">
        <v>0.7</v>
      </c>
      <c r="AD73" s="1">
        <v>0.28799999999999998</v>
      </c>
      <c r="AE73" s="1">
        <v>9.0999999999999998E-2</v>
      </c>
      <c r="AF73" s="1">
        <v>2.5999999999999999E-2</v>
      </c>
      <c r="AG73" s="1">
        <v>0.7</v>
      </c>
      <c r="AI73" s="1">
        <v>0</v>
      </c>
      <c r="AJ73" s="1">
        <v>0</v>
      </c>
      <c r="AK73" s="1">
        <v>0</v>
      </c>
      <c r="AL73" s="1">
        <v>1</v>
      </c>
      <c r="AM73" s="1">
        <v>86400</v>
      </c>
      <c r="AN73" s="1">
        <v>80259</v>
      </c>
      <c r="AO73" s="1">
        <v>6141</v>
      </c>
      <c r="AP73" s="1">
        <v>47412</v>
      </c>
      <c r="AQ73" s="16">
        <v>12.96701355991765</v>
      </c>
    </row>
    <row r="74" spans="1:43" x14ac:dyDescent="0.45">
      <c r="A74" s="1">
        <v>73</v>
      </c>
      <c r="B74" s="1">
        <v>181</v>
      </c>
      <c r="C74" s="1">
        <v>75</v>
      </c>
      <c r="D74" s="1" t="s">
        <v>64</v>
      </c>
      <c r="E74" s="1" t="s">
        <v>65</v>
      </c>
      <c r="F74" s="1" t="s">
        <v>66</v>
      </c>
      <c r="G74" s="1" t="s">
        <v>46</v>
      </c>
      <c r="H74" s="1" t="s">
        <v>47</v>
      </c>
      <c r="I74" s="1">
        <v>1170</v>
      </c>
      <c r="J74" s="1">
        <v>33499</v>
      </c>
      <c r="K74" s="1">
        <v>1</v>
      </c>
      <c r="L74" s="1">
        <v>74</v>
      </c>
      <c r="M74" s="1">
        <v>1262</v>
      </c>
      <c r="N74" s="1" t="s">
        <v>48</v>
      </c>
      <c r="O74" s="1">
        <v>194098</v>
      </c>
      <c r="P74" s="1">
        <v>88</v>
      </c>
      <c r="Q74" s="1" t="s">
        <v>49</v>
      </c>
      <c r="R74" s="1" t="s">
        <v>50</v>
      </c>
      <c r="S74" s="1">
        <v>0</v>
      </c>
      <c r="T74" s="1">
        <v>0</v>
      </c>
      <c r="U74" s="1">
        <v>590.79899999999998</v>
      </c>
      <c r="V74" s="1">
        <v>25.291</v>
      </c>
      <c r="W74" s="1">
        <v>0.53</v>
      </c>
      <c r="X74" s="1">
        <v>0.19600000000000001</v>
      </c>
      <c r="Y74" s="1">
        <v>25.486999999999998</v>
      </c>
      <c r="Z74" s="1">
        <v>4.2999999999999997E-2</v>
      </c>
      <c r="AA74" s="1">
        <v>-3</v>
      </c>
      <c r="AB74" s="1">
        <v>-3</v>
      </c>
      <c r="AC74" s="1">
        <v>-3</v>
      </c>
      <c r="AD74" s="1">
        <v>0.19600000000000001</v>
      </c>
      <c r="AE74" s="1">
        <v>4.2999999999999997E-2</v>
      </c>
      <c r="AF74" s="1">
        <v>8.0000000000000002E-3</v>
      </c>
      <c r="AG74" s="1">
        <v>-3</v>
      </c>
      <c r="AI74" s="1">
        <v>0</v>
      </c>
      <c r="AJ74" s="1">
        <v>0</v>
      </c>
      <c r="AK74" s="1">
        <v>0</v>
      </c>
      <c r="AL74" s="1">
        <v>1</v>
      </c>
      <c r="AM74" s="1">
        <v>86400</v>
      </c>
      <c r="AN74" s="1">
        <v>72601</v>
      </c>
      <c r="AO74" s="1">
        <v>13799</v>
      </c>
      <c r="AP74" s="1">
        <v>43636</v>
      </c>
      <c r="AQ74" s="16">
        <v>2.1861732595933532</v>
      </c>
    </row>
    <row r="75" spans="1:43" x14ac:dyDescent="0.45">
      <c r="A75" s="1">
        <v>74</v>
      </c>
      <c r="B75" s="1">
        <v>181</v>
      </c>
      <c r="C75" s="1">
        <v>75</v>
      </c>
      <c r="D75" s="1" t="s">
        <v>64</v>
      </c>
      <c r="E75" s="1" t="s">
        <v>65</v>
      </c>
      <c r="F75" s="1" t="s">
        <v>66</v>
      </c>
      <c r="G75" s="1" t="s">
        <v>46</v>
      </c>
      <c r="H75" s="1" t="s">
        <v>47</v>
      </c>
      <c r="I75" s="1">
        <v>1170</v>
      </c>
      <c r="J75" s="1">
        <v>33499</v>
      </c>
      <c r="K75" s="1">
        <v>1</v>
      </c>
      <c r="L75" s="1">
        <v>74</v>
      </c>
      <c r="M75" s="1">
        <v>1263</v>
      </c>
      <c r="N75" s="1" t="s">
        <v>48</v>
      </c>
      <c r="O75" s="1">
        <v>194101</v>
      </c>
      <c r="P75" s="1">
        <v>88</v>
      </c>
      <c r="Q75" s="1" t="s">
        <v>49</v>
      </c>
      <c r="R75" s="1" t="s">
        <v>50</v>
      </c>
      <c r="S75" s="1">
        <v>0</v>
      </c>
      <c r="T75" s="1">
        <v>0</v>
      </c>
      <c r="U75" s="1">
        <v>715.21299999999997</v>
      </c>
      <c r="V75" s="1">
        <v>25.327000000000002</v>
      </c>
      <c r="W75" s="1">
        <v>0.52</v>
      </c>
      <c r="X75" s="1">
        <v>0.156</v>
      </c>
      <c r="Y75" s="1">
        <v>25.483000000000001</v>
      </c>
      <c r="Z75" s="1">
        <v>7.4999999999999997E-2</v>
      </c>
      <c r="AA75" s="1">
        <v>3</v>
      </c>
      <c r="AB75" s="1">
        <v>3</v>
      </c>
      <c r="AC75" s="1">
        <v>3</v>
      </c>
      <c r="AD75" s="1">
        <v>0.156</v>
      </c>
      <c r="AE75" s="1">
        <v>7.4999999999999997E-2</v>
      </c>
      <c r="AF75" s="1">
        <v>1.2E-2</v>
      </c>
      <c r="AG75" s="1">
        <v>3</v>
      </c>
      <c r="AI75" s="1">
        <v>0</v>
      </c>
      <c r="AJ75" s="1">
        <v>0</v>
      </c>
      <c r="AK75" s="1">
        <v>0</v>
      </c>
      <c r="AL75" s="1">
        <v>1</v>
      </c>
      <c r="AM75" s="1">
        <v>86400</v>
      </c>
      <c r="AN75" s="1">
        <v>74765</v>
      </c>
      <c r="AO75" s="1">
        <v>11635</v>
      </c>
      <c r="AP75" s="1">
        <v>43633</v>
      </c>
      <c r="AQ75" s="16">
        <v>1.705766435611443</v>
      </c>
    </row>
    <row r="76" spans="1:43" x14ac:dyDescent="0.45">
      <c r="A76" s="1">
        <v>75</v>
      </c>
      <c r="B76" s="1">
        <v>181</v>
      </c>
      <c r="C76" s="1">
        <v>75</v>
      </c>
      <c r="D76" s="1" t="s">
        <v>64</v>
      </c>
      <c r="E76" s="1" t="s">
        <v>65</v>
      </c>
      <c r="F76" s="1" t="s">
        <v>66</v>
      </c>
      <c r="G76" s="1" t="s">
        <v>46</v>
      </c>
      <c r="H76" s="1" t="s">
        <v>47</v>
      </c>
      <c r="I76" s="1">
        <v>1170</v>
      </c>
      <c r="J76" s="1">
        <v>33499</v>
      </c>
      <c r="K76" s="1">
        <v>1</v>
      </c>
      <c r="L76" s="1">
        <v>74</v>
      </c>
      <c r="M76" s="1">
        <v>1391</v>
      </c>
      <c r="N76" s="1" t="s">
        <v>48</v>
      </c>
      <c r="O76" s="1">
        <v>198606</v>
      </c>
      <c r="P76" s="1">
        <v>88</v>
      </c>
      <c r="Q76" s="1" t="s">
        <v>49</v>
      </c>
      <c r="R76" s="1" t="s">
        <v>50</v>
      </c>
      <c r="S76" s="1">
        <v>0</v>
      </c>
      <c r="T76" s="1">
        <v>0</v>
      </c>
      <c r="U76" s="1">
        <v>92.590999999999994</v>
      </c>
      <c r="V76" s="1">
        <v>25.254000000000001</v>
      </c>
      <c r="W76" s="1">
        <v>0.52</v>
      </c>
      <c r="X76" s="1">
        <v>0.104</v>
      </c>
      <c r="Y76" s="1">
        <v>25.356999999999999</v>
      </c>
      <c r="Z76" s="1">
        <v>0.10100000000000001</v>
      </c>
      <c r="AA76" s="1">
        <v>0.9</v>
      </c>
      <c r="AB76" s="1">
        <v>0.6</v>
      </c>
      <c r="AC76" s="1">
        <v>0.6</v>
      </c>
      <c r="AD76" s="1">
        <v>0.104</v>
      </c>
      <c r="AE76" s="1">
        <v>7.6999999999999999E-2</v>
      </c>
      <c r="AF76" s="1">
        <v>8.9999999999999993E-3</v>
      </c>
      <c r="AG76" s="1">
        <v>0.9</v>
      </c>
      <c r="AI76" s="1">
        <v>0</v>
      </c>
      <c r="AJ76" s="1">
        <v>0</v>
      </c>
      <c r="AK76" s="1">
        <v>0</v>
      </c>
      <c r="AL76" s="1">
        <v>1</v>
      </c>
      <c r="AM76" s="1">
        <v>86400</v>
      </c>
      <c r="AN76" s="1">
        <v>78527</v>
      </c>
      <c r="AO76" s="1">
        <v>7873</v>
      </c>
      <c r="AP76" s="1">
        <v>50262</v>
      </c>
      <c r="AQ76" s="16">
        <v>16.327837453438821</v>
      </c>
    </row>
    <row r="77" spans="1:43" x14ac:dyDescent="0.45">
      <c r="A77" s="1">
        <v>76</v>
      </c>
      <c r="B77" s="1">
        <v>181</v>
      </c>
      <c r="C77" s="1">
        <v>75</v>
      </c>
      <c r="D77" s="1" t="s">
        <v>64</v>
      </c>
      <c r="E77" s="1" t="s">
        <v>65</v>
      </c>
      <c r="F77" s="1" t="s">
        <v>66</v>
      </c>
      <c r="G77" s="1" t="s">
        <v>46</v>
      </c>
      <c r="H77" s="1" t="s">
        <v>47</v>
      </c>
      <c r="I77" s="1">
        <v>1170</v>
      </c>
      <c r="J77" s="1">
        <v>33499</v>
      </c>
      <c r="K77" s="1">
        <v>1</v>
      </c>
      <c r="L77" s="1">
        <v>74</v>
      </c>
      <c r="M77" s="1">
        <v>1392</v>
      </c>
      <c r="N77" s="1" t="s">
        <v>48</v>
      </c>
      <c r="O77" s="1">
        <v>198607</v>
      </c>
      <c r="P77" s="1">
        <v>88</v>
      </c>
      <c r="Q77" s="1" t="s">
        <v>49</v>
      </c>
      <c r="R77" s="1" t="s">
        <v>50</v>
      </c>
      <c r="S77" s="1">
        <v>0</v>
      </c>
      <c r="T77" s="1">
        <v>0</v>
      </c>
      <c r="U77" s="1">
        <v>71.430000000000007</v>
      </c>
      <c r="V77" s="1">
        <v>25.236000000000001</v>
      </c>
      <c r="W77" s="1">
        <v>0.52</v>
      </c>
      <c r="X77" s="1">
        <v>0.122</v>
      </c>
      <c r="Y77" s="1">
        <v>25.358000000000001</v>
      </c>
      <c r="Z77" s="1">
        <v>0.109</v>
      </c>
      <c r="AA77" s="1">
        <v>-0.8</v>
      </c>
      <c r="AB77" s="1">
        <v>-0.6</v>
      </c>
      <c r="AC77" s="1">
        <v>-0.6</v>
      </c>
      <c r="AD77" s="1">
        <v>0.122</v>
      </c>
      <c r="AE77" s="1">
        <v>8.4000000000000005E-2</v>
      </c>
      <c r="AF77" s="1">
        <v>1.0999999999999999E-2</v>
      </c>
      <c r="AG77" s="1">
        <v>-0.8</v>
      </c>
      <c r="AI77" s="1">
        <v>0</v>
      </c>
      <c r="AJ77" s="1">
        <v>0</v>
      </c>
      <c r="AK77" s="1">
        <v>0</v>
      </c>
      <c r="AL77" s="1">
        <v>1</v>
      </c>
      <c r="AM77" s="1">
        <v>86400</v>
      </c>
      <c r="AN77" s="1">
        <v>79583</v>
      </c>
      <c r="AO77" s="1">
        <v>6817</v>
      </c>
      <c r="AP77" s="1">
        <v>49624</v>
      </c>
      <c r="AQ77" s="16">
        <v>1.7753314003685849</v>
      </c>
    </row>
    <row r="78" spans="1:43" x14ac:dyDescent="0.45">
      <c r="A78" s="1">
        <v>77</v>
      </c>
      <c r="B78" s="1">
        <v>181</v>
      </c>
      <c r="C78" s="1">
        <v>75</v>
      </c>
      <c r="D78" s="1" t="s">
        <v>64</v>
      </c>
      <c r="E78" s="1" t="s">
        <v>65</v>
      </c>
      <c r="F78" s="1" t="s">
        <v>66</v>
      </c>
      <c r="G78" s="1" t="s">
        <v>46</v>
      </c>
      <c r="H78" s="1" t="s">
        <v>47</v>
      </c>
      <c r="I78" s="1">
        <v>1170</v>
      </c>
      <c r="J78" s="1">
        <v>33499</v>
      </c>
      <c r="K78" s="1">
        <v>1</v>
      </c>
      <c r="L78" s="1">
        <v>74</v>
      </c>
      <c r="M78" s="1">
        <v>1393</v>
      </c>
      <c r="N78" s="1" t="s">
        <v>48</v>
      </c>
      <c r="O78" s="1">
        <v>198616</v>
      </c>
      <c r="P78" s="1">
        <v>88</v>
      </c>
      <c r="Q78" s="1" t="s">
        <v>49</v>
      </c>
      <c r="R78" s="1" t="s">
        <v>50</v>
      </c>
      <c r="S78" s="1">
        <v>0</v>
      </c>
      <c r="T78" s="1">
        <v>0</v>
      </c>
      <c r="U78" s="1">
        <v>155.554</v>
      </c>
      <c r="V78" s="1">
        <v>25.196999999999999</v>
      </c>
      <c r="W78" s="1">
        <v>0.53</v>
      </c>
      <c r="X78" s="1">
        <v>0.19600000000000001</v>
      </c>
      <c r="Y78" s="1">
        <v>25.391999999999999</v>
      </c>
      <c r="Z78" s="1">
        <v>2.1000000000000001E-2</v>
      </c>
      <c r="AA78" s="1">
        <v>-0.6</v>
      </c>
      <c r="AB78" s="1">
        <v>-0.5</v>
      </c>
      <c r="AC78" s="1">
        <v>-0.5</v>
      </c>
      <c r="AD78" s="1">
        <v>0.19600000000000001</v>
      </c>
      <c r="AE78" s="1">
        <v>0.02</v>
      </c>
      <c r="AF78" s="1">
        <v>4.0000000000000001E-3</v>
      </c>
      <c r="AG78" s="1">
        <v>-0.6</v>
      </c>
      <c r="AI78" s="1">
        <v>0</v>
      </c>
      <c r="AJ78" s="1">
        <v>0</v>
      </c>
      <c r="AK78" s="1">
        <v>0</v>
      </c>
      <c r="AL78" s="1">
        <v>1</v>
      </c>
      <c r="AM78" s="1">
        <v>86400</v>
      </c>
      <c r="AN78" s="1">
        <v>70831</v>
      </c>
      <c r="AO78" s="1">
        <v>15569</v>
      </c>
      <c r="AP78" s="1">
        <v>48427</v>
      </c>
      <c r="AQ78" s="16">
        <v>0.49721296494119721</v>
      </c>
    </row>
    <row r="79" spans="1:43" x14ac:dyDescent="0.45">
      <c r="A79" s="1">
        <v>78</v>
      </c>
      <c r="B79" s="1">
        <v>332</v>
      </c>
      <c r="C79" s="1">
        <v>25</v>
      </c>
      <c r="D79" s="1" t="s">
        <v>70</v>
      </c>
      <c r="E79" s="1" t="s">
        <v>71</v>
      </c>
      <c r="F79" s="1" t="s">
        <v>72</v>
      </c>
      <c r="G79" s="1" t="s">
        <v>46</v>
      </c>
      <c r="H79" s="1" t="s">
        <v>47</v>
      </c>
      <c r="I79" s="1">
        <v>664</v>
      </c>
      <c r="J79" s="1">
        <v>19970</v>
      </c>
      <c r="K79" s="1">
        <v>1</v>
      </c>
      <c r="L79" s="1">
        <v>24</v>
      </c>
      <c r="M79" s="1">
        <v>1204</v>
      </c>
      <c r="N79" s="1" t="s">
        <v>48</v>
      </c>
      <c r="O79" s="1">
        <v>183770</v>
      </c>
      <c r="P79" s="1">
        <v>88</v>
      </c>
      <c r="Q79" s="1" t="s">
        <v>49</v>
      </c>
      <c r="R79" s="1" t="s">
        <v>50</v>
      </c>
      <c r="S79" s="1">
        <v>0</v>
      </c>
      <c r="T79" s="1">
        <v>0</v>
      </c>
      <c r="U79" s="1">
        <v>134.53299999999999</v>
      </c>
      <c r="V79" s="1">
        <v>25.527000000000001</v>
      </c>
      <c r="W79" s="1">
        <v>1.29</v>
      </c>
      <c r="X79" s="1">
        <v>1.7470000000000001</v>
      </c>
      <c r="Y79" s="1">
        <v>27.274999999999999</v>
      </c>
      <c r="Z79" s="1">
        <v>0.121</v>
      </c>
      <c r="AA79" s="1">
        <v>2.8</v>
      </c>
      <c r="AB79" s="1">
        <v>-0.8</v>
      </c>
      <c r="AC79" s="1">
        <v>2.8</v>
      </c>
      <c r="AD79" s="1">
        <v>1.7450000000000001</v>
      </c>
      <c r="AE79" s="1">
        <v>0.121</v>
      </c>
      <c r="AF79" s="1">
        <v>0.21099999999999999</v>
      </c>
      <c r="AG79" s="1">
        <v>2.8</v>
      </c>
      <c r="AI79" s="1">
        <v>0</v>
      </c>
      <c r="AJ79" s="1">
        <v>0</v>
      </c>
      <c r="AK79" s="1">
        <v>0</v>
      </c>
      <c r="AL79" s="1">
        <v>1</v>
      </c>
      <c r="AM79" s="1">
        <v>86400</v>
      </c>
      <c r="AN79" s="1">
        <v>77801</v>
      </c>
      <c r="AO79" s="1">
        <v>8599</v>
      </c>
      <c r="AP79" s="1">
        <v>43752</v>
      </c>
      <c r="AQ79" s="16">
        <v>14.97557869697212</v>
      </c>
    </row>
    <row r="80" spans="1:43" x14ac:dyDescent="0.45">
      <c r="A80" s="1">
        <v>79</v>
      </c>
      <c r="B80" s="1">
        <v>332</v>
      </c>
      <c r="C80" s="1">
        <v>25</v>
      </c>
      <c r="D80" s="1" t="s">
        <v>70</v>
      </c>
      <c r="E80" s="1" t="s">
        <v>71</v>
      </c>
      <c r="F80" s="1" t="s">
        <v>72</v>
      </c>
      <c r="G80" s="1" t="s">
        <v>46</v>
      </c>
      <c r="H80" s="1" t="s">
        <v>47</v>
      </c>
      <c r="I80" s="1">
        <v>664</v>
      </c>
      <c r="J80" s="1">
        <v>19970</v>
      </c>
      <c r="K80" s="1">
        <v>1</v>
      </c>
      <c r="L80" s="1">
        <v>24</v>
      </c>
      <c r="M80" s="1">
        <v>1206</v>
      </c>
      <c r="N80" s="1" t="s">
        <v>48</v>
      </c>
      <c r="O80" s="1">
        <v>183857</v>
      </c>
      <c r="P80" s="1">
        <v>88</v>
      </c>
      <c r="Q80" s="1" t="s">
        <v>49</v>
      </c>
      <c r="R80" s="1" t="s">
        <v>50</v>
      </c>
      <c r="S80" s="1">
        <v>0</v>
      </c>
      <c r="T80" s="1">
        <v>0</v>
      </c>
      <c r="U80" s="1">
        <v>97.05</v>
      </c>
      <c r="V80" s="1">
        <v>27.024000000000001</v>
      </c>
      <c r="W80" s="1">
        <v>0.52</v>
      </c>
      <c r="X80" s="1">
        <v>0.128</v>
      </c>
      <c r="Y80" s="1">
        <v>27.152000000000001</v>
      </c>
      <c r="Z80" s="1">
        <v>0.16600000000000001</v>
      </c>
      <c r="AA80" s="1">
        <v>-1.6</v>
      </c>
      <c r="AB80" s="1">
        <v>-1.6</v>
      </c>
      <c r="AC80" s="1">
        <v>-1.6</v>
      </c>
      <c r="AD80" s="1">
        <v>0.128</v>
      </c>
      <c r="AE80" s="1">
        <v>0.16600000000000001</v>
      </c>
      <c r="AF80" s="1">
        <v>2.1000000000000001E-2</v>
      </c>
      <c r="AG80" s="1">
        <v>-1.6</v>
      </c>
      <c r="AI80" s="1">
        <v>0</v>
      </c>
      <c r="AJ80" s="1">
        <v>0</v>
      </c>
      <c r="AK80" s="1">
        <v>0</v>
      </c>
      <c r="AL80" s="1">
        <v>1</v>
      </c>
      <c r="AM80" s="1">
        <v>82982</v>
      </c>
      <c r="AN80" s="1">
        <v>52128</v>
      </c>
      <c r="AO80" s="1">
        <v>28929</v>
      </c>
      <c r="AP80" s="1">
        <v>46967</v>
      </c>
      <c r="AQ80" s="16">
        <v>12.13985088347876</v>
      </c>
    </row>
    <row r="81" spans="1:43" x14ac:dyDescent="0.45">
      <c r="A81" s="1">
        <v>80</v>
      </c>
      <c r="B81" s="1">
        <v>333</v>
      </c>
      <c r="C81" s="1">
        <v>24</v>
      </c>
      <c r="D81" s="1" t="s">
        <v>73</v>
      </c>
      <c r="E81" s="1" t="s">
        <v>74</v>
      </c>
      <c r="F81" s="1" t="s">
        <v>75</v>
      </c>
      <c r="G81" s="1" t="s">
        <v>46</v>
      </c>
      <c r="H81" s="1" t="s">
        <v>47</v>
      </c>
      <c r="I81" s="1">
        <v>586</v>
      </c>
      <c r="J81" s="1">
        <v>18129</v>
      </c>
      <c r="K81" s="1">
        <v>1</v>
      </c>
      <c r="L81" s="1">
        <v>23</v>
      </c>
      <c r="M81" s="1">
        <v>1204</v>
      </c>
      <c r="N81" s="1" t="s">
        <v>48</v>
      </c>
      <c r="O81" s="1">
        <v>183770</v>
      </c>
      <c r="P81" s="1">
        <v>88</v>
      </c>
      <c r="Q81" s="1" t="s">
        <v>49</v>
      </c>
      <c r="R81" s="1" t="s">
        <v>50</v>
      </c>
      <c r="S81" s="1">
        <v>0</v>
      </c>
      <c r="T81" s="1">
        <v>0</v>
      </c>
      <c r="U81" s="1">
        <v>134.53299999999999</v>
      </c>
      <c r="V81" s="1">
        <v>25.527000000000001</v>
      </c>
      <c r="W81" s="1">
        <v>1.29</v>
      </c>
      <c r="X81" s="1">
        <v>1.7470000000000001</v>
      </c>
      <c r="Y81" s="1">
        <v>27.274999999999999</v>
      </c>
      <c r="Z81" s="1">
        <v>0.121</v>
      </c>
      <c r="AA81" s="1">
        <v>2.8</v>
      </c>
      <c r="AB81" s="1">
        <v>-0.8</v>
      </c>
      <c r="AC81" s="1">
        <v>2.8</v>
      </c>
      <c r="AD81" s="1">
        <v>1.7450000000000001</v>
      </c>
      <c r="AE81" s="1">
        <v>0.121</v>
      </c>
      <c r="AF81" s="1">
        <v>0.21099999999999999</v>
      </c>
      <c r="AG81" s="1">
        <v>2.8</v>
      </c>
      <c r="AI81" s="1">
        <v>0</v>
      </c>
      <c r="AJ81" s="1">
        <v>0</v>
      </c>
      <c r="AK81" s="1">
        <v>0</v>
      </c>
      <c r="AL81" s="1">
        <v>1</v>
      </c>
      <c r="AM81" s="1">
        <v>86400</v>
      </c>
      <c r="AN81" s="1">
        <v>77801</v>
      </c>
      <c r="AO81" s="1">
        <v>8599</v>
      </c>
      <c r="AP81" s="1">
        <v>43752</v>
      </c>
      <c r="AQ81" s="16">
        <v>1.107249760698368</v>
      </c>
    </row>
    <row r="82" spans="1:43" x14ac:dyDescent="0.45">
      <c r="A82" s="1">
        <v>81</v>
      </c>
      <c r="B82" s="1">
        <v>334</v>
      </c>
      <c r="C82" s="1">
        <v>25</v>
      </c>
      <c r="D82" s="1" t="s">
        <v>70</v>
      </c>
      <c r="E82" s="1" t="s">
        <v>71</v>
      </c>
      <c r="F82" s="1" t="s">
        <v>72</v>
      </c>
      <c r="G82" s="1" t="s">
        <v>46</v>
      </c>
      <c r="H82" s="1" t="s">
        <v>47</v>
      </c>
      <c r="I82" s="1">
        <v>664</v>
      </c>
      <c r="J82" s="1">
        <v>19970</v>
      </c>
      <c r="K82" s="1">
        <v>1</v>
      </c>
      <c r="L82" s="1">
        <v>24</v>
      </c>
      <c r="M82" s="1">
        <v>1204</v>
      </c>
      <c r="N82" s="1" t="s">
        <v>48</v>
      </c>
      <c r="O82" s="1">
        <v>183770</v>
      </c>
      <c r="P82" s="1">
        <v>88</v>
      </c>
      <c r="Q82" s="1" t="s">
        <v>49</v>
      </c>
      <c r="R82" s="1" t="s">
        <v>50</v>
      </c>
      <c r="S82" s="1">
        <v>0</v>
      </c>
      <c r="T82" s="1">
        <v>0</v>
      </c>
      <c r="U82" s="1">
        <v>134.53299999999999</v>
      </c>
      <c r="V82" s="1">
        <v>25.527000000000001</v>
      </c>
      <c r="W82" s="1">
        <v>1.29</v>
      </c>
      <c r="X82" s="1">
        <v>1.7470000000000001</v>
      </c>
      <c r="Y82" s="1">
        <v>27.274999999999999</v>
      </c>
      <c r="Z82" s="1">
        <v>0.121</v>
      </c>
      <c r="AA82" s="1">
        <v>2.8</v>
      </c>
      <c r="AB82" s="1">
        <v>-0.8</v>
      </c>
      <c r="AC82" s="1">
        <v>2.8</v>
      </c>
      <c r="AD82" s="1">
        <v>1.7450000000000001</v>
      </c>
      <c r="AE82" s="1">
        <v>0.121</v>
      </c>
      <c r="AF82" s="1">
        <v>0.21099999999999999</v>
      </c>
      <c r="AG82" s="1">
        <v>2.8</v>
      </c>
      <c r="AI82" s="1">
        <v>0</v>
      </c>
      <c r="AJ82" s="1">
        <v>0</v>
      </c>
      <c r="AK82" s="1">
        <v>0</v>
      </c>
      <c r="AL82" s="1">
        <v>1</v>
      </c>
      <c r="AM82" s="1">
        <v>86400</v>
      </c>
      <c r="AN82" s="1">
        <v>77801</v>
      </c>
      <c r="AO82" s="1">
        <v>8599</v>
      </c>
      <c r="AP82" s="1">
        <v>43752</v>
      </c>
      <c r="AQ82" s="16">
        <v>1.092180301669939</v>
      </c>
    </row>
    <row r="83" spans="1:43" x14ac:dyDescent="0.45">
      <c r="A83" s="1">
        <v>82</v>
      </c>
      <c r="B83" s="1">
        <v>351</v>
      </c>
      <c r="C83" s="1">
        <v>63</v>
      </c>
      <c r="D83" s="1" t="s">
        <v>76</v>
      </c>
      <c r="E83" s="1" t="s">
        <v>77</v>
      </c>
      <c r="F83" s="1" t="s">
        <v>78</v>
      </c>
      <c r="G83" s="1" t="s">
        <v>46</v>
      </c>
      <c r="H83" s="1" t="s">
        <v>47</v>
      </c>
      <c r="I83" s="1">
        <v>1247</v>
      </c>
      <c r="J83" s="1">
        <v>27398</v>
      </c>
      <c r="K83" s="1">
        <v>1</v>
      </c>
      <c r="L83" s="1">
        <v>62</v>
      </c>
      <c r="M83" s="1">
        <v>1200</v>
      </c>
      <c r="N83" s="1" t="s">
        <v>48</v>
      </c>
      <c r="O83" s="1">
        <v>181344</v>
      </c>
      <c r="P83" s="1">
        <v>88</v>
      </c>
      <c r="Q83" s="1" t="s">
        <v>49</v>
      </c>
      <c r="R83" s="1" t="s">
        <v>50</v>
      </c>
      <c r="S83" s="1">
        <v>0</v>
      </c>
      <c r="T83" s="1">
        <v>0</v>
      </c>
      <c r="U83" s="1">
        <v>509.673</v>
      </c>
      <c r="V83" s="1">
        <v>23.771999999999998</v>
      </c>
      <c r="W83" s="1">
        <v>0.62</v>
      </c>
      <c r="X83" s="1">
        <v>0.76400000000000001</v>
      </c>
      <c r="Y83" s="1">
        <v>24.535</v>
      </c>
      <c r="Z83" s="1">
        <v>0.11</v>
      </c>
      <c r="AA83" s="1">
        <v>-3</v>
      </c>
      <c r="AB83" s="1">
        <v>-3</v>
      </c>
      <c r="AC83" s="1">
        <v>-3</v>
      </c>
      <c r="AD83" s="1">
        <v>0.76300000000000001</v>
      </c>
      <c r="AE83" s="1">
        <v>0.11</v>
      </c>
      <c r="AF83" s="1">
        <v>8.4000000000000005E-2</v>
      </c>
      <c r="AG83" s="1">
        <v>-3</v>
      </c>
      <c r="AI83" s="1">
        <v>0</v>
      </c>
      <c r="AJ83" s="1">
        <v>0</v>
      </c>
      <c r="AK83" s="1">
        <v>0</v>
      </c>
      <c r="AL83" s="1">
        <v>1</v>
      </c>
      <c r="AM83" s="1">
        <v>86400</v>
      </c>
      <c r="AN83" s="1">
        <v>77157</v>
      </c>
      <c r="AO83" s="1">
        <v>9243</v>
      </c>
      <c r="AP83" s="1">
        <v>43690</v>
      </c>
      <c r="AQ83" s="16">
        <v>25.565098127340359</v>
      </c>
    </row>
    <row r="84" spans="1:43" x14ac:dyDescent="0.45">
      <c r="A84" s="1">
        <v>83</v>
      </c>
      <c r="B84" s="1">
        <v>351</v>
      </c>
      <c r="C84" s="1">
        <v>63</v>
      </c>
      <c r="D84" s="1" t="s">
        <v>76</v>
      </c>
      <c r="E84" s="1" t="s">
        <v>77</v>
      </c>
      <c r="F84" s="1" t="s">
        <v>78</v>
      </c>
      <c r="G84" s="1" t="s">
        <v>46</v>
      </c>
      <c r="H84" s="1" t="s">
        <v>47</v>
      </c>
      <c r="I84" s="1">
        <v>1247</v>
      </c>
      <c r="J84" s="1">
        <v>27398</v>
      </c>
      <c r="K84" s="1">
        <v>1</v>
      </c>
      <c r="L84" s="1">
        <v>62</v>
      </c>
      <c r="M84" s="1">
        <v>1208</v>
      </c>
      <c r="N84" s="1" t="s">
        <v>48</v>
      </c>
      <c r="O84" s="1">
        <v>184182</v>
      </c>
      <c r="P84" s="1">
        <v>88</v>
      </c>
      <c r="Q84" s="1" t="s">
        <v>49</v>
      </c>
      <c r="R84" s="1" t="s">
        <v>50</v>
      </c>
      <c r="S84" s="1">
        <v>0</v>
      </c>
      <c r="T84" s="1">
        <v>0</v>
      </c>
      <c r="U84" s="1">
        <v>51.722999999999999</v>
      </c>
      <c r="V84" s="1">
        <v>24.972999999999999</v>
      </c>
      <c r="W84" s="1">
        <v>0.54</v>
      </c>
      <c r="X84" s="1">
        <v>0.223</v>
      </c>
      <c r="Y84" s="1">
        <v>25.196000000000002</v>
      </c>
      <c r="Z84" s="1">
        <v>9.0999999999999998E-2</v>
      </c>
      <c r="AA84" s="1">
        <v>-2.8</v>
      </c>
      <c r="AB84" s="1">
        <v>-2.8</v>
      </c>
      <c r="AC84" s="1">
        <v>-2.8</v>
      </c>
      <c r="AD84" s="1">
        <v>0.223</v>
      </c>
      <c r="AE84" s="1">
        <v>9.0999999999999998E-2</v>
      </c>
      <c r="AF84" s="1">
        <v>0.02</v>
      </c>
      <c r="AG84" s="1">
        <v>-2.8</v>
      </c>
      <c r="AI84" s="1">
        <v>0</v>
      </c>
      <c r="AJ84" s="1">
        <v>0</v>
      </c>
      <c r="AK84" s="1">
        <v>0</v>
      </c>
      <c r="AL84" s="1">
        <v>1</v>
      </c>
      <c r="AM84" s="1">
        <v>86400</v>
      </c>
      <c r="AN84" s="1">
        <v>80041</v>
      </c>
      <c r="AO84" s="1">
        <v>6359</v>
      </c>
      <c r="AP84" s="1">
        <v>43738</v>
      </c>
      <c r="AQ84" s="16">
        <v>12.851985611736319</v>
      </c>
    </row>
    <row r="85" spans="1:43" x14ac:dyDescent="0.45">
      <c r="A85" s="1">
        <v>84</v>
      </c>
      <c r="B85" s="1">
        <v>351</v>
      </c>
      <c r="C85" s="1">
        <v>63</v>
      </c>
      <c r="D85" s="1" t="s">
        <v>76</v>
      </c>
      <c r="E85" s="1" t="s">
        <v>77</v>
      </c>
      <c r="F85" s="1" t="s">
        <v>78</v>
      </c>
      <c r="G85" s="1" t="s">
        <v>46</v>
      </c>
      <c r="H85" s="1" t="s">
        <v>47</v>
      </c>
      <c r="I85" s="1">
        <v>1247</v>
      </c>
      <c r="J85" s="1">
        <v>27398</v>
      </c>
      <c r="K85" s="1">
        <v>1</v>
      </c>
      <c r="L85" s="1">
        <v>62</v>
      </c>
      <c r="M85" s="1">
        <v>1209</v>
      </c>
      <c r="N85" s="1" t="s">
        <v>48</v>
      </c>
      <c r="O85" s="1">
        <v>184187</v>
      </c>
      <c r="P85" s="1">
        <v>88</v>
      </c>
      <c r="Q85" s="1" t="s">
        <v>49</v>
      </c>
      <c r="R85" s="1" t="s">
        <v>50</v>
      </c>
      <c r="S85" s="1">
        <v>0</v>
      </c>
      <c r="T85" s="1">
        <v>0</v>
      </c>
      <c r="U85" s="1">
        <v>148.02699999999999</v>
      </c>
      <c r="V85" s="1">
        <v>25.082999999999998</v>
      </c>
      <c r="W85" s="1">
        <v>0.52</v>
      </c>
      <c r="X85" s="1">
        <v>0.126</v>
      </c>
      <c r="Y85" s="1">
        <v>25.209</v>
      </c>
      <c r="Z85" s="1">
        <v>0.20799999999999999</v>
      </c>
      <c r="AA85" s="1">
        <v>1.8</v>
      </c>
      <c r="AB85" s="1">
        <v>1.8</v>
      </c>
      <c r="AC85" s="1">
        <v>1.8</v>
      </c>
      <c r="AD85" s="1">
        <v>0.126</v>
      </c>
      <c r="AE85" s="1">
        <v>0.20799999999999999</v>
      </c>
      <c r="AF85" s="1">
        <v>2.5999999999999999E-2</v>
      </c>
      <c r="AG85" s="1">
        <v>1.8</v>
      </c>
      <c r="AI85" s="1">
        <v>0</v>
      </c>
      <c r="AJ85" s="1">
        <v>0</v>
      </c>
      <c r="AK85" s="1">
        <v>0</v>
      </c>
      <c r="AL85" s="1">
        <v>1</v>
      </c>
      <c r="AM85" s="1">
        <v>86400</v>
      </c>
      <c r="AN85" s="1">
        <v>80258</v>
      </c>
      <c r="AO85" s="1">
        <v>6142</v>
      </c>
      <c r="AP85" s="1">
        <v>43572</v>
      </c>
      <c r="AQ85" s="16">
        <v>2.804081138854984</v>
      </c>
    </row>
    <row r="86" spans="1:43" x14ac:dyDescent="0.45">
      <c r="A86" s="1">
        <v>85</v>
      </c>
      <c r="B86" s="1">
        <v>425</v>
      </c>
      <c r="C86" s="1">
        <v>24</v>
      </c>
      <c r="D86" s="1" t="s">
        <v>73</v>
      </c>
      <c r="E86" s="1" t="s">
        <v>74</v>
      </c>
      <c r="F86" s="1" t="s">
        <v>75</v>
      </c>
      <c r="G86" s="1" t="s">
        <v>46</v>
      </c>
      <c r="H86" s="1" t="s">
        <v>47</v>
      </c>
      <c r="I86" s="1">
        <v>586</v>
      </c>
      <c r="J86" s="1">
        <v>18129</v>
      </c>
      <c r="K86" s="1">
        <v>1</v>
      </c>
      <c r="L86" s="1">
        <v>23</v>
      </c>
      <c r="M86" s="1">
        <v>1203</v>
      </c>
      <c r="N86" s="1" t="s">
        <v>48</v>
      </c>
      <c r="O86" s="1">
        <v>183748</v>
      </c>
      <c r="P86" s="1">
        <v>88</v>
      </c>
      <c r="Q86" s="1" t="s">
        <v>49</v>
      </c>
      <c r="R86" s="1" t="s">
        <v>50</v>
      </c>
      <c r="S86" s="1">
        <v>0</v>
      </c>
      <c r="T86" s="1">
        <v>0</v>
      </c>
      <c r="U86" s="1">
        <v>288.11500000000001</v>
      </c>
      <c r="V86" s="1">
        <v>27.244</v>
      </c>
      <c r="W86" s="1">
        <v>0.56000000000000005</v>
      </c>
      <c r="X86" s="1">
        <v>0.371</v>
      </c>
      <c r="Y86" s="1">
        <v>27.614999999999998</v>
      </c>
      <c r="Z86" s="1">
        <v>0.15</v>
      </c>
      <c r="AA86" s="1">
        <v>-2.4</v>
      </c>
      <c r="AB86" s="1">
        <v>-2.4</v>
      </c>
      <c r="AC86" s="1">
        <v>-2.4</v>
      </c>
      <c r="AD86" s="1">
        <v>0.371</v>
      </c>
      <c r="AE86" s="1">
        <v>0.15</v>
      </c>
      <c r="AF86" s="1">
        <v>5.6000000000000001E-2</v>
      </c>
      <c r="AG86" s="1">
        <v>-2.4</v>
      </c>
      <c r="AI86" s="1">
        <v>0</v>
      </c>
      <c r="AJ86" s="1">
        <v>0</v>
      </c>
      <c r="AK86" s="1">
        <v>0</v>
      </c>
      <c r="AL86" s="1">
        <v>1</v>
      </c>
      <c r="AM86" s="1">
        <v>86400</v>
      </c>
      <c r="AN86" s="1">
        <v>79004</v>
      </c>
      <c r="AO86" s="1">
        <v>7396</v>
      </c>
      <c r="AP86" s="1">
        <v>43354</v>
      </c>
      <c r="AQ86" s="16">
        <v>17.13936196617848</v>
      </c>
    </row>
    <row r="87" spans="1:43" x14ac:dyDescent="0.45">
      <c r="A87" s="1">
        <v>86</v>
      </c>
      <c r="B87" s="1">
        <v>425</v>
      </c>
      <c r="C87" s="1">
        <v>24</v>
      </c>
      <c r="D87" s="1" t="s">
        <v>73</v>
      </c>
      <c r="E87" s="1" t="s">
        <v>74</v>
      </c>
      <c r="F87" s="1" t="s">
        <v>75</v>
      </c>
      <c r="G87" s="1" t="s">
        <v>46</v>
      </c>
      <c r="H87" s="1" t="s">
        <v>47</v>
      </c>
      <c r="I87" s="1">
        <v>586</v>
      </c>
      <c r="J87" s="1">
        <v>18129</v>
      </c>
      <c r="K87" s="1">
        <v>1</v>
      </c>
      <c r="L87" s="1">
        <v>23</v>
      </c>
      <c r="M87" s="1">
        <v>1204</v>
      </c>
      <c r="N87" s="1" t="s">
        <v>48</v>
      </c>
      <c r="O87" s="1">
        <v>183770</v>
      </c>
      <c r="P87" s="1">
        <v>88</v>
      </c>
      <c r="Q87" s="1" t="s">
        <v>49</v>
      </c>
      <c r="R87" s="1" t="s">
        <v>50</v>
      </c>
      <c r="S87" s="1">
        <v>0</v>
      </c>
      <c r="T87" s="1">
        <v>0</v>
      </c>
      <c r="U87" s="1">
        <v>134.53299999999999</v>
      </c>
      <c r="V87" s="1">
        <v>25.527000000000001</v>
      </c>
      <c r="W87" s="1">
        <v>1.29</v>
      </c>
      <c r="X87" s="1">
        <v>1.7470000000000001</v>
      </c>
      <c r="Y87" s="1">
        <v>27.274999999999999</v>
      </c>
      <c r="Z87" s="1">
        <v>0.121</v>
      </c>
      <c r="AA87" s="1">
        <v>2.8</v>
      </c>
      <c r="AB87" s="1">
        <v>-0.8</v>
      </c>
      <c r="AC87" s="1">
        <v>2.8</v>
      </c>
      <c r="AD87" s="1">
        <v>1.7450000000000001</v>
      </c>
      <c r="AE87" s="1">
        <v>0.121</v>
      </c>
      <c r="AF87" s="1">
        <v>0.21099999999999999</v>
      </c>
      <c r="AG87" s="1">
        <v>2.8</v>
      </c>
      <c r="AI87" s="1">
        <v>0</v>
      </c>
      <c r="AJ87" s="1">
        <v>0</v>
      </c>
      <c r="AK87" s="1">
        <v>0</v>
      </c>
      <c r="AL87" s="1">
        <v>1</v>
      </c>
      <c r="AM87" s="1">
        <v>86400</v>
      </c>
      <c r="AN87" s="1">
        <v>77801</v>
      </c>
      <c r="AO87" s="1">
        <v>8599</v>
      </c>
      <c r="AP87" s="1">
        <v>43752</v>
      </c>
      <c r="AQ87" s="16">
        <v>15.60055264735368</v>
      </c>
    </row>
    <row r="88" spans="1:43" x14ac:dyDescent="0.45">
      <c r="A88" s="1">
        <v>87</v>
      </c>
      <c r="B88" s="1">
        <v>425</v>
      </c>
      <c r="C88" s="1">
        <v>24</v>
      </c>
      <c r="D88" s="1" t="s">
        <v>73</v>
      </c>
      <c r="E88" s="1" t="s">
        <v>74</v>
      </c>
      <c r="F88" s="1" t="s">
        <v>75</v>
      </c>
      <c r="G88" s="1" t="s">
        <v>46</v>
      </c>
      <c r="H88" s="1" t="s">
        <v>47</v>
      </c>
      <c r="I88" s="1">
        <v>586</v>
      </c>
      <c r="J88" s="1">
        <v>18129</v>
      </c>
      <c r="K88" s="1">
        <v>1</v>
      </c>
      <c r="L88" s="1">
        <v>23</v>
      </c>
      <c r="M88" s="1">
        <v>1205</v>
      </c>
      <c r="N88" s="1" t="s">
        <v>48</v>
      </c>
      <c r="O88" s="1">
        <v>183771</v>
      </c>
      <c r="P88" s="1">
        <v>88</v>
      </c>
      <c r="Q88" s="1" t="s">
        <v>49</v>
      </c>
      <c r="R88" s="1" t="s">
        <v>50</v>
      </c>
      <c r="S88" s="1">
        <v>0</v>
      </c>
      <c r="T88" s="1">
        <v>0</v>
      </c>
      <c r="U88" s="1">
        <v>106.956</v>
      </c>
      <c r="V88" s="1">
        <v>27.111999999999998</v>
      </c>
      <c r="W88" s="1">
        <v>0.53</v>
      </c>
      <c r="X88" s="1">
        <v>0.16200000000000001</v>
      </c>
      <c r="Y88" s="1">
        <v>27.273</v>
      </c>
      <c r="Z88" s="1">
        <v>0.17199999999999999</v>
      </c>
      <c r="AA88" s="1">
        <v>-1.2</v>
      </c>
      <c r="AB88" s="1">
        <v>-1.1000000000000001</v>
      </c>
      <c r="AC88" s="1">
        <v>-1.1000000000000001</v>
      </c>
      <c r="AD88" s="1">
        <v>0.16200000000000001</v>
      </c>
      <c r="AE88" s="1">
        <v>0.16500000000000001</v>
      </c>
      <c r="AF88" s="1">
        <v>2.7E-2</v>
      </c>
      <c r="AG88" s="1">
        <v>-1.2</v>
      </c>
      <c r="AI88" s="1">
        <v>0</v>
      </c>
      <c r="AJ88" s="1">
        <v>0</v>
      </c>
      <c r="AK88" s="1">
        <v>0</v>
      </c>
      <c r="AL88" s="1">
        <v>1</v>
      </c>
      <c r="AM88" s="1">
        <v>86400</v>
      </c>
      <c r="AN88" s="1">
        <v>77590</v>
      </c>
      <c r="AO88" s="1">
        <v>8810</v>
      </c>
      <c r="AP88" s="1">
        <v>43720</v>
      </c>
      <c r="AQ88" s="16">
        <v>5.9693195119678606</v>
      </c>
    </row>
    <row r="89" spans="1:43" x14ac:dyDescent="0.45">
      <c r="A89" s="1">
        <v>88</v>
      </c>
      <c r="B89" s="1">
        <v>431</v>
      </c>
      <c r="C89" s="1">
        <v>91</v>
      </c>
      <c r="D89" s="1" t="s">
        <v>79</v>
      </c>
      <c r="E89" s="1" t="s">
        <v>80</v>
      </c>
      <c r="F89" s="1" t="s">
        <v>81</v>
      </c>
      <c r="G89" s="1" t="s">
        <v>54</v>
      </c>
      <c r="H89" s="1" t="s">
        <v>47</v>
      </c>
      <c r="I89" s="1">
        <v>764</v>
      </c>
      <c r="J89" s="1">
        <v>21102</v>
      </c>
      <c r="K89" s="1">
        <v>1</v>
      </c>
      <c r="L89" s="1">
        <v>90</v>
      </c>
      <c r="M89" s="1">
        <v>1212</v>
      </c>
      <c r="N89" s="1" t="s">
        <v>48</v>
      </c>
      <c r="O89" s="1">
        <v>184863</v>
      </c>
      <c r="P89" s="1">
        <v>88</v>
      </c>
      <c r="Q89" s="1" t="s">
        <v>49</v>
      </c>
      <c r="R89" s="1" t="s">
        <v>50</v>
      </c>
      <c r="S89" s="1">
        <v>0</v>
      </c>
      <c r="T89" s="1">
        <v>0</v>
      </c>
      <c r="U89" s="1">
        <v>325.68799999999999</v>
      </c>
      <c r="V89" s="1">
        <v>24.777999999999999</v>
      </c>
      <c r="W89" s="1">
        <v>0.52</v>
      </c>
      <c r="X89" s="1">
        <v>0.154</v>
      </c>
      <c r="Y89" s="1">
        <v>24.931999999999999</v>
      </c>
      <c r="Z89" s="1">
        <v>7.5999999999999998E-2</v>
      </c>
      <c r="AA89" s="1">
        <v>1.5</v>
      </c>
      <c r="AB89" s="1">
        <v>1.5</v>
      </c>
      <c r="AC89" s="1">
        <v>1.5</v>
      </c>
      <c r="AD89" s="1">
        <v>0.154</v>
      </c>
      <c r="AE89" s="1">
        <v>7.5999999999999998E-2</v>
      </c>
      <c r="AF89" s="1">
        <v>1.2E-2</v>
      </c>
      <c r="AG89" s="1">
        <v>1.5</v>
      </c>
      <c r="AI89" s="1">
        <v>0</v>
      </c>
      <c r="AJ89" s="1">
        <v>0</v>
      </c>
      <c r="AK89" s="1">
        <v>0</v>
      </c>
      <c r="AL89" s="1">
        <v>1</v>
      </c>
      <c r="AM89" s="1">
        <v>86400</v>
      </c>
      <c r="AN89" s="1">
        <v>79505</v>
      </c>
      <c r="AO89" s="1">
        <v>6895</v>
      </c>
      <c r="AP89" s="1">
        <v>43806</v>
      </c>
      <c r="AQ89" s="16">
        <v>1.7066617168632481</v>
      </c>
    </row>
    <row r="90" spans="1:43" x14ac:dyDescent="0.45">
      <c r="A90" s="1">
        <v>89</v>
      </c>
      <c r="B90" s="1">
        <v>439</v>
      </c>
      <c r="C90" s="1">
        <v>94</v>
      </c>
      <c r="D90" s="1" t="s">
        <v>82</v>
      </c>
      <c r="E90" s="1" t="s">
        <v>83</v>
      </c>
      <c r="F90" s="1" t="s">
        <v>84</v>
      </c>
      <c r="G90" s="1" t="s">
        <v>46</v>
      </c>
      <c r="H90" s="1" t="s">
        <v>47</v>
      </c>
      <c r="I90" s="1">
        <v>490</v>
      </c>
      <c r="J90" s="1">
        <v>12595</v>
      </c>
      <c r="K90" s="1">
        <v>1</v>
      </c>
      <c r="L90" s="1">
        <v>93</v>
      </c>
      <c r="M90" s="1">
        <v>1218</v>
      </c>
      <c r="N90" s="1" t="s">
        <v>48</v>
      </c>
      <c r="O90" s="1">
        <v>184940</v>
      </c>
      <c r="P90" s="1">
        <v>88</v>
      </c>
      <c r="Q90" s="1" t="s">
        <v>49</v>
      </c>
      <c r="R90" s="1" t="s">
        <v>50</v>
      </c>
      <c r="S90" s="1">
        <v>0</v>
      </c>
      <c r="T90" s="1">
        <v>0</v>
      </c>
      <c r="U90" s="1">
        <v>261.22399999999999</v>
      </c>
      <c r="V90" s="1">
        <v>23.815999999999999</v>
      </c>
      <c r="W90" s="1">
        <v>0.56999999999999995</v>
      </c>
      <c r="X90" s="1">
        <v>0.41299999999999998</v>
      </c>
      <c r="Y90" s="1">
        <v>24.228999999999999</v>
      </c>
      <c r="Z90" s="1">
        <v>0.24</v>
      </c>
      <c r="AA90" s="1">
        <v>-1.9</v>
      </c>
      <c r="AB90" s="1">
        <v>-1.9</v>
      </c>
      <c r="AC90" s="1">
        <v>-1.9</v>
      </c>
      <c r="AD90" s="1">
        <v>0.41299999999999998</v>
      </c>
      <c r="AE90" s="1">
        <v>0.24</v>
      </c>
      <c r="AF90" s="1">
        <v>9.9000000000000005E-2</v>
      </c>
      <c r="AG90" s="1">
        <v>-1.9</v>
      </c>
      <c r="AI90" s="1">
        <v>0</v>
      </c>
      <c r="AJ90" s="1">
        <v>0</v>
      </c>
      <c r="AK90" s="1">
        <v>0</v>
      </c>
      <c r="AL90" s="1">
        <v>1</v>
      </c>
      <c r="AM90" s="1">
        <v>86400</v>
      </c>
      <c r="AN90" s="1">
        <v>80334</v>
      </c>
      <c r="AO90" s="1">
        <v>6066</v>
      </c>
      <c r="AP90" s="1">
        <v>47079</v>
      </c>
      <c r="AQ90" s="16">
        <v>42.510154089918373</v>
      </c>
    </row>
    <row r="91" spans="1:43" x14ac:dyDescent="0.45">
      <c r="A91" s="1">
        <v>90</v>
      </c>
      <c r="B91" s="1">
        <v>439</v>
      </c>
      <c r="C91" s="1">
        <v>94</v>
      </c>
      <c r="D91" s="1" t="s">
        <v>82</v>
      </c>
      <c r="E91" s="1" t="s">
        <v>83</v>
      </c>
      <c r="F91" s="1" t="s">
        <v>84</v>
      </c>
      <c r="G91" s="1" t="s">
        <v>46</v>
      </c>
      <c r="H91" s="1" t="s">
        <v>47</v>
      </c>
      <c r="I91" s="1">
        <v>490</v>
      </c>
      <c r="J91" s="1">
        <v>12595</v>
      </c>
      <c r="K91" s="1">
        <v>1</v>
      </c>
      <c r="L91" s="1">
        <v>93</v>
      </c>
      <c r="M91" s="1">
        <v>1220</v>
      </c>
      <c r="N91" s="1" t="s">
        <v>48</v>
      </c>
      <c r="O91" s="1">
        <v>185010</v>
      </c>
      <c r="P91" s="1">
        <v>88</v>
      </c>
      <c r="Q91" s="1" t="s">
        <v>49</v>
      </c>
      <c r="R91" s="1" t="s">
        <v>50</v>
      </c>
      <c r="S91" s="1">
        <v>0</v>
      </c>
      <c r="T91" s="1">
        <v>0</v>
      </c>
      <c r="U91" s="1">
        <v>53.661000000000001</v>
      </c>
      <c r="V91" s="1">
        <v>23.934999999999999</v>
      </c>
      <c r="W91" s="1">
        <v>0.53</v>
      </c>
      <c r="X91" s="1">
        <v>0.111</v>
      </c>
      <c r="Y91" s="1">
        <v>24.045999999999999</v>
      </c>
      <c r="Z91" s="1">
        <v>0.84899999999999998</v>
      </c>
      <c r="AA91" s="1">
        <v>-2.8</v>
      </c>
      <c r="AB91" s="1">
        <v>-2.8</v>
      </c>
      <c r="AC91" s="1">
        <v>-2.8</v>
      </c>
      <c r="AD91" s="1">
        <v>0.111</v>
      </c>
      <c r="AE91" s="1">
        <v>0.84799999999999998</v>
      </c>
      <c r="AF91" s="1">
        <v>9.4E-2</v>
      </c>
      <c r="AG91" s="1">
        <v>-2.8</v>
      </c>
      <c r="AI91" s="1">
        <v>0</v>
      </c>
      <c r="AJ91" s="1">
        <v>0</v>
      </c>
      <c r="AK91" s="1">
        <v>0</v>
      </c>
      <c r="AL91" s="1">
        <v>1</v>
      </c>
      <c r="AM91" s="1">
        <v>76053</v>
      </c>
      <c r="AN91" s="1">
        <v>57841</v>
      </c>
      <c r="AO91" s="1">
        <v>18210</v>
      </c>
      <c r="AP91" s="1">
        <v>47122</v>
      </c>
      <c r="AQ91" s="16">
        <v>12.012680811710871</v>
      </c>
    </row>
    <row r="92" spans="1:43" x14ac:dyDescent="0.45">
      <c r="A92" s="1">
        <v>91</v>
      </c>
      <c r="B92" s="1">
        <v>439</v>
      </c>
      <c r="C92" s="1">
        <v>94</v>
      </c>
      <c r="D92" s="1" t="s">
        <v>82</v>
      </c>
      <c r="E92" s="1" t="s">
        <v>83</v>
      </c>
      <c r="F92" s="1" t="s">
        <v>84</v>
      </c>
      <c r="G92" s="1" t="s">
        <v>46</v>
      </c>
      <c r="H92" s="1" t="s">
        <v>47</v>
      </c>
      <c r="I92" s="1">
        <v>490</v>
      </c>
      <c r="J92" s="1">
        <v>12595</v>
      </c>
      <c r="K92" s="1">
        <v>1</v>
      </c>
      <c r="L92" s="1">
        <v>93</v>
      </c>
      <c r="M92" s="1">
        <v>1221</v>
      </c>
      <c r="N92" s="1" t="s">
        <v>48</v>
      </c>
      <c r="O92" s="1">
        <v>185014</v>
      </c>
      <c r="P92" s="1">
        <v>88</v>
      </c>
      <c r="Q92" s="1" t="s">
        <v>49</v>
      </c>
      <c r="R92" s="1" t="s">
        <v>50</v>
      </c>
      <c r="S92" s="1">
        <v>0</v>
      </c>
      <c r="T92" s="1">
        <v>0</v>
      </c>
      <c r="U92" s="1">
        <v>475.46899999999999</v>
      </c>
      <c r="V92" s="1">
        <v>23.841000000000001</v>
      </c>
      <c r="W92" s="1">
        <v>0.53</v>
      </c>
      <c r="X92" s="1">
        <v>0.17100000000000001</v>
      </c>
      <c r="Y92" s="1">
        <v>24.012</v>
      </c>
      <c r="Z92" s="1">
        <v>0.17899999999999999</v>
      </c>
      <c r="AA92" s="1">
        <v>-2.6</v>
      </c>
      <c r="AB92" s="1">
        <v>-2.6</v>
      </c>
      <c r="AC92" s="1">
        <v>-2.6</v>
      </c>
      <c r="AD92" s="1">
        <v>0.17100000000000001</v>
      </c>
      <c r="AE92" s="1">
        <v>0.17799999999999999</v>
      </c>
      <c r="AF92" s="1">
        <v>3.1E-2</v>
      </c>
      <c r="AG92" s="1">
        <v>-2.6</v>
      </c>
      <c r="AI92" s="1">
        <v>0</v>
      </c>
      <c r="AJ92" s="1">
        <v>0</v>
      </c>
      <c r="AK92" s="1">
        <v>0</v>
      </c>
      <c r="AL92" s="1">
        <v>1</v>
      </c>
      <c r="AM92" s="1">
        <v>86400</v>
      </c>
      <c r="AN92" s="1">
        <v>77506</v>
      </c>
      <c r="AO92" s="1">
        <v>8894</v>
      </c>
      <c r="AP92" s="1">
        <v>46929</v>
      </c>
      <c r="AQ92" s="16">
        <v>45.30645802650001</v>
      </c>
    </row>
    <row r="93" spans="1:43" x14ac:dyDescent="0.45">
      <c r="A93" s="1">
        <v>92</v>
      </c>
      <c r="B93" s="1">
        <v>439</v>
      </c>
      <c r="C93" s="1">
        <v>94</v>
      </c>
      <c r="D93" s="1" t="s">
        <v>82</v>
      </c>
      <c r="E93" s="1" t="s">
        <v>83</v>
      </c>
      <c r="F93" s="1" t="s">
        <v>84</v>
      </c>
      <c r="G93" s="1" t="s">
        <v>46</v>
      </c>
      <c r="H93" s="1" t="s">
        <v>47</v>
      </c>
      <c r="I93" s="1">
        <v>490</v>
      </c>
      <c r="J93" s="1">
        <v>12595</v>
      </c>
      <c r="K93" s="1">
        <v>1</v>
      </c>
      <c r="L93" s="1">
        <v>93</v>
      </c>
      <c r="M93" s="1">
        <v>1223</v>
      </c>
      <c r="N93" s="1" t="s">
        <v>48</v>
      </c>
      <c r="O93" s="1">
        <v>185061</v>
      </c>
      <c r="P93" s="1">
        <v>88</v>
      </c>
      <c r="Q93" s="1" t="s">
        <v>49</v>
      </c>
      <c r="R93" s="1" t="s">
        <v>50</v>
      </c>
      <c r="S93" s="1">
        <v>0</v>
      </c>
      <c r="T93" s="1">
        <v>0</v>
      </c>
      <c r="U93" s="1">
        <v>504.226</v>
      </c>
      <c r="V93" s="1">
        <v>23.829000000000001</v>
      </c>
      <c r="W93" s="1">
        <v>0.53</v>
      </c>
      <c r="X93" s="1">
        <v>0.18</v>
      </c>
      <c r="Y93" s="1">
        <v>24.009</v>
      </c>
      <c r="Z93" s="1">
        <v>0.249</v>
      </c>
      <c r="AA93" s="1">
        <v>-2.7</v>
      </c>
      <c r="AB93" s="1">
        <v>-2.7</v>
      </c>
      <c r="AC93" s="1">
        <v>-2.7</v>
      </c>
      <c r="AD93" s="1">
        <v>0.18</v>
      </c>
      <c r="AE93" s="1">
        <v>0.248</v>
      </c>
      <c r="AF93" s="1">
        <v>4.4999999999999998E-2</v>
      </c>
      <c r="AG93" s="1">
        <v>-2.7</v>
      </c>
      <c r="AI93" s="1">
        <v>0</v>
      </c>
      <c r="AJ93" s="1">
        <v>0</v>
      </c>
      <c r="AK93" s="1">
        <v>0</v>
      </c>
      <c r="AL93" s="1">
        <v>1</v>
      </c>
      <c r="AM93" s="1">
        <v>86400</v>
      </c>
      <c r="AN93" s="1">
        <v>78069</v>
      </c>
      <c r="AO93" s="1">
        <v>8331</v>
      </c>
      <c r="AP93" s="1">
        <v>47076</v>
      </c>
      <c r="AQ93" s="16">
        <v>0.85267399366333962</v>
      </c>
    </row>
    <row r="94" spans="1:43" x14ac:dyDescent="0.45">
      <c r="A94" s="1">
        <v>93</v>
      </c>
      <c r="B94" s="1">
        <v>439</v>
      </c>
      <c r="C94" s="1">
        <v>94</v>
      </c>
      <c r="D94" s="1" t="s">
        <v>82</v>
      </c>
      <c r="E94" s="1" t="s">
        <v>83</v>
      </c>
      <c r="F94" s="1" t="s">
        <v>84</v>
      </c>
      <c r="G94" s="1" t="s">
        <v>46</v>
      </c>
      <c r="H94" s="1" t="s">
        <v>47</v>
      </c>
      <c r="I94" s="1">
        <v>490</v>
      </c>
      <c r="J94" s="1">
        <v>12595</v>
      </c>
      <c r="K94" s="1">
        <v>1</v>
      </c>
      <c r="L94" s="1">
        <v>93</v>
      </c>
      <c r="M94" s="1">
        <v>1224</v>
      </c>
      <c r="N94" s="1" t="s">
        <v>48</v>
      </c>
      <c r="O94" s="1">
        <v>185062</v>
      </c>
      <c r="P94" s="1">
        <v>88</v>
      </c>
      <c r="Q94" s="1" t="s">
        <v>49</v>
      </c>
      <c r="R94" s="1" t="s">
        <v>50</v>
      </c>
      <c r="S94" s="1">
        <v>0</v>
      </c>
      <c r="T94" s="1">
        <v>0</v>
      </c>
      <c r="U94" s="1">
        <v>817.89</v>
      </c>
      <c r="V94" s="1">
        <v>23.803000000000001</v>
      </c>
      <c r="W94" s="1">
        <v>0.54</v>
      </c>
      <c r="X94" s="1">
        <v>0.20699999999999999</v>
      </c>
      <c r="Y94" s="1">
        <v>24.01</v>
      </c>
      <c r="Z94" s="1">
        <v>0.26</v>
      </c>
      <c r="AA94" s="1">
        <v>-3</v>
      </c>
      <c r="AB94" s="1">
        <v>-3</v>
      </c>
      <c r="AC94" s="1">
        <v>-3</v>
      </c>
      <c r="AD94" s="1">
        <v>0.20699999999999999</v>
      </c>
      <c r="AE94" s="1">
        <v>0.26</v>
      </c>
      <c r="AF94" s="1">
        <v>5.3999999999999999E-2</v>
      </c>
      <c r="AG94" s="1">
        <v>-3</v>
      </c>
      <c r="AI94" s="1">
        <v>0</v>
      </c>
      <c r="AJ94" s="1">
        <v>0</v>
      </c>
      <c r="AK94" s="1">
        <v>0</v>
      </c>
      <c r="AL94" s="1">
        <v>1</v>
      </c>
      <c r="AM94" s="1">
        <v>86400</v>
      </c>
      <c r="AN94" s="1">
        <v>79764</v>
      </c>
      <c r="AO94" s="1">
        <v>6636</v>
      </c>
      <c r="AP94" s="1">
        <v>46951</v>
      </c>
      <c r="AQ94" s="16">
        <v>1.100552351128296</v>
      </c>
    </row>
    <row r="95" spans="1:43" x14ac:dyDescent="0.45">
      <c r="A95" s="1">
        <v>94</v>
      </c>
      <c r="B95" s="1">
        <v>439</v>
      </c>
      <c r="C95" s="1">
        <v>94</v>
      </c>
      <c r="D95" s="1" t="s">
        <v>82</v>
      </c>
      <c r="E95" s="1" t="s">
        <v>83</v>
      </c>
      <c r="F95" s="1" t="s">
        <v>84</v>
      </c>
      <c r="G95" s="1" t="s">
        <v>46</v>
      </c>
      <c r="H95" s="1" t="s">
        <v>47</v>
      </c>
      <c r="I95" s="1">
        <v>490</v>
      </c>
      <c r="J95" s="1">
        <v>12595</v>
      </c>
      <c r="K95" s="1">
        <v>1</v>
      </c>
      <c r="L95" s="1">
        <v>93</v>
      </c>
      <c r="M95" s="1">
        <v>1225</v>
      </c>
      <c r="N95" s="1" t="s">
        <v>48</v>
      </c>
      <c r="O95" s="1">
        <v>185063</v>
      </c>
      <c r="P95" s="1">
        <v>88</v>
      </c>
      <c r="Q95" s="1" t="s">
        <v>49</v>
      </c>
      <c r="R95" s="1" t="s">
        <v>50</v>
      </c>
      <c r="S95" s="1">
        <v>0</v>
      </c>
      <c r="T95" s="1">
        <v>0</v>
      </c>
      <c r="U95" s="1">
        <v>330.41199999999998</v>
      </c>
      <c r="V95" s="1">
        <v>23.858000000000001</v>
      </c>
      <c r="W95" s="1">
        <v>0.53</v>
      </c>
      <c r="X95" s="1">
        <v>0.154</v>
      </c>
      <c r="Y95" s="1">
        <v>24.010999999999999</v>
      </c>
      <c r="Z95" s="1">
        <v>0.31900000000000001</v>
      </c>
      <c r="AA95" s="1">
        <v>-3</v>
      </c>
      <c r="AB95" s="1">
        <v>-3</v>
      </c>
      <c r="AC95" s="1">
        <v>-3</v>
      </c>
      <c r="AD95" s="1">
        <v>0.154</v>
      </c>
      <c r="AE95" s="1">
        <v>0.31900000000000001</v>
      </c>
      <c r="AF95" s="1">
        <v>4.9000000000000002E-2</v>
      </c>
      <c r="AG95" s="1">
        <v>-3</v>
      </c>
      <c r="AI95" s="1">
        <v>0</v>
      </c>
      <c r="AJ95" s="1">
        <v>0</v>
      </c>
      <c r="AK95" s="1">
        <v>0</v>
      </c>
      <c r="AL95" s="1">
        <v>1</v>
      </c>
      <c r="AM95" s="1">
        <v>86400</v>
      </c>
      <c r="AN95" s="1">
        <v>76563</v>
      </c>
      <c r="AO95" s="1">
        <v>9837</v>
      </c>
      <c r="AP95" s="1">
        <v>47070</v>
      </c>
      <c r="AQ95" s="16">
        <v>25.41992129785066</v>
      </c>
    </row>
    <row r="96" spans="1:43" x14ac:dyDescent="0.45">
      <c r="A96" s="1">
        <v>95</v>
      </c>
      <c r="B96" s="1">
        <v>439</v>
      </c>
      <c r="C96" s="1">
        <v>94</v>
      </c>
      <c r="D96" s="1" t="s">
        <v>82</v>
      </c>
      <c r="E96" s="1" t="s">
        <v>83</v>
      </c>
      <c r="F96" s="1" t="s">
        <v>84</v>
      </c>
      <c r="G96" s="1" t="s">
        <v>46</v>
      </c>
      <c r="H96" s="1" t="s">
        <v>47</v>
      </c>
      <c r="I96" s="1">
        <v>490</v>
      </c>
      <c r="J96" s="1">
        <v>12595</v>
      </c>
      <c r="K96" s="1">
        <v>1</v>
      </c>
      <c r="L96" s="1">
        <v>93</v>
      </c>
      <c r="M96" s="1">
        <v>1226</v>
      </c>
      <c r="N96" s="1" t="s">
        <v>48</v>
      </c>
      <c r="O96" s="1">
        <v>185064</v>
      </c>
      <c r="P96" s="1">
        <v>88</v>
      </c>
      <c r="Q96" s="1" t="s">
        <v>49</v>
      </c>
      <c r="R96" s="1" t="s">
        <v>50</v>
      </c>
      <c r="S96" s="1">
        <v>0</v>
      </c>
      <c r="T96" s="1">
        <v>0</v>
      </c>
      <c r="U96" s="1">
        <v>177.54</v>
      </c>
      <c r="V96" s="1">
        <v>23.756</v>
      </c>
      <c r="W96" s="1">
        <v>0.55000000000000004</v>
      </c>
      <c r="X96" s="1">
        <v>0.248</v>
      </c>
      <c r="Y96" s="1">
        <v>24.004000000000001</v>
      </c>
      <c r="Z96" s="1">
        <v>0.49399999999999999</v>
      </c>
      <c r="AA96" s="1">
        <v>-2.9</v>
      </c>
      <c r="AB96" s="1">
        <v>-2.9</v>
      </c>
      <c r="AC96" s="1">
        <v>-2.9</v>
      </c>
      <c r="AD96" s="1">
        <v>0.248</v>
      </c>
      <c r="AE96" s="1">
        <v>0.49399999999999999</v>
      </c>
      <c r="AF96" s="1">
        <v>0.122</v>
      </c>
      <c r="AG96" s="1">
        <v>-2.9</v>
      </c>
      <c r="AI96" s="1">
        <v>0</v>
      </c>
      <c r="AJ96" s="1">
        <v>0</v>
      </c>
      <c r="AK96" s="1">
        <v>0</v>
      </c>
      <c r="AL96" s="1">
        <v>1</v>
      </c>
      <c r="AM96" s="1">
        <v>86400</v>
      </c>
      <c r="AN96" s="1">
        <v>79935</v>
      </c>
      <c r="AO96" s="1">
        <v>6465</v>
      </c>
      <c r="AP96" s="1">
        <v>47370</v>
      </c>
      <c r="AQ96" s="16">
        <v>1.259733542848309</v>
      </c>
    </row>
    <row r="97" spans="1:43" x14ac:dyDescent="0.45">
      <c r="A97" s="1">
        <v>96</v>
      </c>
      <c r="B97" s="1">
        <v>439</v>
      </c>
      <c r="C97" s="1">
        <v>94</v>
      </c>
      <c r="D97" s="1" t="s">
        <v>82</v>
      </c>
      <c r="E97" s="1" t="s">
        <v>83</v>
      </c>
      <c r="F97" s="1" t="s">
        <v>84</v>
      </c>
      <c r="G97" s="1" t="s">
        <v>46</v>
      </c>
      <c r="H97" s="1" t="s">
        <v>47</v>
      </c>
      <c r="I97" s="1">
        <v>490</v>
      </c>
      <c r="J97" s="1">
        <v>12595</v>
      </c>
      <c r="K97" s="1">
        <v>1</v>
      </c>
      <c r="L97" s="1">
        <v>93</v>
      </c>
      <c r="M97" s="1">
        <v>1228</v>
      </c>
      <c r="N97" s="1" t="s">
        <v>48</v>
      </c>
      <c r="O97" s="1">
        <v>185078</v>
      </c>
      <c r="P97" s="1">
        <v>88</v>
      </c>
      <c r="Q97" s="1" t="s">
        <v>49</v>
      </c>
      <c r="R97" s="1" t="s">
        <v>50</v>
      </c>
      <c r="S97" s="1">
        <v>0</v>
      </c>
      <c r="T97" s="1">
        <v>0</v>
      </c>
      <c r="U97" s="1">
        <v>88.46</v>
      </c>
      <c r="V97" s="1">
        <v>24.093</v>
      </c>
      <c r="W97" s="1">
        <v>0.53</v>
      </c>
      <c r="X97" s="1">
        <v>0.11899999999999999</v>
      </c>
      <c r="Y97" s="1">
        <v>24.212</v>
      </c>
      <c r="Z97" s="1">
        <v>0.82199999999999995</v>
      </c>
      <c r="AA97" s="1">
        <v>-3</v>
      </c>
      <c r="AB97" s="1">
        <v>-3</v>
      </c>
      <c r="AC97" s="1">
        <v>-3</v>
      </c>
      <c r="AD97" s="1">
        <v>0.11899999999999999</v>
      </c>
      <c r="AE97" s="1">
        <v>0.82099999999999995</v>
      </c>
      <c r="AF97" s="1">
        <v>9.8000000000000004E-2</v>
      </c>
      <c r="AG97" s="1">
        <v>-3</v>
      </c>
      <c r="AI97" s="1">
        <v>0</v>
      </c>
      <c r="AJ97" s="1">
        <v>0</v>
      </c>
      <c r="AK97" s="1">
        <v>0</v>
      </c>
      <c r="AL97" s="1">
        <v>1</v>
      </c>
      <c r="AM97" s="1">
        <v>61712</v>
      </c>
      <c r="AN97" s="1">
        <v>29120</v>
      </c>
      <c r="AO97" s="1">
        <v>32591</v>
      </c>
      <c r="AP97" s="1">
        <v>46960</v>
      </c>
      <c r="AQ97" s="16">
        <v>13.972522456240981</v>
      </c>
    </row>
    <row r="98" spans="1:43" x14ac:dyDescent="0.45">
      <c r="A98" s="1">
        <v>97</v>
      </c>
      <c r="B98" s="1">
        <v>439</v>
      </c>
      <c r="C98" s="1">
        <v>94</v>
      </c>
      <c r="D98" s="1" t="s">
        <v>82</v>
      </c>
      <c r="E98" s="1" t="s">
        <v>83</v>
      </c>
      <c r="F98" s="1" t="s">
        <v>84</v>
      </c>
      <c r="G98" s="1" t="s">
        <v>46</v>
      </c>
      <c r="H98" s="1" t="s">
        <v>47</v>
      </c>
      <c r="I98" s="1">
        <v>490</v>
      </c>
      <c r="J98" s="1">
        <v>12595</v>
      </c>
      <c r="K98" s="1">
        <v>1</v>
      </c>
      <c r="L98" s="1">
        <v>93</v>
      </c>
      <c r="M98" s="1">
        <v>1229</v>
      </c>
      <c r="N98" s="1" t="s">
        <v>48</v>
      </c>
      <c r="O98" s="1">
        <v>185085</v>
      </c>
      <c r="P98" s="1">
        <v>88</v>
      </c>
      <c r="Q98" s="1" t="s">
        <v>49</v>
      </c>
      <c r="R98" s="1" t="s">
        <v>50</v>
      </c>
      <c r="S98" s="1">
        <v>0</v>
      </c>
      <c r="T98" s="1">
        <v>0</v>
      </c>
      <c r="U98" s="1">
        <v>144.268</v>
      </c>
      <c r="V98" s="1">
        <v>24.087</v>
      </c>
      <c r="W98" s="1">
        <v>0.52</v>
      </c>
      <c r="X98" s="1">
        <v>0.14199999999999999</v>
      </c>
      <c r="Y98" s="1">
        <v>24.228999999999999</v>
      </c>
      <c r="Z98" s="1">
        <v>0.183</v>
      </c>
      <c r="AA98" s="1">
        <v>-0.7</v>
      </c>
      <c r="AB98" s="1">
        <v>-0.8</v>
      </c>
      <c r="AC98" s="1">
        <v>-0.8</v>
      </c>
      <c r="AD98" s="1">
        <v>0.14199999999999999</v>
      </c>
      <c r="AE98" s="1">
        <v>0.17699999999999999</v>
      </c>
      <c r="AF98" s="1">
        <v>2.5000000000000001E-2</v>
      </c>
      <c r="AG98" s="1">
        <v>-0.7</v>
      </c>
      <c r="AI98" s="1">
        <v>0</v>
      </c>
      <c r="AJ98" s="1">
        <v>0</v>
      </c>
      <c r="AK98" s="1">
        <v>0</v>
      </c>
      <c r="AL98" s="1">
        <v>1</v>
      </c>
      <c r="AM98" s="1">
        <v>86400</v>
      </c>
      <c r="AN98" s="1">
        <v>74618</v>
      </c>
      <c r="AO98" s="1">
        <v>11782</v>
      </c>
      <c r="AP98" s="1">
        <v>46844</v>
      </c>
      <c r="AQ98" s="16">
        <v>20.343411932456</v>
      </c>
    </row>
    <row r="99" spans="1:43" x14ac:dyDescent="0.45">
      <c r="A99" s="1">
        <v>98</v>
      </c>
      <c r="B99" s="1">
        <v>439</v>
      </c>
      <c r="C99" s="1">
        <v>94</v>
      </c>
      <c r="D99" s="1" t="s">
        <v>82</v>
      </c>
      <c r="E99" s="1" t="s">
        <v>83</v>
      </c>
      <c r="F99" s="1" t="s">
        <v>84</v>
      </c>
      <c r="G99" s="1" t="s">
        <v>46</v>
      </c>
      <c r="H99" s="1" t="s">
        <v>47</v>
      </c>
      <c r="I99" s="1">
        <v>490</v>
      </c>
      <c r="J99" s="1">
        <v>12595</v>
      </c>
      <c r="K99" s="1">
        <v>1</v>
      </c>
      <c r="L99" s="1">
        <v>93</v>
      </c>
      <c r="M99" s="1">
        <v>1230</v>
      </c>
      <c r="N99" s="1" t="s">
        <v>48</v>
      </c>
      <c r="O99" s="1">
        <v>185086</v>
      </c>
      <c r="P99" s="1">
        <v>88</v>
      </c>
      <c r="Q99" s="1" t="s">
        <v>49</v>
      </c>
      <c r="R99" s="1" t="s">
        <v>50</v>
      </c>
      <c r="S99" s="1">
        <v>0</v>
      </c>
      <c r="T99" s="1">
        <v>0</v>
      </c>
      <c r="U99" s="1">
        <v>153.83099999999999</v>
      </c>
      <c r="V99" s="1">
        <v>24.013000000000002</v>
      </c>
      <c r="W99" s="1">
        <v>0.53</v>
      </c>
      <c r="X99" s="1">
        <v>0.215</v>
      </c>
      <c r="Y99" s="1">
        <v>24.228999999999999</v>
      </c>
      <c r="Z99" s="1">
        <v>9.9000000000000005E-2</v>
      </c>
      <c r="AA99" s="1">
        <v>-1.5</v>
      </c>
      <c r="AB99" s="1">
        <v>-1.5</v>
      </c>
      <c r="AC99" s="1">
        <v>-1.5</v>
      </c>
      <c r="AD99" s="1">
        <v>0.215</v>
      </c>
      <c r="AE99" s="1">
        <v>9.9000000000000005E-2</v>
      </c>
      <c r="AF99" s="1">
        <v>2.1000000000000001E-2</v>
      </c>
      <c r="AG99" s="1">
        <v>-1.5</v>
      </c>
      <c r="AI99" s="1">
        <v>0</v>
      </c>
      <c r="AJ99" s="1">
        <v>0</v>
      </c>
      <c r="AK99" s="1">
        <v>0</v>
      </c>
      <c r="AL99" s="1">
        <v>1</v>
      </c>
      <c r="AM99" s="1">
        <v>86400</v>
      </c>
      <c r="AN99" s="1">
        <v>76938</v>
      </c>
      <c r="AO99" s="1">
        <v>9462</v>
      </c>
      <c r="AP99" s="1">
        <v>47326</v>
      </c>
      <c r="AQ99" s="16">
        <v>1.639109390592568</v>
      </c>
    </row>
    <row r="100" spans="1:43" x14ac:dyDescent="0.45">
      <c r="A100" s="1">
        <v>99</v>
      </c>
      <c r="B100" s="1">
        <v>446</v>
      </c>
      <c r="C100" s="1">
        <v>97</v>
      </c>
      <c r="D100" s="1" t="s">
        <v>85</v>
      </c>
      <c r="E100" s="1" t="s">
        <v>86</v>
      </c>
      <c r="F100" s="1" t="s">
        <v>87</v>
      </c>
      <c r="G100" s="1" t="s">
        <v>46</v>
      </c>
      <c r="H100" s="1" t="s">
        <v>47</v>
      </c>
      <c r="I100" s="1">
        <v>1089</v>
      </c>
      <c r="J100" s="1">
        <v>26566</v>
      </c>
      <c r="K100" s="1">
        <v>1</v>
      </c>
      <c r="L100" s="1">
        <v>96</v>
      </c>
      <c r="M100" s="1">
        <v>1212</v>
      </c>
      <c r="N100" s="1" t="s">
        <v>48</v>
      </c>
      <c r="O100" s="1">
        <v>184863</v>
      </c>
      <c r="P100" s="1">
        <v>88</v>
      </c>
      <c r="Q100" s="1" t="s">
        <v>49</v>
      </c>
      <c r="R100" s="1" t="s">
        <v>50</v>
      </c>
      <c r="S100" s="1">
        <v>0</v>
      </c>
      <c r="T100" s="1">
        <v>0</v>
      </c>
      <c r="U100" s="1">
        <v>325.68799999999999</v>
      </c>
      <c r="V100" s="1">
        <v>24.777999999999999</v>
      </c>
      <c r="W100" s="1">
        <v>0.52</v>
      </c>
      <c r="X100" s="1">
        <v>0.154</v>
      </c>
      <c r="Y100" s="1">
        <v>24.931999999999999</v>
      </c>
      <c r="Z100" s="1">
        <v>7.5999999999999998E-2</v>
      </c>
      <c r="AA100" s="1">
        <v>1.5</v>
      </c>
      <c r="AB100" s="1">
        <v>1.5</v>
      </c>
      <c r="AC100" s="1">
        <v>1.5</v>
      </c>
      <c r="AD100" s="1">
        <v>0.154</v>
      </c>
      <c r="AE100" s="1">
        <v>7.5999999999999998E-2</v>
      </c>
      <c r="AF100" s="1">
        <v>1.2E-2</v>
      </c>
      <c r="AG100" s="1">
        <v>1.5</v>
      </c>
      <c r="AI100" s="1">
        <v>0</v>
      </c>
      <c r="AJ100" s="1">
        <v>0</v>
      </c>
      <c r="AK100" s="1">
        <v>0</v>
      </c>
      <c r="AL100" s="1">
        <v>1</v>
      </c>
      <c r="AM100" s="1">
        <v>86400</v>
      </c>
      <c r="AN100" s="1">
        <v>79505</v>
      </c>
      <c r="AO100" s="1">
        <v>6895</v>
      </c>
      <c r="AP100" s="1">
        <v>43806</v>
      </c>
      <c r="AQ100" s="16">
        <v>15.74861294678051</v>
      </c>
    </row>
    <row r="101" spans="1:43" x14ac:dyDescent="0.45">
      <c r="A101" s="1">
        <v>100</v>
      </c>
      <c r="B101" s="1">
        <v>446</v>
      </c>
      <c r="C101" s="1">
        <v>97</v>
      </c>
      <c r="D101" s="1" t="s">
        <v>85</v>
      </c>
      <c r="E101" s="1" t="s">
        <v>86</v>
      </c>
      <c r="F101" s="1" t="s">
        <v>87</v>
      </c>
      <c r="G101" s="1" t="s">
        <v>46</v>
      </c>
      <c r="H101" s="1" t="s">
        <v>47</v>
      </c>
      <c r="I101" s="1">
        <v>1089</v>
      </c>
      <c r="J101" s="1">
        <v>26566</v>
      </c>
      <c r="K101" s="1">
        <v>1</v>
      </c>
      <c r="L101" s="1">
        <v>96</v>
      </c>
      <c r="M101" s="1">
        <v>1213</v>
      </c>
      <c r="N101" s="1" t="s">
        <v>48</v>
      </c>
      <c r="O101" s="1">
        <v>184866</v>
      </c>
      <c r="P101" s="1">
        <v>88</v>
      </c>
      <c r="Q101" s="1" t="s">
        <v>49</v>
      </c>
      <c r="R101" s="1" t="s">
        <v>50</v>
      </c>
      <c r="S101" s="1">
        <v>0</v>
      </c>
      <c r="T101" s="1">
        <v>0</v>
      </c>
      <c r="U101" s="1">
        <v>867.36900000000003</v>
      </c>
      <c r="V101" s="1">
        <v>24.741</v>
      </c>
      <c r="W101" s="1">
        <v>0.53</v>
      </c>
      <c r="X101" s="1">
        <v>0.191</v>
      </c>
      <c r="Y101" s="1">
        <v>24.931999999999999</v>
      </c>
      <c r="Z101" s="1">
        <v>0.11799999999999999</v>
      </c>
      <c r="AA101" s="1">
        <v>2.8</v>
      </c>
      <c r="AB101" s="1">
        <v>2.8</v>
      </c>
      <c r="AC101" s="1">
        <v>2.8</v>
      </c>
      <c r="AD101" s="1">
        <v>0.191</v>
      </c>
      <c r="AE101" s="1">
        <v>0.11799999999999999</v>
      </c>
      <c r="AF101" s="1">
        <v>2.3E-2</v>
      </c>
      <c r="AG101" s="1">
        <v>2.8</v>
      </c>
      <c r="AI101" s="1">
        <v>0</v>
      </c>
      <c r="AJ101" s="1">
        <v>0</v>
      </c>
      <c r="AK101" s="1">
        <v>0</v>
      </c>
      <c r="AL101" s="1">
        <v>1</v>
      </c>
      <c r="AM101" s="1">
        <v>86400</v>
      </c>
      <c r="AN101" s="1">
        <v>68978</v>
      </c>
      <c r="AO101" s="1">
        <v>17422</v>
      </c>
      <c r="AP101" s="1">
        <v>43625</v>
      </c>
      <c r="AQ101" s="16">
        <v>1.37213259683311</v>
      </c>
    </row>
    <row r="102" spans="1:43" x14ac:dyDescent="0.45">
      <c r="A102" s="1">
        <v>101</v>
      </c>
      <c r="B102" s="1">
        <v>446</v>
      </c>
      <c r="C102" s="1">
        <v>97</v>
      </c>
      <c r="D102" s="1" t="s">
        <v>85</v>
      </c>
      <c r="E102" s="1" t="s">
        <v>86</v>
      </c>
      <c r="F102" s="1" t="s">
        <v>87</v>
      </c>
      <c r="G102" s="1" t="s">
        <v>46</v>
      </c>
      <c r="H102" s="1" t="s">
        <v>47</v>
      </c>
      <c r="I102" s="1">
        <v>1089</v>
      </c>
      <c r="J102" s="1">
        <v>26566</v>
      </c>
      <c r="K102" s="1">
        <v>1</v>
      </c>
      <c r="L102" s="1">
        <v>96</v>
      </c>
      <c r="M102" s="1">
        <v>1214</v>
      </c>
      <c r="N102" s="1" t="s">
        <v>48</v>
      </c>
      <c r="O102" s="1">
        <v>184873</v>
      </c>
      <c r="P102" s="1">
        <v>88</v>
      </c>
      <c r="Q102" s="1" t="s">
        <v>49</v>
      </c>
      <c r="R102" s="1" t="s">
        <v>50</v>
      </c>
      <c r="S102" s="1">
        <v>0</v>
      </c>
      <c r="T102" s="1">
        <v>0</v>
      </c>
      <c r="U102" s="1">
        <v>89.039000000000001</v>
      </c>
      <c r="V102" s="1">
        <v>24.5</v>
      </c>
      <c r="W102" s="1">
        <v>0.56999999999999995</v>
      </c>
      <c r="X102" s="1">
        <v>0.432</v>
      </c>
      <c r="Y102" s="1">
        <v>24.931999999999999</v>
      </c>
      <c r="Z102" s="1">
        <v>3.3000000000000002E-2</v>
      </c>
      <c r="AA102" s="1">
        <v>-0.9</v>
      </c>
      <c r="AB102" s="1">
        <v>-1.6</v>
      </c>
      <c r="AC102" s="1">
        <v>-1.6</v>
      </c>
      <c r="AD102" s="1">
        <v>0.432</v>
      </c>
      <c r="AE102" s="1">
        <v>1.0999999999999999E-2</v>
      </c>
      <c r="AF102" s="1">
        <v>1.2999999999999999E-2</v>
      </c>
      <c r="AG102" s="1">
        <v>-0.9</v>
      </c>
      <c r="AI102" s="1">
        <v>0</v>
      </c>
      <c r="AJ102" s="1">
        <v>0</v>
      </c>
      <c r="AK102" s="1">
        <v>0</v>
      </c>
      <c r="AL102" s="1">
        <v>1</v>
      </c>
      <c r="AM102" s="1">
        <v>86400</v>
      </c>
      <c r="AN102" s="1">
        <v>78175</v>
      </c>
      <c r="AO102" s="1">
        <v>8225</v>
      </c>
      <c r="AP102" s="1">
        <v>46811</v>
      </c>
      <c r="AQ102" s="16">
        <v>23.23517241928969</v>
      </c>
    </row>
    <row r="103" spans="1:43" x14ac:dyDescent="0.45">
      <c r="A103" s="1">
        <v>102</v>
      </c>
      <c r="B103" s="1">
        <v>446</v>
      </c>
      <c r="C103" s="1">
        <v>97</v>
      </c>
      <c r="D103" s="1" t="s">
        <v>85</v>
      </c>
      <c r="E103" s="1" t="s">
        <v>86</v>
      </c>
      <c r="F103" s="1" t="s">
        <v>87</v>
      </c>
      <c r="G103" s="1" t="s">
        <v>46</v>
      </c>
      <c r="H103" s="1" t="s">
        <v>47</v>
      </c>
      <c r="I103" s="1">
        <v>1089</v>
      </c>
      <c r="J103" s="1">
        <v>26566</v>
      </c>
      <c r="K103" s="1">
        <v>1</v>
      </c>
      <c r="L103" s="1">
        <v>96</v>
      </c>
      <c r="M103" s="1">
        <v>1215</v>
      </c>
      <c r="N103" s="1" t="s">
        <v>48</v>
      </c>
      <c r="O103" s="1">
        <v>184874</v>
      </c>
      <c r="P103" s="1">
        <v>88</v>
      </c>
      <c r="Q103" s="1" t="s">
        <v>49</v>
      </c>
      <c r="R103" s="1" t="s">
        <v>50</v>
      </c>
      <c r="S103" s="1">
        <v>0</v>
      </c>
      <c r="T103" s="1">
        <v>0</v>
      </c>
      <c r="U103" s="1">
        <v>429.66300000000001</v>
      </c>
      <c r="V103" s="1">
        <v>24.591999999999999</v>
      </c>
      <c r="W103" s="1">
        <v>0.55000000000000004</v>
      </c>
      <c r="X103" s="1">
        <v>0.34</v>
      </c>
      <c r="Y103" s="1">
        <v>24.931999999999999</v>
      </c>
      <c r="Z103" s="1">
        <v>4.4999999999999998E-2</v>
      </c>
      <c r="AA103" s="1">
        <v>-2.6</v>
      </c>
      <c r="AB103" s="1">
        <v>-2.6</v>
      </c>
      <c r="AC103" s="1">
        <v>-2.6</v>
      </c>
      <c r="AD103" s="1">
        <v>0.34</v>
      </c>
      <c r="AE103" s="1">
        <v>4.4999999999999998E-2</v>
      </c>
      <c r="AF103" s="1">
        <v>1.4999999999999999E-2</v>
      </c>
      <c r="AG103" s="1">
        <v>-2.6</v>
      </c>
      <c r="AI103" s="1">
        <v>0</v>
      </c>
      <c r="AJ103" s="1">
        <v>0</v>
      </c>
      <c r="AK103" s="1">
        <v>0</v>
      </c>
      <c r="AL103" s="1">
        <v>1</v>
      </c>
      <c r="AM103" s="1">
        <v>86400</v>
      </c>
      <c r="AN103" s="1">
        <v>75419</v>
      </c>
      <c r="AO103" s="1">
        <v>10981</v>
      </c>
      <c r="AP103" s="1">
        <v>46974</v>
      </c>
      <c r="AQ103" s="16">
        <v>36.228889069663921</v>
      </c>
    </row>
    <row r="104" spans="1:43" x14ac:dyDescent="0.45">
      <c r="A104" s="1">
        <v>103</v>
      </c>
      <c r="B104" s="1">
        <v>446</v>
      </c>
      <c r="C104" s="1">
        <v>97</v>
      </c>
      <c r="D104" s="1" t="s">
        <v>85</v>
      </c>
      <c r="E104" s="1" t="s">
        <v>86</v>
      </c>
      <c r="F104" s="1" t="s">
        <v>87</v>
      </c>
      <c r="G104" s="1" t="s">
        <v>46</v>
      </c>
      <c r="H104" s="1" t="s">
        <v>47</v>
      </c>
      <c r="I104" s="1">
        <v>1089</v>
      </c>
      <c r="J104" s="1">
        <v>26566</v>
      </c>
      <c r="K104" s="1">
        <v>1</v>
      </c>
      <c r="L104" s="1">
        <v>96</v>
      </c>
      <c r="M104" s="1">
        <v>1216</v>
      </c>
      <c r="N104" s="1" t="s">
        <v>48</v>
      </c>
      <c r="O104" s="1">
        <v>184875</v>
      </c>
      <c r="P104" s="1">
        <v>88</v>
      </c>
      <c r="Q104" s="1" t="s">
        <v>49</v>
      </c>
      <c r="R104" s="1" t="s">
        <v>50</v>
      </c>
      <c r="S104" s="1">
        <v>0</v>
      </c>
      <c r="T104" s="1">
        <v>0</v>
      </c>
      <c r="U104" s="1">
        <v>213.364</v>
      </c>
      <c r="V104" s="1">
        <v>24.367999999999999</v>
      </c>
      <c r="W104" s="1">
        <v>0.59</v>
      </c>
      <c r="X104" s="1">
        <v>0.56499999999999995</v>
      </c>
      <c r="Y104" s="1">
        <v>24.931999999999999</v>
      </c>
      <c r="Z104" s="1">
        <v>0.03</v>
      </c>
      <c r="AA104" s="1">
        <v>-0.9</v>
      </c>
      <c r="AB104" s="1">
        <v>2.7</v>
      </c>
      <c r="AC104" s="1">
        <v>2.7</v>
      </c>
      <c r="AD104" s="1">
        <v>0.56499999999999995</v>
      </c>
      <c r="AE104" s="1">
        <v>2.3E-2</v>
      </c>
      <c r="AF104" s="1">
        <v>1.2999999999999999E-2</v>
      </c>
      <c r="AG104" s="1">
        <v>-0.9</v>
      </c>
      <c r="AI104" s="1">
        <v>0</v>
      </c>
      <c r="AJ104" s="1">
        <v>0</v>
      </c>
      <c r="AK104" s="1">
        <v>0</v>
      </c>
      <c r="AL104" s="1">
        <v>1</v>
      </c>
      <c r="AM104" s="1">
        <v>86400</v>
      </c>
      <c r="AN104" s="1">
        <v>80467</v>
      </c>
      <c r="AO104" s="1">
        <v>5933</v>
      </c>
      <c r="AP104" s="1">
        <v>43702</v>
      </c>
      <c r="AQ104" s="16">
        <v>2.3289428131713419</v>
      </c>
    </row>
    <row r="105" spans="1:43" x14ac:dyDescent="0.45">
      <c r="A105" s="1">
        <v>104</v>
      </c>
      <c r="B105" s="1">
        <v>446</v>
      </c>
      <c r="C105" s="1">
        <v>97</v>
      </c>
      <c r="D105" s="1" t="s">
        <v>85</v>
      </c>
      <c r="E105" s="1" t="s">
        <v>86</v>
      </c>
      <c r="F105" s="1" t="s">
        <v>87</v>
      </c>
      <c r="G105" s="1" t="s">
        <v>46</v>
      </c>
      <c r="H105" s="1" t="s">
        <v>47</v>
      </c>
      <c r="I105" s="1">
        <v>1089</v>
      </c>
      <c r="J105" s="1">
        <v>26566</v>
      </c>
      <c r="K105" s="1">
        <v>1</v>
      </c>
      <c r="L105" s="1">
        <v>96</v>
      </c>
      <c r="M105" s="1">
        <v>1217</v>
      </c>
      <c r="N105" s="1" t="s">
        <v>48</v>
      </c>
      <c r="O105" s="1">
        <v>184876</v>
      </c>
      <c r="P105" s="1">
        <v>88</v>
      </c>
      <c r="Q105" s="1" t="s">
        <v>49</v>
      </c>
      <c r="R105" s="1" t="s">
        <v>50</v>
      </c>
      <c r="S105" s="1">
        <v>0</v>
      </c>
      <c r="T105" s="1">
        <v>0</v>
      </c>
      <c r="U105" s="1">
        <v>217.46</v>
      </c>
      <c r="V105" s="1">
        <v>24.515000000000001</v>
      </c>
      <c r="W105" s="1">
        <v>0.56999999999999995</v>
      </c>
      <c r="X105" s="1">
        <v>0.41699999999999998</v>
      </c>
      <c r="Y105" s="1">
        <v>24.931999999999999</v>
      </c>
      <c r="Z105" s="1">
        <v>0.04</v>
      </c>
      <c r="AA105" s="1">
        <v>0.7</v>
      </c>
      <c r="AB105" s="1">
        <v>0.7</v>
      </c>
      <c r="AC105" s="1">
        <v>0.7</v>
      </c>
      <c r="AD105" s="1">
        <v>0.41699999999999998</v>
      </c>
      <c r="AE105" s="1">
        <v>3.9E-2</v>
      </c>
      <c r="AF105" s="1">
        <v>1.7000000000000001E-2</v>
      </c>
      <c r="AG105" s="1">
        <v>0.7</v>
      </c>
      <c r="AI105" s="1">
        <v>0</v>
      </c>
      <c r="AJ105" s="1">
        <v>0</v>
      </c>
      <c r="AK105" s="1">
        <v>0</v>
      </c>
      <c r="AL105" s="1">
        <v>1</v>
      </c>
      <c r="AM105" s="1">
        <v>86400</v>
      </c>
      <c r="AN105" s="1">
        <v>77722</v>
      </c>
      <c r="AO105" s="1">
        <v>8678</v>
      </c>
      <c r="AP105" s="1">
        <v>43708</v>
      </c>
      <c r="AQ105" s="16">
        <v>19.045530927795099</v>
      </c>
    </row>
    <row r="106" spans="1:43" x14ac:dyDescent="0.45">
      <c r="A106" s="1">
        <v>105</v>
      </c>
      <c r="B106" s="1">
        <v>446</v>
      </c>
      <c r="C106" s="1">
        <v>97</v>
      </c>
      <c r="D106" s="1" t="s">
        <v>85</v>
      </c>
      <c r="E106" s="1" t="s">
        <v>86</v>
      </c>
      <c r="F106" s="1" t="s">
        <v>87</v>
      </c>
      <c r="G106" s="1" t="s">
        <v>46</v>
      </c>
      <c r="H106" s="1" t="s">
        <v>47</v>
      </c>
      <c r="I106" s="1">
        <v>1089</v>
      </c>
      <c r="J106" s="1">
        <v>26566</v>
      </c>
      <c r="K106" s="1">
        <v>1</v>
      </c>
      <c r="L106" s="1">
        <v>96</v>
      </c>
      <c r="M106" s="1">
        <v>1219</v>
      </c>
      <c r="N106" s="1" t="s">
        <v>48</v>
      </c>
      <c r="O106" s="1">
        <v>184955</v>
      </c>
      <c r="P106" s="1">
        <v>88</v>
      </c>
      <c r="Q106" s="1" t="s">
        <v>49</v>
      </c>
      <c r="R106" s="1" t="s">
        <v>50</v>
      </c>
      <c r="S106" s="1">
        <v>0</v>
      </c>
      <c r="T106" s="1">
        <v>0</v>
      </c>
      <c r="U106" s="1">
        <v>142.041</v>
      </c>
      <c r="V106" s="1">
        <v>25.390999999999998</v>
      </c>
      <c r="W106" s="1">
        <v>0.52</v>
      </c>
      <c r="X106" s="1">
        <v>0.1</v>
      </c>
      <c r="Y106" s="1">
        <v>25.492000000000001</v>
      </c>
      <c r="Z106" s="1">
        <v>0.157</v>
      </c>
      <c r="AA106" s="1">
        <v>-1</v>
      </c>
      <c r="AB106" s="1">
        <v>-1</v>
      </c>
      <c r="AC106" s="1">
        <v>-1</v>
      </c>
      <c r="AD106" s="1">
        <v>0.1</v>
      </c>
      <c r="AE106" s="1">
        <v>0.156</v>
      </c>
      <c r="AF106" s="1">
        <v>1.6E-2</v>
      </c>
      <c r="AG106" s="1">
        <v>-1</v>
      </c>
      <c r="AI106" s="1">
        <v>0</v>
      </c>
      <c r="AJ106" s="1">
        <v>0</v>
      </c>
      <c r="AK106" s="1">
        <v>0</v>
      </c>
      <c r="AL106" s="1">
        <v>1</v>
      </c>
      <c r="AM106" s="1">
        <v>75901</v>
      </c>
      <c r="AN106" s="1">
        <v>52598</v>
      </c>
      <c r="AO106" s="1">
        <v>16600</v>
      </c>
      <c r="AP106" s="1">
        <v>47121</v>
      </c>
      <c r="AQ106" s="16">
        <v>19.92750351117078</v>
      </c>
    </row>
    <row r="107" spans="1:43" x14ac:dyDescent="0.45">
      <c r="A107" s="1">
        <v>106</v>
      </c>
      <c r="B107" s="1">
        <v>454</v>
      </c>
      <c r="C107" s="1">
        <v>23</v>
      </c>
      <c r="D107" s="1" t="s">
        <v>88</v>
      </c>
      <c r="E107" s="1" t="s">
        <v>89</v>
      </c>
      <c r="F107" s="1" t="s">
        <v>90</v>
      </c>
      <c r="G107" s="1" t="s">
        <v>91</v>
      </c>
      <c r="H107" s="1" t="s">
        <v>47</v>
      </c>
      <c r="I107" s="1">
        <v>330</v>
      </c>
      <c r="J107" s="1">
        <v>5916</v>
      </c>
      <c r="K107" s="1">
        <v>1</v>
      </c>
      <c r="L107" s="1">
        <v>22</v>
      </c>
      <c r="M107" s="1">
        <v>1187</v>
      </c>
      <c r="N107" s="1" t="s">
        <v>48</v>
      </c>
      <c r="O107" s="1">
        <v>175496</v>
      </c>
      <c r="P107" s="1">
        <v>88</v>
      </c>
      <c r="Q107" s="1" t="s">
        <v>49</v>
      </c>
      <c r="R107" s="1" t="s">
        <v>50</v>
      </c>
      <c r="S107" s="1">
        <v>0</v>
      </c>
      <c r="T107" s="1">
        <v>0</v>
      </c>
      <c r="U107" s="1">
        <v>338.95299999999997</v>
      </c>
      <c r="V107" s="1">
        <v>24.632999999999999</v>
      </c>
      <c r="W107" s="1">
        <v>0.52</v>
      </c>
      <c r="X107" s="1">
        <v>0.104</v>
      </c>
      <c r="Y107" s="1">
        <v>24.736999999999998</v>
      </c>
      <c r="Z107" s="1">
        <v>4.2999999999999997E-2</v>
      </c>
      <c r="AA107" s="1">
        <v>2</v>
      </c>
      <c r="AB107" s="1">
        <v>2</v>
      </c>
      <c r="AC107" s="1">
        <v>2</v>
      </c>
      <c r="AD107" s="1">
        <v>0.104</v>
      </c>
      <c r="AE107" s="1">
        <v>4.2999999999999997E-2</v>
      </c>
      <c r="AF107" s="1">
        <v>4.0000000000000001E-3</v>
      </c>
      <c r="AG107" s="1">
        <v>2</v>
      </c>
      <c r="AI107" s="1">
        <v>0</v>
      </c>
      <c r="AJ107" s="1">
        <v>0</v>
      </c>
      <c r="AK107" s="1">
        <v>0</v>
      </c>
      <c r="AL107" s="1">
        <v>1</v>
      </c>
      <c r="AM107" s="1">
        <v>86400</v>
      </c>
      <c r="AN107" s="1">
        <v>72951</v>
      </c>
      <c r="AO107" s="1">
        <v>13449</v>
      </c>
      <c r="AP107" s="1">
        <v>43516</v>
      </c>
      <c r="AQ107" s="16">
        <v>2.5436351825059029</v>
      </c>
    </row>
    <row r="108" spans="1:43" x14ac:dyDescent="0.45">
      <c r="A108" s="1">
        <v>107</v>
      </c>
      <c r="B108" s="1">
        <v>454</v>
      </c>
      <c r="C108" s="1">
        <v>23</v>
      </c>
      <c r="D108" s="1" t="s">
        <v>88</v>
      </c>
      <c r="E108" s="1" t="s">
        <v>89</v>
      </c>
      <c r="F108" s="1" t="s">
        <v>90</v>
      </c>
      <c r="G108" s="1" t="s">
        <v>91</v>
      </c>
      <c r="H108" s="1" t="s">
        <v>47</v>
      </c>
      <c r="I108" s="1">
        <v>330</v>
      </c>
      <c r="J108" s="1">
        <v>5916</v>
      </c>
      <c r="K108" s="1">
        <v>1</v>
      </c>
      <c r="L108" s="1">
        <v>22</v>
      </c>
      <c r="M108" s="1">
        <v>1188</v>
      </c>
      <c r="N108" s="1" t="s">
        <v>48</v>
      </c>
      <c r="O108" s="1">
        <v>175913</v>
      </c>
      <c r="P108" s="1">
        <v>88</v>
      </c>
      <c r="Q108" s="1" t="s">
        <v>49</v>
      </c>
      <c r="R108" s="1" t="s">
        <v>50</v>
      </c>
      <c r="S108" s="1">
        <v>0</v>
      </c>
      <c r="T108" s="1">
        <v>0</v>
      </c>
      <c r="U108" s="1">
        <v>73.203000000000003</v>
      </c>
      <c r="V108" s="1">
        <v>25.163</v>
      </c>
      <c r="W108" s="1">
        <v>0.55000000000000004</v>
      </c>
      <c r="X108" s="1">
        <v>0.318</v>
      </c>
      <c r="Y108" s="1">
        <v>25.481999999999999</v>
      </c>
      <c r="Z108" s="1">
        <v>3.6999999999999998E-2</v>
      </c>
      <c r="AA108" s="1">
        <v>-1.5</v>
      </c>
      <c r="AB108" s="1">
        <v>-1.5</v>
      </c>
      <c r="AC108" s="1">
        <v>-1.5</v>
      </c>
      <c r="AD108" s="1">
        <v>0.318</v>
      </c>
      <c r="AE108" s="1">
        <v>3.6999999999999998E-2</v>
      </c>
      <c r="AF108" s="1">
        <v>1.2E-2</v>
      </c>
      <c r="AG108" s="1">
        <v>-1.5</v>
      </c>
      <c r="AI108" s="1">
        <v>0</v>
      </c>
      <c r="AJ108" s="1">
        <v>0</v>
      </c>
      <c r="AK108" s="1">
        <v>0</v>
      </c>
      <c r="AL108" s="1">
        <v>1</v>
      </c>
      <c r="AM108" s="1">
        <v>86400</v>
      </c>
      <c r="AN108" s="1">
        <v>77963</v>
      </c>
      <c r="AO108" s="1">
        <v>8437</v>
      </c>
      <c r="AP108" s="1">
        <v>43464</v>
      </c>
      <c r="AQ108" s="16">
        <v>12.51607896382912</v>
      </c>
    </row>
    <row r="109" spans="1:43" x14ac:dyDescent="0.45">
      <c r="A109" s="1">
        <v>108</v>
      </c>
      <c r="B109" s="1">
        <v>454</v>
      </c>
      <c r="C109" s="1">
        <v>23</v>
      </c>
      <c r="D109" s="1" t="s">
        <v>88</v>
      </c>
      <c r="E109" s="1" t="s">
        <v>89</v>
      </c>
      <c r="F109" s="1" t="s">
        <v>90</v>
      </c>
      <c r="G109" s="1" t="s">
        <v>91</v>
      </c>
      <c r="H109" s="1" t="s">
        <v>47</v>
      </c>
      <c r="I109" s="1">
        <v>330</v>
      </c>
      <c r="J109" s="1">
        <v>5916</v>
      </c>
      <c r="K109" s="1">
        <v>1</v>
      </c>
      <c r="L109" s="1">
        <v>22</v>
      </c>
      <c r="M109" s="1">
        <v>1189</v>
      </c>
      <c r="N109" s="1" t="s">
        <v>48</v>
      </c>
      <c r="O109" s="1">
        <v>175914</v>
      </c>
      <c r="P109" s="1">
        <v>88</v>
      </c>
      <c r="Q109" s="1" t="s">
        <v>49</v>
      </c>
      <c r="R109" s="1" t="s">
        <v>50</v>
      </c>
      <c r="S109" s="1">
        <v>0</v>
      </c>
      <c r="T109" s="1">
        <v>0</v>
      </c>
      <c r="U109" s="1">
        <v>92.867000000000004</v>
      </c>
      <c r="V109" s="1">
        <v>25.131</v>
      </c>
      <c r="W109" s="1">
        <v>0.55000000000000004</v>
      </c>
      <c r="X109" s="1">
        <v>0.35099999999999998</v>
      </c>
      <c r="Y109" s="1">
        <v>25.481999999999999</v>
      </c>
      <c r="Z109" s="1">
        <v>4.7E-2</v>
      </c>
      <c r="AA109" s="1">
        <v>1.1000000000000001</v>
      </c>
      <c r="AB109" s="1">
        <v>1.1000000000000001</v>
      </c>
      <c r="AC109" s="1">
        <v>1.1000000000000001</v>
      </c>
      <c r="AD109" s="1">
        <v>0.35099999999999998</v>
      </c>
      <c r="AE109" s="1">
        <v>4.7E-2</v>
      </c>
      <c r="AF109" s="1">
        <v>1.7000000000000001E-2</v>
      </c>
      <c r="AG109" s="1">
        <v>1.1000000000000001</v>
      </c>
      <c r="AI109" s="1">
        <v>0</v>
      </c>
      <c r="AJ109" s="1">
        <v>0</v>
      </c>
      <c r="AK109" s="1">
        <v>0</v>
      </c>
      <c r="AL109" s="1">
        <v>1</v>
      </c>
      <c r="AM109" s="1">
        <v>86400</v>
      </c>
      <c r="AN109" s="1">
        <v>79863</v>
      </c>
      <c r="AO109" s="1">
        <v>6537</v>
      </c>
      <c r="AP109" s="1">
        <v>43500</v>
      </c>
      <c r="AQ109" s="16">
        <v>3.3747962790819219</v>
      </c>
    </row>
    <row r="110" spans="1:43" x14ac:dyDescent="0.45">
      <c r="A110" s="1">
        <v>109</v>
      </c>
      <c r="B110" s="1">
        <v>470</v>
      </c>
      <c r="C110" s="1">
        <v>97</v>
      </c>
      <c r="D110" s="1" t="s">
        <v>85</v>
      </c>
      <c r="E110" s="1" t="s">
        <v>86</v>
      </c>
      <c r="F110" s="1" t="s">
        <v>87</v>
      </c>
      <c r="G110" s="1" t="s">
        <v>46</v>
      </c>
      <c r="H110" s="1" t="s">
        <v>47</v>
      </c>
      <c r="I110" s="1">
        <v>1089</v>
      </c>
      <c r="J110" s="1">
        <v>26566</v>
      </c>
      <c r="K110" s="1">
        <v>1</v>
      </c>
      <c r="L110" s="1">
        <v>96</v>
      </c>
      <c r="M110" s="1">
        <v>1097</v>
      </c>
      <c r="N110" s="1" t="s">
        <v>48</v>
      </c>
      <c r="O110" s="1">
        <v>132942</v>
      </c>
      <c r="P110" s="1">
        <v>88</v>
      </c>
      <c r="Q110" s="1" t="s">
        <v>49</v>
      </c>
      <c r="R110" s="1" t="s">
        <v>50</v>
      </c>
      <c r="S110" s="1">
        <v>0</v>
      </c>
      <c r="T110" s="1">
        <v>0</v>
      </c>
      <c r="U110" s="1">
        <v>88.98</v>
      </c>
      <c r="V110" s="1">
        <v>25.22</v>
      </c>
      <c r="W110" s="1">
        <v>0.52</v>
      </c>
      <c r="X110" s="1">
        <v>0.14799999999999999</v>
      </c>
      <c r="Y110" s="1">
        <v>25.367999999999999</v>
      </c>
      <c r="Z110" s="1">
        <v>0.157</v>
      </c>
      <c r="AA110" s="1">
        <v>-0.7</v>
      </c>
      <c r="AB110" s="1">
        <v>-0.7</v>
      </c>
      <c r="AC110" s="1">
        <v>-0.7</v>
      </c>
      <c r="AD110" s="1">
        <v>0.14799999999999999</v>
      </c>
      <c r="AE110" s="1">
        <v>0.157</v>
      </c>
      <c r="AF110" s="1">
        <v>2.3E-2</v>
      </c>
      <c r="AG110" s="1">
        <v>-0.7</v>
      </c>
      <c r="AI110" s="1">
        <v>0</v>
      </c>
      <c r="AJ110" s="1">
        <v>0</v>
      </c>
      <c r="AK110" s="1">
        <v>0</v>
      </c>
      <c r="AL110" s="1">
        <v>1</v>
      </c>
      <c r="AM110" s="1">
        <v>86400</v>
      </c>
      <c r="AN110" s="1">
        <v>79984</v>
      </c>
      <c r="AO110" s="1">
        <v>6416</v>
      </c>
      <c r="AP110" s="1">
        <v>43477</v>
      </c>
      <c r="AQ110" s="16">
        <v>13.500253100054801</v>
      </c>
    </row>
    <row r="111" spans="1:43" x14ac:dyDescent="0.45">
      <c r="A111" s="1">
        <v>110</v>
      </c>
      <c r="B111" s="1">
        <v>494</v>
      </c>
      <c r="C111" s="1">
        <v>67</v>
      </c>
      <c r="D111" s="1" t="s">
        <v>92</v>
      </c>
      <c r="E111" s="1" t="s">
        <v>93</v>
      </c>
      <c r="F111" s="1" t="s">
        <v>94</v>
      </c>
      <c r="G111" s="1" t="s">
        <v>46</v>
      </c>
      <c r="H111" s="1" t="s">
        <v>47</v>
      </c>
      <c r="I111" s="1">
        <v>1579</v>
      </c>
      <c r="J111" s="1">
        <v>67764</v>
      </c>
      <c r="K111" s="1">
        <v>1</v>
      </c>
      <c r="L111" s="1">
        <v>66</v>
      </c>
      <c r="M111" s="1">
        <v>1093</v>
      </c>
      <c r="N111" s="1" t="s">
        <v>48</v>
      </c>
      <c r="O111" s="1">
        <v>131020</v>
      </c>
      <c r="P111" s="1">
        <v>88</v>
      </c>
      <c r="Q111" s="1" t="s">
        <v>49</v>
      </c>
      <c r="R111" s="1" t="s">
        <v>50</v>
      </c>
      <c r="S111" s="1">
        <v>0</v>
      </c>
      <c r="T111" s="1">
        <v>0</v>
      </c>
      <c r="U111" s="1">
        <v>94.191999999999993</v>
      </c>
      <c r="V111" s="1">
        <v>25.324000000000002</v>
      </c>
      <c r="W111" s="1">
        <v>1.1299999999999999</v>
      </c>
      <c r="X111" s="1">
        <v>0.86</v>
      </c>
      <c r="Y111" s="1">
        <v>26.184000000000001</v>
      </c>
      <c r="Z111" s="1">
        <v>3.5999999999999997E-2</v>
      </c>
      <c r="AA111" s="1">
        <v>0.9</v>
      </c>
      <c r="AB111" s="1">
        <v>0.9</v>
      </c>
      <c r="AC111" s="1">
        <v>0.9</v>
      </c>
      <c r="AD111" s="1">
        <v>0.86</v>
      </c>
      <c r="AE111" s="1">
        <v>3.5999999999999997E-2</v>
      </c>
      <c r="AF111" s="1">
        <v>3.1E-2</v>
      </c>
      <c r="AG111" s="1">
        <v>0.9</v>
      </c>
      <c r="AI111" s="1">
        <v>0</v>
      </c>
      <c r="AJ111" s="1">
        <v>0</v>
      </c>
      <c r="AK111" s="1">
        <v>0</v>
      </c>
      <c r="AL111" s="1">
        <v>1</v>
      </c>
      <c r="AM111" s="1">
        <v>86400</v>
      </c>
      <c r="AN111" s="1">
        <v>79717</v>
      </c>
      <c r="AO111" s="1">
        <v>6683</v>
      </c>
      <c r="AP111" s="1">
        <v>43636</v>
      </c>
      <c r="AQ111" s="16">
        <v>22.945877289242109</v>
      </c>
    </row>
    <row r="112" spans="1:43" x14ac:dyDescent="0.45">
      <c r="A112" s="1">
        <v>111</v>
      </c>
      <c r="B112" s="1">
        <v>494</v>
      </c>
      <c r="C112" s="1">
        <v>67</v>
      </c>
      <c r="D112" s="1" t="s">
        <v>92</v>
      </c>
      <c r="E112" s="1" t="s">
        <v>93</v>
      </c>
      <c r="F112" s="1" t="s">
        <v>94</v>
      </c>
      <c r="G112" s="1" t="s">
        <v>46</v>
      </c>
      <c r="H112" s="1" t="s">
        <v>47</v>
      </c>
      <c r="I112" s="1">
        <v>1579</v>
      </c>
      <c r="J112" s="1">
        <v>67764</v>
      </c>
      <c r="K112" s="1">
        <v>1</v>
      </c>
      <c r="L112" s="1">
        <v>66</v>
      </c>
      <c r="M112" s="1">
        <v>1094</v>
      </c>
      <c r="N112" s="1" t="s">
        <v>48</v>
      </c>
      <c r="O112" s="1">
        <v>131021</v>
      </c>
      <c r="P112" s="1">
        <v>88</v>
      </c>
      <c r="Q112" s="1" t="s">
        <v>49</v>
      </c>
      <c r="R112" s="1" t="s">
        <v>50</v>
      </c>
      <c r="S112" s="1">
        <v>0</v>
      </c>
      <c r="T112" s="1">
        <v>0</v>
      </c>
      <c r="U112" s="1">
        <v>89.78</v>
      </c>
      <c r="V112" s="1">
        <v>25.841999999999999</v>
      </c>
      <c r="W112" s="1">
        <v>0.55000000000000004</v>
      </c>
      <c r="X112" s="1">
        <v>0.34200000000000003</v>
      </c>
      <c r="Y112" s="1">
        <v>26.184000000000001</v>
      </c>
      <c r="Z112" s="1">
        <v>3.5999999999999997E-2</v>
      </c>
      <c r="AA112" s="1">
        <v>-1</v>
      </c>
      <c r="AB112" s="1">
        <v>-2.8</v>
      </c>
      <c r="AC112" s="1">
        <v>-2.8</v>
      </c>
      <c r="AD112" s="1">
        <v>0.34200000000000003</v>
      </c>
      <c r="AE112" s="1">
        <v>0.03</v>
      </c>
      <c r="AF112" s="1">
        <v>1.0999999999999999E-2</v>
      </c>
      <c r="AI112" s="1">
        <v>0</v>
      </c>
      <c r="AJ112" s="1">
        <v>0</v>
      </c>
      <c r="AK112" s="1">
        <v>0</v>
      </c>
      <c r="AL112" s="1">
        <v>1</v>
      </c>
      <c r="AM112" s="1">
        <v>86400</v>
      </c>
      <c r="AN112" s="1">
        <v>63917</v>
      </c>
      <c r="AO112" s="1">
        <v>22483</v>
      </c>
      <c r="AP112" s="1">
        <v>43572</v>
      </c>
      <c r="AQ112" s="16">
        <v>6.4043930915015341</v>
      </c>
    </row>
    <row r="113" spans="1:43" x14ac:dyDescent="0.45">
      <c r="A113" s="1">
        <v>112</v>
      </c>
      <c r="B113" s="1">
        <v>494</v>
      </c>
      <c r="C113" s="1">
        <v>67</v>
      </c>
      <c r="D113" s="1" t="s">
        <v>92</v>
      </c>
      <c r="E113" s="1" t="s">
        <v>93</v>
      </c>
      <c r="F113" s="1" t="s">
        <v>94</v>
      </c>
      <c r="G113" s="1" t="s">
        <v>46</v>
      </c>
      <c r="H113" s="1" t="s">
        <v>47</v>
      </c>
      <c r="I113" s="1">
        <v>1579</v>
      </c>
      <c r="J113" s="1">
        <v>67764</v>
      </c>
      <c r="K113" s="1">
        <v>1</v>
      </c>
      <c r="L113" s="1">
        <v>66</v>
      </c>
      <c r="M113" s="1">
        <v>1095</v>
      </c>
      <c r="N113" s="1" t="s">
        <v>48</v>
      </c>
      <c r="O113" s="1">
        <v>131025</v>
      </c>
      <c r="P113" s="1">
        <v>88</v>
      </c>
      <c r="Q113" s="1" t="s">
        <v>49</v>
      </c>
      <c r="R113" s="1" t="s">
        <v>50</v>
      </c>
      <c r="S113" s="1">
        <v>0</v>
      </c>
      <c r="T113" s="1">
        <v>0</v>
      </c>
      <c r="U113" s="1">
        <v>51.036999999999999</v>
      </c>
      <c r="V113" s="1">
        <v>25.751999999999999</v>
      </c>
      <c r="W113" s="1">
        <v>0.56999999999999995</v>
      </c>
      <c r="X113" s="1">
        <v>0.432</v>
      </c>
      <c r="Y113" s="1">
        <v>26.184000000000001</v>
      </c>
      <c r="Z113" s="1">
        <v>0.17</v>
      </c>
      <c r="AA113" s="1">
        <v>-1.6</v>
      </c>
      <c r="AB113" s="1">
        <v>-1.6</v>
      </c>
      <c r="AC113" s="1">
        <v>-1.6</v>
      </c>
      <c r="AD113" s="1">
        <v>0.432</v>
      </c>
      <c r="AE113" s="1">
        <v>0.17</v>
      </c>
      <c r="AF113" s="1">
        <v>7.2999999999999995E-2</v>
      </c>
      <c r="AG113" s="1">
        <v>-1.6</v>
      </c>
      <c r="AI113" s="1">
        <v>0</v>
      </c>
      <c r="AJ113" s="1">
        <v>0</v>
      </c>
      <c r="AK113" s="1">
        <v>0</v>
      </c>
      <c r="AL113" s="1">
        <v>1</v>
      </c>
      <c r="AM113" s="1">
        <v>86400</v>
      </c>
      <c r="AN113" s="1">
        <v>67420</v>
      </c>
      <c r="AO113" s="1">
        <v>18980</v>
      </c>
      <c r="AP113" s="1">
        <v>47078</v>
      </c>
      <c r="AQ113" s="16">
        <v>12.58488408496922</v>
      </c>
    </row>
  </sheetData>
  <autoFilter ref="A1:AQ113" xr:uid="{B7BC777D-C64C-4221-A5F9-BA3E6D809ABB}"/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E6B9A-66AD-4B3B-ABD0-FC6275618E3D}">
  <sheetPr codeName="Sheet2"/>
  <dimension ref="A1:AQ116"/>
  <sheetViews>
    <sheetView workbookViewId="0"/>
  </sheetViews>
  <sheetFormatPr defaultColWidth="9.1328125" defaultRowHeight="14.25" customHeight="1" x14ac:dyDescent="0.45"/>
  <cols>
    <col min="1" max="1" width="9.1328125" style="1" customWidth="1"/>
    <col min="2" max="16384" width="9.1328125" style="1"/>
  </cols>
  <sheetData>
    <row r="1" spans="1:43" ht="16.149999999999999" thickBot="1" x14ac:dyDescent="0.5500000000000000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95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</row>
    <row r="2" spans="1:43" x14ac:dyDescent="0.45">
      <c r="A2" s="1">
        <v>1</v>
      </c>
      <c r="B2" s="1">
        <v>1</v>
      </c>
      <c r="C2" s="1">
        <v>90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  <c r="I2" s="1">
        <v>535</v>
      </c>
      <c r="J2" s="1">
        <v>12723</v>
      </c>
      <c r="K2" s="1">
        <v>1</v>
      </c>
      <c r="L2" s="1">
        <v>89</v>
      </c>
      <c r="M2" s="1">
        <v>1099</v>
      </c>
      <c r="N2" s="1" t="s">
        <v>48</v>
      </c>
      <c r="O2" s="1">
        <v>20364</v>
      </c>
      <c r="P2" s="1">
        <v>89</v>
      </c>
      <c r="Q2" s="1" t="s">
        <v>96</v>
      </c>
      <c r="R2" s="1" t="s">
        <v>50</v>
      </c>
      <c r="S2" s="1">
        <v>0</v>
      </c>
      <c r="T2" s="1">
        <v>0</v>
      </c>
      <c r="U2" s="1">
        <v>205.73699999999999</v>
      </c>
      <c r="V2" s="1">
        <v>24.99</v>
      </c>
      <c r="W2" s="1">
        <v>0.52</v>
      </c>
      <c r="X2" s="1">
        <v>0.13300000000000001</v>
      </c>
      <c r="Y2" s="1">
        <v>25.123000000000001</v>
      </c>
      <c r="Z2" s="1">
        <v>3.5999999999999997E-2</v>
      </c>
      <c r="AA2" s="1">
        <v>-2.7</v>
      </c>
      <c r="AB2" s="1">
        <v>-2.7</v>
      </c>
      <c r="AC2" s="1">
        <v>-2.7</v>
      </c>
      <c r="AD2" s="1">
        <v>0.13300000000000001</v>
      </c>
      <c r="AE2" s="1">
        <v>3.5999999999999997E-2</v>
      </c>
      <c r="AF2" s="1">
        <v>5.0000000000000001E-3</v>
      </c>
      <c r="AG2" s="1">
        <v>-2.7</v>
      </c>
      <c r="AI2" s="1">
        <v>0</v>
      </c>
      <c r="AJ2" s="1">
        <v>0</v>
      </c>
      <c r="AK2" s="1">
        <v>0</v>
      </c>
      <c r="AL2" s="1">
        <v>1</v>
      </c>
      <c r="AM2" s="1">
        <v>86400</v>
      </c>
      <c r="AN2" s="1">
        <v>71376</v>
      </c>
      <c r="AO2" s="1">
        <v>15024</v>
      </c>
      <c r="AP2" s="1">
        <v>46896</v>
      </c>
      <c r="AQ2" s="1">
        <v>1.6932807555292719</v>
      </c>
    </row>
    <row r="3" spans="1:43" x14ac:dyDescent="0.45">
      <c r="A3" s="1">
        <v>2</v>
      </c>
      <c r="B3" s="1">
        <v>1</v>
      </c>
      <c r="C3" s="1">
        <v>90</v>
      </c>
      <c r="D3" s="1" t="s">
        <v>43</v>
      </c>
      <c r="E3" s="1" t="s">
        <v>44</v>
      </c>
      <c r="F3" s="1" t="s">
        <v>45</v>
      </c>
      <c r="G3" s="1" t="s">
        <v>46</v>
      </c>
      <c r="H3" s="1" t="s">
        <v>47</v>
      </c>
      <c r="I3" s="1">
        <v>535</v>
      </c>
      <c r="J3" s="1">
        <v>12723</v>
      </c>
      <c r="K3" s="1">
        <v>1</v>
      </c>
      <c r="L3" s="1">
        <v>89</v>
      </c>
      <c r="M3" s="1">
        <v>1100</v>
      </c>
      <c r="N3" s="1" t="s">
        <v>48</v>
      </c>
      <c r="O3" s="1">
        <v>20405</v>
      </c>
      <c r="P3" s="1">
        <v>89</v>
      </c>
      <c r="Q3" s="1" t="s">
        <v>96</v>
      </c>
      <c r="R3" s="1" t="s">
        <v>50</v>
      </c>
      <c r="S3" s="1">
        <v>0</v>
      </c>
      <c r="T3" s="1">
        <v>0</v>
      </c>
      <c r="U3" s="1">
        <v>63.332999999999998</v>
      </c>
      <c r="V3" s="1">
        <v>24.972999999999999</v>
      </c>
      <c r="W3" s="1">
        <v>0.52</v>
      </c>
      <c r="X3" s="1">
        <v>0.15</v>
      </c>
      <c r="Y3" s="1">
        <v>25.123000000000001</v>
      </c>
      <c r="Z3" s="1">
        <v>3.6999999999999998E-2</v>
      </c>
      <c r="AA3" s="1">
        <v>-2.8</v>
      </c>
      <c r="AB3" s="1">
        <v>-2.8</v>
      </c>
      <c r="AC3" s="1">
        <v>-2.8</v>
      </c>
      <c r="AD3" s="1">
        <v>0.15</v>
      </c>
      <c r="AE3" s="1">
        <v>3.5999999999999997E-2</v>
      </c>
      <c r="AF3" s="1">
        <v>5.0000000000000001E-3</v>
      </c>
      <c r="AG3" s="1">
        <v>-2.8</v>
      </c>
      <c r="AI3" s="1">
        <v>0</v>
      </c>
      <c r="AJ3" s="1">
        <v>0</v>
      </c>
      <c r="AK3" s="1">
        <v>0</v>
      </c>
      <c r="AL3" s="1">
        <v>1</v>
      </c>
      <c r="AM3" s="1">
        <v>86400</v>
      </c>
      <c r="AN3" s="1">
        <v>72983</v>
      </c>
      <c r="AO3" s="1">
        <v>13417</v>
      </c>
      <c r="AP3" s="1">
        <v>43552</v>
      </c>
      <c r="AQ3" s="1">
        <v>4.7032532732046244</v>
      </c>
    </row>
    <row r="4" spans="1:43" x14ac:dyDescent="0.45">
      <c r="A4" s="1">
        <v>3</v>
      </c>
      <c r="B4" s="1">
        <v>1</v>
      </c>
      <c r="C4" s="1">
        <v>90</v>
      </c>
      <c r="D4" s="1" t="s">
        <v>43</v>
      </c>
      <c r="E4" s="1" t="s">
        <v>44</v>
      </c>
      <c r="F4" s="1" t="s">
        <v>45</v>
      </c>
      <c r="G4" s="1" t="s">
        <v>46</v>
      </c>
      <c r="H4" s="1" t="s">
        <v>47</v>
      </c>
      <c r="I4" s="1">
        <v>535</v>
      </c>
      <c r="J4" s="1">
        <v>12723</v>
      </c>
      <c r="K4" s="1">
        <v>1</v>
      </c>
      <c r="L4" s="1">
        <v>89</v>
      </c>
      <c r="M4" s="1">
        <v>1101</v>
      </c>
      <c r="N4" s="1" t="s">
        <v>48</v>
      </c>
      <c r="O4" s="1">
        <v>20406</v>
      </c>
      <c r="P4" s="1">
        <v>89</v>
      </c>
      <c r="Q4" s="1" t="s">
        <v>96</v>
      </c>
      <c r="R4" s="1" t="s">
        <v>50</v>
      </c>
      <c r="S4" s="1">
        <v>0</v>
      </c>
      <c r="T4" s="1">
        <v>0</v>
      </c>
      <c r="U4" s="1">
        <v>69.885999999999996</v>
      </c>
      <c r="V4" s="1">
        <v>24.724</v>
      </c>
      <c r="W4" s="1">
        <v>0.56000000000000005</v>
      </c>
      <c r="X4" s="1">
        <v>0.39900000000000002</v>
      </c>
      <c r="Y4" s="1">
        <v>25.123000000000001</v>
      </c>
      <c r="Z4" s="1">
        <v>3.9E-2</v>
      </c>
      <c r="AA4" s="1">
        <v>-2.7</v>
      </c>
      <c r="AB4" s="1">
        <v>-2.7</v>
      </c>
      <c r="AC4" s="1">
        <v>-2.7</v>
      </c>
      <c r="AD4" s="1">
        <v>0.39900000000000002</v>
      </c>
      <c r="AE4" s="1">
        <v>3.7999999999999999E-2</v>
      </c>
      <c r="AF4" s="1">
        <v>1.4999999999999999E-2</v>
      </c>
      <c r="AG4" s="1">
        <v>-2.7</v>
      </c>
      <c r="AI4" s="1">
        <v>0</v>
      </c>
      <c r="AJ4" s="1">
        <v>0</v>
      </c>
      <c r="AK4" s="1">
        <v>0</v>
      </c>
      <c r="AL4" s="1">
        <v>1</v>
      </c>
      <c r="AM4" s="1">
        <v>86400</v>
      </c>
      <c r="AN4" s="1">
        <v>80257</v>
      </c>
      <c r="AO4" s="1">
        <v>6143</v>
      </c>
      <c r="AP4" s="1">
        <v>46824</v>
      </c>
      <c r="AQ4" s="1">
        <v>14.25374788192698</v>
      </c>
    </row>
    <row r="5" spans="1:43" x14ac:dyDescent="0.45">
      <c r="A5" s="1">
        <v>4</v>
      </c>
      <c r="B5" s="1">
        <v>1</v>
      </c>
      <c r="C5" s="1">
        <v>90</v>
      </c>
      <c r="D5" s="1" t="s">
        <v>43</v>
      </c>
      <c r="E5" s="1" t="s">
        <v>44</v>
      </c>
      <c r="F5" s="1" t="s">
        <v>45</v>
      </c>
      <c r="G5" s="1" t="s">
        <v>46</v>
      </c>
      <c r="H5" s="1" t="s">
        <v>47</v>
      </c>
      <c r="I5" s="1">
        <v>535</v>
      </c>
      <c r="J5" s="1">
        <v>12723</v>
      </c>
      <c r="K5" s="1">
        <v>1</v>
      </c>
      <c r="L5" s="1">
        <v>89</v>
      </c>
      <c r="M5" s="1">
        <v>1102</v>
      </c>
      <c r="N5" s="1" t="s">
        <v>48</v>
      </c>
      <c r="O5" s="1">
        <v>20409</v>
      </c>
      <c r="P5" s="1">
        <v>89</v>
      </c>
      <c r="Q5" s="1" t="s">
        <v>96</v>
      </c>
      <c r="R5" s="1" t="s">
        <v>50</v>
      </c>
      <c r="S5" s="1">
        <v>0</v>
      </c>
      <c r="T5" s="1">
        <v>0</v>
      </c>
      <c r="U5" s="1">
        <v>197.97900000000001</v>
      </c>
      <c r="V5" s="1">
        <v>24.911999999999999</v>
      </c>
      <c r="W5" s="1">
        <v>0.54</v>
      </c>
      <c r="X5" s="1">
        <v>0.21199999999999999</v>
      </c>
      <c r="Y5" s="1">
        <v>25.123999999999999</v>
      </c>
      <c r="Z5" s="1">
        <v>0.151</v>
      </c>
      <c r="AA5" s="1">
        <v>-2.2000000000000002</v>
      </c>
      <c r="AB5" s="1">
        <v>-2.2000000000000002</v>
      </c>
      <c r="AC5" s="1">
        <v>-2.2000000000000002</v>
      </c>
      <c r="AD5" s="1">
        <v>0.21199999999999999</v>
      </c>
      <c r="AE5" s="1">
        <v>0.151</v>
      </c>
      <c r="AF5" s="1">
        <v>3.2000000000000001E-2</v>
      </c>
      <c r="AG5" s="1">
        <v>-2.2000000000000002</v>
      </c>
      <c r="AI5" s="1">
        <v>0</v>
      </c>
      <c r="AJ5" s="1">
        <v>0</v>
      </c>
      <c r="AK5" s="1">
        <v>0</v>
      </c>
      <c r="AL5" s="1">
        <v>1</v>
      </c>
      <c r="AM5" s="1">
        <v>86400</v>
      </c>
      <c r="AN5" s="1">
        <v>78762</v>
      </c>
      <c r="AO5" s="1">
        <v>7638</v>
      </c>
      <c r="AP5" s="1">
        <v>46869</v>
      </c>
      <c r="AQ5" s="1">
        <v>15.34256373566652</v>
      </c>
    </row>
    <row r="6" spans="1:43" x14ac:dyDescent="0.45">
      <c r="A6" s="1">
        <v>5</v>
      </c>
      <c r="B6" s="1">
        <v>1</v>
      </c>
      <c r="C6" s="1">
        <v>90</v>
      </c>
      <c r="D6" s="1" t="s">
        <v>43</v>
      </c>
      <c r="E6" s="1" t="s">
        <v>44</v>
      </c>
      <c r="F6" s="1" t="s">
        <v>45</v>
      </c>
      <c r="G6" s="1" t="s">
        <v>46</v>
      </c>
      <c r="H6" s="1" t="s">
        <v>47</v>
      </c>
      <c r="I6" s="1">
        <v>535</v>
      </c>
      <c r="J6" s="1">
        <v>12723</v>
      </c>
      <c r="K6" s="1">
        <v>1</v>
      </c>
      <c r="L6" s="1">
        <v>89</v>
      </c>
      <c r="M6" s="1">
        <v>1103</v>
      </c>
      <c r="N6" s="1" t="s">
        <v>48</v>
      </c>
      <c r="O6" s="1">
        <v>20411</v>
      </c>
      <c r="P6" s="1">
        <v>89</v>
      </c>
      <c r="Q6" s="1" t="s">
        <v>96</v>
      </c>
      <c r="R6" s="1" t="s">
        <v>50</v>
      </c>
      <c r="S6" s="1">
        <v>0</v>
      </c>
      <c r="T6" s="1">
        <v>0</v>
      </c>
      <c r="U6" s="1">
        <v>128.02099999999999</v>
      </c>
      <c r="V6" s="1">
        <v>24.83</v>
      </c>
      <c r="W6" s="1">
        <v>0.55000000000000004</v>
      </c>
      <c r="X6" s="1">
        <v>0.29099999999999998</v>
      </c>
      <c r="Y6" s="1">
        <v>25.120999999999999</v>
      </c>
      <c r="Z6" s="1">
        <v>0.13300000000000001</v>
      </c>
      <c r="AA6" s="1">
        <v>-1.4</v>
      </c>
      <c r="AB6" s="1">
        <v>-1.4</v>
      </c>
      <c r="AC6" s="1">
        <v>-1.4</v>
      </c>
      <c r="AD6" s="1">
        <v>0.29099999999999998</v>
      </c>
      <c r="AE6" s="1">
        <v>0.13300000000000001</v>
      </c>
      <c r="AF6" s="1">
        <v>3.9E-2</v>
      </c>
      <c r="AG6" s="1">
        <v>-1.4</v>
      </c>
      <c r="AI6" s="1">
        <v>0</v>
      </c>
      <c r="AJ6" s="1">
        <v>0</v>
      </c>
      <c r="AK6" s="1">
        <v>0</v>
      </c>
      <c r="AL6" s="1">
        <v>1</v>
      </c>
      <c r="AM6" s="1">
        <v>86400</v>
      </c>
      <c r="AN6" s="1">
        <v>79220</v>
      </c>
      <c r="AO6" s="1">
        <v>7180</v>
      </c>
      <c r="AP6" s="1">
        <v>43572</v>
      </c>
      <c r="AQ6" s="1">
        <v>28.711608171234531</v>
      </c>
    </row>
    <row r="7" spans="1:43" x14ac:dyDescent="0.45">
      <c r="A7" s="1">
        <v>6</v>
      </c>
      <c r="B7" s="1">
        <v>26</v>
      </c>
      <c r="C7" s="1">
        <v>126</v>
      </c>
      <c r="D7" s="1" t="s">
        <v>51</v>
      </c>
      <c r="E7" s="1" t="s">
        <v>52</v>
      </c>
      <c r="F7" s="1" t="s">
        <v>53</v>
      </c>
      <c r="G7" s="1" t="s">
        <v>54</v>
      </c>
      <c r="H7" s="1" t="s">
        <v>47</v>
      </c>
      <c r="I7" s="1">
        <v>1113</v>
      </c>
      <c r="J7" s="1">
        <v>60690</v>
      </c>
      <c r="K7" s="1">
        <v>1</v>
      </c>
      <c r="L7" s="1">
        <v>125</v>
      </c>
      <c r="M7" s="1">
        <v>493</v>
      </c>
      <c r="N7" s="1" t="s">
        <v>48</v>
      </c>
      <c r="O7" s="1">
        <v>13931</v>
      </c>
      <c r="P7" s="1">
        <v>89</v>
      </c>
      <c r="Q7" s="1" t="s">
        <v>96</v>
      </c>
      <c r="R7" s="1" t="s">
        <v>50</v>
      </c>
      <c r="S7" s="1">
        <v>0</v>
      </c>
      <c r="T7" s="1">
        <v>0</v>
      </c>
      <c r="U7" s="1">
        <v>114.378</v>
      </c>
      <c r="V7" s="1">
        <v>26.774000000000001</v>
      </c>
      <c r="W7" s="1">
        <v>0.62</v>
      </c>
      <c r="X7" s="1">
        <v>0.55000000000000004</v>
      </c>
      <c r="Y7" s="1">
        <v>27.323</v>
      </c>
      <c r="Z7" s="1">
        <v>0.63600000000000001</v>
      </c>
      <c r="AA7" s="1">
        <v>0.8</v>
      </c>
      <c r="AB7" s="1">
        <v>0.8</v>
      </c>
      <c r="AC7" s="1">
        <v>0.8</v>
      </c>
      <c r="AD7" s="1">
        <v>0.55000000000000004</v>
      </c>
      <c r="AE7" s="1">
        <v>0.63500000000000001</v>
      </c>
      <c r="AF7" s="1">
        <v>0.34899999999999998</v>
      </c>
      <c r="AG7" s="1">
        <v>0.8</v>
      </c>
      <c r="AI7" s="1">
        <v>0</v>
      </c>
      <c r="AJ7" s="1">
        <v>0</v>
      </c>
      <c r="AK7" s="1">
        <v>0</v>
      </c>
      <c r="AL7" s="1">
        <v>1</v>
      </c>
      <c r="AM7" s="1">
        <v>86400</v>
      </c>
      <c r="AN7" s="1">
        <v>80008</v>
      </c>
      <c r="AO7" s="1">
        <v>6392</v>
      </c>
      <c r="AP7" s="1">
        <v>47115</v>
      </c>
      <c r="AQ7" s="1">
        <v>14.726650808541009</v>
      </c>
    </row>
    <row r="8" spans="1:43" x14ac:dyDescent="0.45">
      <c r="A8" s="1">
        <v>7</v>
      </c>
      <c r="B8" s="1">
        <v>26</v>
      </c>
      <c r="C8" s="1">
        <v>126</v>
      </c>
      <c r="D8" s="1" t="s">
        <v>51</v>
      </c>
      <c r="E8" s="1" t="s">
        <v>52</v>
      </c>
      <c r="F8" s="1" t="s">
        <v>53</v>
      </c>
      <c r="G8" s="1" t="s">
        <v>54</v>
      </c>
      <c r="H8" s="1" t="s">
        <v>47</v>
      </c>
      <c r="I8" s="1">
        <v>1113</v>
      </c>
      <c r="J8" s="1">
        <v>60690</v>
      </c>
      <c r="K8" s="1">
        <v>1</v>
      </c>
      <c r="L8" s="1">
        <v>125</v>
      </c>
      <c r="M8" s="1">
        <v>494</v>
      </c>
      <c r="N8" s="1" t="s">
        <v>48</v>
      </c>
      <c r="O8" s="1">
        <v>13937</v>
      </c>
      <c r="P8" s="1">
        <v>89</v>
      </c>
      <c r="Q8" s="1" t="s">
        <v>96</v>
      </c>
      <c r="R8" s="1" t="s">
        <v>50</v>
      </c>
      <c r="S8" s="1">
        <v>0</v>
      </c>
      <c r="T8" s="1">
        <v>0</v>
      </c>
      <c r="U8" s="1">
        <v>96.623000000000005</v>
      </c>
      <c r="V8" s="1">
        <v>25.923999999999999</v>
      </c>
      <c r="W8" s="1">
        <v>1.21</v>
      </c>
      <c r="X8" s="1">
        <v>0.97499999999999998</v>
      </c>
      <c r="Y8" s="1">
        <v>26.899000000000001</v>
      </c>
      <c r="Z8" s="1">
        <v>0.71499999999999997</v>
      </c>
      <c r="AA8" s="1">
        <v>0.4</v>
      </c>
      <c r="AB8" s="1">
        <v>0.4</v>
      </c>
      <c r="AC8" s="1">
        <v>0.4</v>
      </c>
      <c r="AD8" s="1">
        <v>0.97499999999999998</v>
      </c>
      <c r="AE8" s="1">
        <v>0.71499999999999997</v>
      </c>
      <c r="AF8" s="1">
        <v>0.69699999999999995</v>
      </c>
      <c r="AG8" s="1">
        <v>0.4</v>
      </c>
      <c r="AI8" s="1">
        <v>0</v>
      </c>
      <c r="AJ8" s="1">
        <v>0</v>
      </c>
      <c r="AK8" s="1">
        <v>0</v>
      </c>
      <c r="AL8" s="1">
        <v>1</v>
      </c>
      <c r="AM8" s="1">
        <v>86400</v>
      </c>
      <c r="AN8" s="1">
        <v>80272</v>
      </c>
      <c r="AO8" s="1">
        <v>6128</v>
      </c>
      <c r="AP8" s="1">
        <v>44113</v>
      </c>
      <c r="AQ8" s="1">
        <v>13.826346560234111</v>
      </c>
    </row>
    <row r="9" spans="1:43" x14ac:dyDescent="0.45">
      <c r="A9" s="1">
        <v>8</v>
      </c>
      <c r="B9" s="1">
        <v>26</v>
      </c>
      <c r="C9" s="1">
        <v>126</v>
      </c>
      <c r="D9" s="1" t="s">
        <v>51</v>
      </c>
      <c r="E9" s="1" t="s">
        <v>52</v>
      </c>
      <c r="F9" s="1" t="s">
        <v>53</v>
      </c>
      <c r="G9" s="1" t="s">
        <v>54</v>
      </c>
      <c r="H9" s="1" t="s">
        <v>47</v>
      </c>
      <c r="I9" s="1">
        <v>1113</v>
      </c>
      <c r="J9" s="1">
        <v>60690</v>
      </c>
      <c r="K9" s="1">
        <v>1</v>
      </c>
      <c r="L9" s="1">
        <v>125</v>
      </c>
      <c r="M9" s="1">
        <v>495</v>
      </c>
      <c r="N9" s="1" t="s">
        <v>48</v>
      </c>
      <c r="O9" s="1">
        <v>13939</v>
      </c>
      <c r="P9" s="1">
        <v>89</v>
      </c>
      <c r="Q9" s="1" t="s">
        <v>96</v>
      </c>
      <c r="R9" s="1" t="s">
        <v>50</v>
      </c>
      <c r="S9" s="1">
        <v>0</v>
      </c>
      <c r="T9" s="1">
        <v>0</v>
      </c>
      <c r="U9" s="1">
        <v>50.188000000000002</v>
      </c>
      <c r="V9" s="1">
        <v>26.661999999999999</v>
      </c>
      <c r="W9" s="1">
        <v>0.55000000000000004</v>
      </c>
      <c r="X9" s="1">
        <v>0.24</v>
      </c>
      <c r="Y9" s="1">
        <v>26.901</v>
      </c>
      <c r="Z9" s="1">
        <v>0.73699999999999999</v>
      </c>
      <c r="AA9" s="1">
        <v>0.4</v>
      </c>
      <c r="AB9" s="1">
        <v>0.4</v>
      </c>
      <c r="AC9" s="1">
        <v>0.4</v>
      </c>
      <c r="AD9" s="1">
        <v>0.24</v>
      </c>
      <c r="AE9" s="1">
        <v>0.73699999999999999</v>
      </c>
      <c r="AF9" s="1">
        <v>0.17699999999999999</v>
      </c>
      <c r="AG9" s="1">
        <v>0.4</v>
      </c>
      <c r="AI9" s="1">
        <v>0</v>
      </c>
      <c r="AJ9" s="1">
        <v>0</v>
      </c>
      <c r="AK9" s="1">
        <v>0</v>
      </c>
      <c r="AL9" s="1">
        <v>1</v>
      </c>
      <c r="AM9" s="1">
        <v>86400</v>
      </c>
      <c r="AN9" s="1">
        <v>66069</v>
      </c>
      <c r="AO9" s="1">
        <v>20331</v>
      </c>
      <c r="AP9" s="1">
        <v>46845</v>
      </c>
      <c r="AQ9" s="1">
        <v>2.0159687930275378</v>
      </c>
    </row>
    <row r="10" spans="1:43" x14ac:dyDescent="0.45">
      <c r="A10" s="1">
        <v>9</v>
      </c>
      <c r="B10" s="1">
        <v>26</v>
      </c>
      <c r="C10" s="1">
        <v>126</v>
      </c>
      <c r="D10" s="1" t="s">
        <v>51</v>
      </c>
      <c r="E10" s="1" t="s">
        <v>52</v>
      </c>
      <c r="F10" s="1" t="s">
        <v>53</v>
      </c>
      <c r="G10" s="1" t="s">
        <v>54</v>
      </c>
      <c r="H10" s="1" t="s">
        <v>47</v>
      </c>
      <c r="I10" s="1">
        <v>1113</v>
      </c>
      <c r="J10" s="1">
        <v>60690</v>
      </c>
      <c r="K10" s="1">
        <v>1</v>
      </c>
      <c r="L10" s="1">
        <v>125</v>
      </c>
      <c r="M10" s="1">
        <v>496</v>
      </c>
      <c r="N10" s="1" t="s">
        <v>48</v>
      </c>
      <c r="O10" s="1">
        <v>13942</v>
      </c>
      <c r="P10" s="1">
        <v>89</v>
      </c>
      <c r="Q10" s="1" t="s">
        <v>96</v>
      </c>
      <c r="R10" s="1" t="s">
        <v>50</v>
      </c>
      <c r="S10" s="1">
        <v>0</v>
      </c>
      <c r="T10" s="1">
        <v>0</v>
      </c>
      <c r="U10" s="1">
        <v>103.935</v>
      </c>
      <c r="V10" s="1">
        <v>26.231999999999999</v>
      </c>
      <c r="W10" s="1">
        <v>0.53</v>
      </c>
      <c r="X10" s="1">
        <v>0.14499999999999999</v>
      </c>
      <c r="Y10" s="1">
        <v>26.376999999999999</v>
      </c>
      <c r="Z10" s="1">
        <v>0.89900000000000002</v>
      </c>
      <c r="AA10" s="1">
        <v>0.7</v>
      </c>
      <c r="AB10" s="1">
        <v>0.7</v>
      </c>
      <c r="AC10" s="1">
        <v>0.7</v>
      </c>
      <c r="AD10" s="1">
        <v>0.14499999999999999</v>
      </c>
      <c r="AE10" s="1">
        <v>0.89800000000000002</v>
      </c>
      <c r="AF10" s="1">
        <v>0.13</v>
      </c>
      <c r="AG10" s="1">
        <v>0.7</v>
      </c>
      <c r="AI10" s="1">
        <v>0</v>
      </c>
      <c r="AJ10" s="1">
        <v>0</v>
      </c>
      <c r="AK10" s="1">
        <v>0</v>
      </c>
      <c r="AL10" s="1">
        <v>1</v>
      </c>
      <c r="AM10" s="1">
        <v>86400</v>
      </c>
      <c r="AN10" s="1">
        <v>80143</v>
      </c>
      <c r="AO10" s="1">
        <v>6257</v>
      </c>
      <c r="AP10" s="1">
        <v>44008</v>
      </c>
      <c r="AQ10" s="1">
        <v>13.86191296548439</v>
      </c>
    </row>
    <row r="11" spans="1:43" x14ac:dyDescent="0.45">
      <c r="A11" s="1">
        <v>10</v>
      </c>
      <c r="B11" s="1">
        <v>26</v>
      </c>
      <c r="C11" s="1">
        <v>126</v>
      </c>
      <c r="D11" s="1" t="s">
        <v>51</v>
      </c>
      <c r="E11" s="1" t="s">
        <v>52</v>
      </c>
      <c r="F11" s="1" t="s">
        <v>53</v>
      </c>
      <c r="G11" s="1" t="s">
        <v>54</v>
      </c>
      <c r="H11" s="1" t="s">
        <v>47</v>
      </c>
      <c r="I11" s="1">
        <v>1113</v>
      </c>
      <c r="J11" s="1">
        <v>60690</v>
      </c>
      <c r="K11" s="1">
        <v>1</v>
      </c>
      <c r="L11" s="1">
        <v>125</v>
      </c>
      <c r="M11" s="1">
        <v>497</v>
      </c>
      <c r="N11" s="1" t="s">
        <v>48</v>
      </c>
      <c r="O11" s="1">
        <v>13947</v>
      </c>
      <c r="P11" s="1">
        <v>89</v>
      </c>
      <c r="Q11" s="1" t="s">
        <v>96</v>
      </c>
      <c r="R11" s="1" t="s">
        <v>50</v>
      </c>
      <c r="S11" s="1">
        <v>0</v>
      </c>
      <c r="T11" s="1">
        <v>0</v>
      </c>
      <c r="U11" s="1">
        <v>65.254999999999995</v>
      </c>
      <c r="V11" s="1">
        <v>25.541</v>
      </c>
      <c r="W11" s="1">
        <v>0.53</v>
      </c>
      <c r="X11" s="1">
        <v>0.13700000000000001</v>
      </c>
      <c r="Y11" s="1">
        <v>25.678000000000001</v>
      </c>
      <c r="Z11" s="1">
        <v>0.77700000000000002</v>
      </c>
      <c r="AA11" s="1">
        <v>1</v>
      </c>
      <c r="AB11" s="1">
        <v>1</v>
      </c>
      <c r="AC11" s="1">
        <v>1</v>
      </c>
      <c r="AD11" s="1">
        <v>0.13700000000000001</v>
      </c>
      <c r="AE11" s="1">
        <v>0.77700000000000002</v>
      </c>
      <c r="AF11" s="1">
        <v>0.106</v>
      </c>
      <c r="AG11" s="1">
        <v>1</v>
      </c>
      <c r="AI11" s="1">
        <v>0</v>
      </c>
      <c r="AJ11" s="1">
        <v>0</v>
      </c>
      <c r="AK11" s="1">
        <v>0</v>
      </c>
      <c r="AL11" s="1">
        <v>1</v>
      </c>
      <c r="AM11" s="1">
        <v>86400</v>
      </c>
      <c r="AN11" s="1">
        <v>80699</v>
      </c>
      <c r="AO11" s="1">
        <v>5701</v>
      </c>
      <c r="AP11" s="1">
        <v>46982</v>
      </c>
      <c r="AQ11" s="1">
        <v>8.1583103042716871</v>
      </c>
    </row>
    <row r="12" spans="1:43" x14ac:dyDescent="0.45">
      <c r="A12" s="1">
        <v>11</v>
      </c>
      <c r="B12" s="1">
        <v>26</v>
      </c>
      <c r="C12" s="1">
        <v>126</v>
      </c>
      <c r="D12" s="1" t="s">
        <v>51</v>
      </c>
      <c r="E12" s="1" t="s">
        <v>52</v>
      </c>
      <c r="F12" s="1" t="s">
        <v>53</v>
      </c>
      <c r="G12" s="1" t="s">
        <v>54</v>
      </c>
      <c r="H12" s="1" t="s">
        <v>47</v>
      </c>
      <c r="I12" s="1">
        <v>1113</v>
      </c>
      <c r="J12" s="1">
        <v>60690</v>
      </c>
      <c r="K12" s="1">
        <v>1</v>
      </c>
      <c r="L12" s="1">
        <v>125</v>
      </c>
      <c r="M12" s="1">
        <v>499</v>
      </c>
      <c r="N12" s="1" t="s">
        <v>48</v>
      </c>
      <c r="O12" s="1">
        <v>13980</v>
      </c>
      <c r="P12" s="1">
        <v>89</v>
      </c>
      <c r="Q12" s="1" t="s">
        <v>96</v>
      </c>
      <c r="R12" s="1" t="s">
        <v>50</v>
      </c>
      <c r="S12" s="1">
        <v>0</v>
      </c>
      <c r="T12" s="1">
        <v>0</v>
      </c>
      <c r="U12" s="1">
        <v>129.672</v>
      </c>
      <c r="V12" s="1">
        <v>26.687000000000001</v>
      </c>
      <c r="W12" s="1">
        <v>1.23</v>
      </c>
      <c r="X12" s="1">
        <v>1.23</v>
      </c>
      <c r="Y12" s="1">
        <v>27.917000000000002</v>
      </c>
      <c r="Z12" s="1">
        <v>0.33900000000000002</v>
      </c>
      <c r="AA12" s="1">
        <v>1.7</v>
      </c>
      <c r="AB12" s="1">
        <v>1.7</v>
      </c>
      <c r="AC12" s="1">
        <v>1.7</v>
      </c>
      <c r="AD12" s="1">
        <v>1.23</v>
      </c>
      <c r="AE12" s="1">
        <v>0.33900000000000002</v>
      </c>
      <c r="AF12" s="1">
        <v>0.41699999999999998</v>
      </c>
      <c r="AG12" s="1">
        <v>1.7</v>
      </c>
      <c r="AI12" s="1">
        <v>0</v>
      </c>
      <c r="AJ12" s="1">
        <v>0</v>
      </c>
      <c r="AK12" s="1">
        <v>0</v>
      </c>
      <c r="AL12" s="1">
        <v>1</v>
      </c>
      <c r="AM12" s="1">
        <v>86400</v>
      </c>
      <c r="AN12" s="1">
        <v>80536</v>
      </c>
      <c r="AO12" s="1">
        <v>5864</v>
      </c>
      <c r="AP12" s="1">
        <v>46513</v>
      </c>
      <c r="AQ12" s="1">
        <v>16.446085103472111</v>
      </c>
    </row>
    <row r="13" spans="1:43" x14ac:dyDescent="0.45">
      <c r="A13" s="1">
        <v>12</v>
      </c>
      <c r="B13" s="1">
        <v>26</v>
      </c>
      <c r="C13" s="1">
        <v>126</v>
      </c>
      <c r="D13" s="1" t="s">
        <v>51</v>
      </c>
      <c r="E13" s="1" t="s">
        <v>52</v>
      </c>
      <c r="F13" s="1" t="s">
        <v>53</v>
      </c>
      <c r="G13" s="1" t="s">
        <v>54</v>
      </c>
      <c r="H13" s="1" t="s">
        <v>47</v>
      </c>
      <c r="I13" s="1">
        <v>1113</v>
      </c>
      <c r="J13" s="1">
        <v>60690</v>
      </c>
      <c r="K13" s="1">
        <v>1</v>
      </c>
      <c r="L13" s="1">
        <v>125</v>
      </c>
      <c r="M13" s="1">
        <v>500</v>
      </c>
      <c r="N13" s="1" t="s">
        <v>48</v>
      </c>
      <c r="O13" s="1">
        <v>13981</v>
      </c>
      <c r="P13" s="1">
        <v>89</v>
      </c>
      <c r="Q13" s="1" t="s">
        <v>96</v>
      </c>
      <c r="R13" s="1" t="s">
        <v>50</v>
      </c>
      <c r="S13" s="1">
        <v>0</v>
      </c>
      <c r="T13" s="1">
        <v>0</v>
      </c>
      <c r="U13" s="1">
        <v>101.494</v>
      </c>
      <c r="V13" s="1">
        <v>27.503</v>
      </c>
      <c r="W13" s="1">
        <v>0.56000000000000005</v>
      </c>
      <c r="X13" s="1">
        <v>0.41399999999999998</v>
      </c>
      <c r="Y13" s="1">
        <v>27.917000000000002</v>
      </c>
      <c r="Z13" s="1">
        <v>6.0999999999999999E-2</v>
      </c>
      <c r="AA13" s="1">
        <v>-2.4</v>
      </c>
      <c r="AB13" s="1">
        <v>1</v>
      </c>
      <c r="AC13" s="1">
        <v>1</v>
      </c>
      <c r="AD13" s="1">
        <v>0.41399999999999998</v>
      </c>
      <c r="AE13" s="1">
        <v>4.9000000000000002E-2</v>
      </c>
      <c r="AF13" s="1">
        <v>0.02</v>
      </c>
      <c r="AI13" s="1">
        <v>0</v>
      </c>
      <c r="AJ13" s="1">
        <v>0</v>
      </c>
      <c r="AK13" s="1">
        <v>0</v>
      </c>
      <c r="AL13" s="1">
        <v>1</v>
      </c>
      <c r="AM13" s="1">
        <v>86400</v>
      </c>
      <c r="AN13" s="1">
        <v>65144</v>
      </c>
      <c r="AO13" s="1">
        <v>21256</v>
      </c>
      <c r="AP13" s="1">
        <v>43818</v>
      </c>
      <c r="AQ13" s="1">
        <v>2.550246115372929</v>
      </c>
    </row>
    <row r="14" spans="1:43" x14ac:dyDescent="0.45">
      <c r="A14" s="1">
        <v>13</v>
      </c>
      <c r="B14" s="1">
        <v>26</v>
      </c>
      <c r="C14" s="1">
        <v>126</v>
      </c>
      <c r="D14" s="1" t="s">
        <v>51</v>
      </c>
      <c r="E14" s="1" t="s">
        <v>52</v>
      </c>
      <c r="F14" s="1" t="s">
        <v>53</v>
      </c>
      <c r="G14" s="1" t="s">
        <v>54</v>
      </c>
      <c r="H14" s="1" t="s">
        <v>47</v>
      </c>
      <c r="I14" s="1">
        <v>1113</v>
      </c>
      <c r="J14" s="1">
        <v>60690</v>
      </c>
      <c r="K14" s="1">
        <v>1</v>
      </c>
      <c r="L14" s="1">
        <v>125</v>
      </c>
      <c r="M14" s="1">
        <v>501</v>
      </c>
      <c r="N14" s="1" t="s">
        <v>48</v>
      </c>
      <c r="O14" s="1">
        <v>13983</v>
      </c>
      <c r="P14" s="1">
        <v>89</v>
      </c>
      <c r="Q14" s="1" t="s">
        <v>96</v>
      </c>
      <c r="R14" s="1" t="s">
        <v>50</v>
      </c>
      <c r="S14" s="1">
        <v>0</v>
      </c>
      <c r="T14" s="1">
        <v>0</v>
      </c>
      <c r="U14" s="1">
        <v>120.179</v>
      </c>
      <c r="V14" s="1">
        <v>26.143000000000001</v>
      </c>
      <c r="W14" s="1">
        <v>1.27</v>
      </c>
      <c r="X14" s="1">
        <v>1.774</v>
      </c>
      <c r="Y14" s="1">
        <v>27.917000000000002</v>
      </c>
      <c r="Z14" s="1">
        <v>1.0999999999999999E-2</v>
      </c>
      <c r="AA14" s="1">
        <v>3</v>
      </c>
      <c r="AB14" s="1">
        <v>0.5</v>
      </c>
      <c r="AC14" s="1">
        <v>0.5</v>
      </c>
      <c r="AD14" s="1">
        <v>1.774</v>
      </c>
      <c r="AE14" s="1">
        <v>1.0999999999999999E-2</v>
      </c>
      <c r="AF14" s="1">
        <v>0.02</v>
      </c>
      <c r="AG14" s="1">
        <v>3</v>
      </c>
      <c r="AI14" s="1">
        <v>0</v>
      </c>
      <c r="AJ14" s="1">
        <v>0</v>
      </c>
      <c r="AK14" s="1">
        <v>0</v>
      </c>
      <c r="AL14" s="1">
        <v>1</v>
      </c>
      <c r="AM14" s="1">
        <v>86400</v>
      </c>
      <c r="AN14" s="1">
        <v>80779</v>
      </c>
      <c r="AO14" s="1">
        <v>5621</v>
      </c>
      <c r="AP14" s="1">
        <v>46969</v>
      </c>
      <c r="AQ14" s="1">
        <v>18.214009098420071</v>
      </c>
    </row>
    <row r="15" spans="1:43" x14ac:dyDescent="0.45">
      <c r="A15" s="1">
        <v>14</v>
      </c>
      <c r="B15" s="1">
        <v>26</v>
      </c>
      <c r="C15" s="1">
        <v>126</v>
      </c>
      <c r="D15" s="1" t="s">
        <v>51</v>
      </c>
      <c r="E15" s="1" t="s">
        <v>52</v>
      </c>
      <c r="F15" s="1" t="s">
        <v>53</v>
      </c>
      <c r="G15" s="1" t="s">
        <v>54</v>
      </c>
      <c r="H15" s="1" t="s">
        <v>47</v>
      </c>
      <c r="I15" s="1">
        <v>1113</v>
      </c>
      <c r="J15" s="1">
        <v>60690</v>
      </c>
      <c r="K15" s="1">
        <v>1</v>
      </c>
      <c r="L15" s="1">
        <v>125</v>
      </c>
      <c r="M15" s="1">
        <v>502</v>
      </c>
      <c r="N15" s="1" t="s">
        <v>48</v>
      </c>
      <c r="O15" s="1">
        <v>13984</v>
      </c>
      <c r="P15" s="1">
        <v>89</v>
      </c>
      <c r="Q15" s="1" t="s">
        <v>96</v>
      </c>
      <c r="R15" s="1" t="s">
        <v>50</v>
      </c>
      <c r="S15" s="1">
        <v>0</v>
      </c>
      <c r="T15" s="1">
        <v>0</v>
      </c>
      <c r="U15" s="1">
        <v>56.768999999999998</v>
      </c>
      <c r="V15" s="1">
        <v>26.436</v>
      </c>
      <c r="W15" s="1">
        <v>1.23</v>
      </c>
      <c r="X15" s="1">
        <v>1.4810000000000001</v>
      </c>
      <c r="Y15" s="1">
        <v>27.917000000000002</v>
      </c>
      <c r="Z15" s="1">
        <v>5.8999999999999997E-2</v>
      </c>
      <c r="AA15" s="1">
        <v>2.2000000000000002</v>
      </c>
      <c r="AB15" s="1">
        <v>2</v>
      </c>
      <c r="AC15" s="1">
        <v>2</v>
      </c>
      <c r="AD15" s="1">
        <v>1.4810000000000001</v>
      </c>
      <c r="AE15" s="1">
        <v>5.5E-2</v>
      </c>
      <c r="AF15" s="1">
        <v>8.1000000000000003E-2</v>
      </c>
      <c r="AG15" s="1">
        <v>2.2000000000000002</v>
      </c>
      <c r="AI15" s="1">
        <v>0</v>
      </c>
      <c r="AJ15" s="1">
        <v>0</v>
      </c>
      <c r="AK15" s="1">
        <v>0</v>
      </c>
      <c r="AL15" s="1">
        <v>1</v>
      </c>
      <c r="AM15" s="1">
        <v>86400</v>
      </c>
      <c r="AN15" s="1">
        <v>78297</v>
      </c>
      <c r="AO15" s="1">
        <v>8103</v>
      </c>
      <c r="AP15" s="1">
        <v>43761</v>
      </c>
      <c r="AQ15" s="1">
        <v>8.1239243294216497</v>
      </c>
    </row>
    <row r="16" spans="1:43" x14ac:dyDescent="0.45">
      <c r="A16" s="1">
        <v>15</v>
      </c>
      <c r="B16" s="1">
        <v>26</v>
      </c>
      <c r="C16" s="1">
        <v>126</v>
      </c>
      <c r="D16" s="1" t="s">
        <v>51</v>
      </c>
      <c r="E16" s="1" t="s">
        <v>52</v>
      </c>
      <c r="F16" s="1" t="s">
        <v>53</v>
      </c>
      <c r="G16" s="1" t="s">
        <v>54</v>
      </c>
      <c r="H16" s="1" t="s">
        <v>47</v>
      </c>
      <c r="I16" s="1">
        <v>1113</v>
      </c>
      <c r="J16" s="1">
        <v>60690</v>
      </c>
      <c r="K16" s="1">
        <v>1</v>
      </c>
      <c r="L16" s="1">
        <v>125</v>
      </c>
      <c r="M16" s="1">
        <v>503</v>
      </c>
      <c r="N16" s="1" t="s">
        <v>48</v>
      </c>
      <c r="O16" s="1">
        <v>13985</v>
      </c>
      <c r="P16" s="1">
        <v>89</v>
      </c>
      <c r="Q16" s="1" t="s">
        <v>96</v>
      </c>
      <c r="R16" s="1" t="s">
        <v>50</v>
      </c>
      <c r="S16" s="1">
        <v>0</v>
      </c>
      <c r="T16" s="1">
        <v>0</v>
      </c>
      <c r="U16" s="1">
        <v>123.34399999999999</v>
      </c>
      <c r="V16" s="1">
        <v>26.719000000000001</v>
      </c>
      <c r="W16" s="1">
        <v>1.21</v>
      </c>
      <c r="X16" s="1">
        <v>1.198</v>
      </c>
      <c r="Y16" s="1">
        <v>27.917000000000002</v>
      </c>
      <c r="Z16" s="1">
        <v>0.214</v>
      </c>
      <c r="AA16" s="1">
        <v>1</v>
      </c>
      <c r="AB16" s="1">
        <v>1</v>
      </c>
      <c r="AC16" s="1">
        <v>1</v>
      </c>
      <c r="AD16" s="1">
        <v>1.198</v>
      </c>
      <c r="AE16" s="1">
        <v>0.214</v>
      </c>
      <c r="AF16" s="1">
        <v>0.25600000000000001</v>
      </c>
      <c r="AG16" s="1">
        <v>1</v>
      </c>
      <c r="AI16" s="1">
        <v>0</v>
      </c>
      <c r="AJ16" s="1">
        <v>0</v>
      </c>
      <c r="AK16" s="1">
        <v>0</v>
      </c>
      <c r="AL16" s="1">
        <v>1</v>
      </c>
      <c r="AM16" s="1">
        <v>86400</v>
      </c>
      <c r="AN16" s="1">
        <v>74948</v>
      </c>
      <c r="AO16" s="1">
        <v>11452</v>
      </c>
      <c r="AP16" s="1">
        <v>43921</v>
      </c>
      <c r="AQ16" s="1">
        <v>19.124216548558131</v>
      </c>
    </row>
    <row r="17" spans="1:43" x14ac:dyDescent="0.45">
      <c r="A17" s="1">
        <v>16</v>
      </c>
      <c r="B17" s="1">
        <v>26</v>
      </c>
      <c r="C17" s="1">
        <v>126</v>
      </c>
      <c r="D17" s="1" t="s">
        <v>51</v>
      </c>
      <c r="E17" s="1" t="s">
        <v>52</v>
      </c>
      <c r="F17" s="1" t="s">
        <v>53</v>
      </c>
      <c r="G17" s="1" t="s">
        <v>54</v>
      </c>
      <c r="H17" s="1" t="s">
        <v>47</v>
      </c>
      <c r="I17" s="1">
        <v>1113</v>
      </c>
      <c r="J17" s="1">
        <v>60690</v>
      </c>
      <c r="K17" s="1">
        <v>1</v>
      </c>
      <c r="L17" s="1">
        <v>125</v>
      </c>
      <c r="M17" s="1">
        <v>504</v>
      </c>
      <c r="N17" s="1" t="s">
        <v>48</v>
      </c>
      <c r="O17" s="1">
        <v>13991</v>
      </c>
      <c r="P17" s="1">
        <v>89</v>
      </c>
      <c r="Q17" s="1" t="s">
        <v>96</v>
      </c>
      <c r="R17" s="1" t="s">
        <v>50</v>
      </c>
      <c r="S17" s="1">
        <v>0</v>
      </c>
      <c r="T17" s="1">
        <v>0</v>
      </c>
      <c r="U17" s="1">
        <v>207.12200000000001</v>
      </c>
      <c r="V17" s="1">
        <v>27.35</v>
      </c>
      <c r="W17" s="1">
        <v>0.62</v>
      </c>
      <c r="X17" s="1">
        <v>0.73399999999999999</v>
      </c>
      <c r="Y17" s="1">
        <v>28.084</v>
      </c>
      <c r="Z17" s="1">
        <v>0.157</v>
      </c>
      <c r="AA17" s="1">
        <v>1.2</v>
      </c>
      <c r="AB17" s="1">
        <v>1.2</v>
      </c>
      <c r="AC17" s="1">
        <v>1.2</v>
      </c>
      <c r="AD17" s="1">
        <v>0.73399999999999999</v>
      </c>
      <c r="AE17" s="1">
        <v>0.156</v>
      </c>
      <c r="AF17" s="1">
        <v>0.115</v>
      </c>
      <c r="AG17" s="1">
        <v>1.2</v>
      </c>
      <c r="AI17" s="1">
        <v>0</v>
      </c>
      <c r="AJ17" s="1">
        <v>0</v>
      </c>
      <c r="AK17" s="1">
        <v>0</v>
      </c>
      <c r="AL17" s="1">
        <v>1</v>
      </c>
      <c r="AM17" s="1">
        <v>86400</v>
      </c>
      <c r="AN17" s="1">
        <v>79047</v>
      </c>
      <c r="AO17" s="1">
        <v>7353</v>
      </c>
      <c r="AP17" s="1">
        <v>43622</v>
      </c>
      <c r="AQ17" s="1">
        <v>19.211231599200559</v>
      </c>
    </row>
    <row r="18" spans="1:43" x14ac:dyDescent="0.45">
      <c r="A18" s="1">
        <v>17</v>
      </c>
      <c r="B18" s="1">
        <v>26</v>
      </c>
      <c r="C18" s="1">
        <v>126</v>
      </c>
      <c r="D18" s="1" t="s">
        <v>51</v>
      </c>
      <c r="E18" s="1" t="s">
        <v>52</v>
      </c>
      <c r="F18" s="1" t="s">
        <v>53</v>
      </c>
      <c r="G18" s="1" t="s">
        <v>54</v>
      </c>
      <c r="H18" s="1" t="s">
        <v>47</v>
      </c>
      <c r="I18" s="1">
        <v>1113</v>
      </c>
      <c r="J18" s="1">
        <v>60690</v>
      </c>
      <c r="K18" s="1">
        <v>1</v>
      </c>
      <c r="L18" s="1">
        <v>125</v>
      </c>
      <c r="M18" s="1">
        <v>506</v>
      </c>
      <c r="N18" s="1" t="s">
        <v>48</v>
      </c>
      <c r="O18" s="1">
        <v>13995</v>
      </c>
      <c r="P18" s="1">
        <v>89</v>
      </c>
      <c r="Q18" s="1" t="s">
        <v>96</v>
      </c>
      <c r="R18" s="1" t="s">
        <v>50</v>
      </c>
      <c r="S18" s="1">
        <v>0</v>
      </c>
      <c r="T18" s="1">
        <v>0</v>
      </c>
      <c r="U18" s="1">
        <v>115.254</v>
      </c>
      <c r="V18" s="1">
        <v>27.329000000000001</v>
      </c>
      <c r="W18" s="1">
        <v>0.56999999999999995</v>
      </c>
      <c r="X18" s="1">
        <v>0.39300000000000002</v>
      </c>
      <c r="Y18" s="1">
        <v>27.721</v>
      </c>
      <c r="Z18" s="1">
        <v>0.24299999999999999</v>
      </c>
      <c r="AA18" s="1">
        <v>-2.2999999999999998</v>
      </c>
      <c r="AB18" s="1">
        <v>-2.2999999999999998</v>
      </c>
      <c r="AC18" s="1">
        <v>-2.2999999999999998</v>
      </c>
      <c r="AD18" s="1">
        <v>0.39300000000000002</v>
      </c>
      <c r="AE18" s="1">
        <v>0.24299999999999999</v>
      </c>
      <c r="AF18" s="1">
        <v>9.5000000000000001E-2</v>
      </c>
      <c r="AG18" s="1">
        <v>-2.2999999999999998</v>
      </c>
      <c r="AI18" s="1">
        <v>0</v>
      </c>
      <c r="AJ18" s="1">
        <v>0</v>
      </c>
      <c r="AK18" s="1">
        <v>0</v>
      </c>
      <c r="AL18" s="1">
        <v>1</v>
      </c>
      <c r="AM18" s="1">
        <v>86400</v>
      </c>
      <c r="AN18" s="1">
        <v>68049</v>
      </c>
      <c r="AO18" s="1">
        <v>18351</v>
      </c>
      <c r="AP18" s="1">
        <v>47211</v>
      </c>
      <c r="AQ18" s="1">
        <v>6.441037423361375</v>
      </c>
    </row>
    <row r="19" spans="1:43" x14ac:dyDescent="0.45">
      <c r="A19" s="1">
        <v>18</v>
      </c>
      <c r="B19" s="1">
        <v>26</v>
      </c>
      <c r="C19" s="1">
        <v>126</v>
      </c>
      <c r="D19" s="1" t="s">
        <v>51</v>
      </c>
      <c r="E19" s="1" t="s">
        <v>52</v>
      </c>
      <c r="F19" s="1" t="s">
        <v>53</v>
      </c>
      <c r="G19" s="1" t="s">
        <v>54</v>
      </c>
      <c r="H19" s="1" t="s">
        <v>47</v>
      </c>
      <c r="I19" s="1">
        <v>1113</v>
      </c>
      <c r="J19" s="1">
        <v>60690</v>
      </c>
      <c r="K19" s="1">
        <v>1</v>
      </c>
      <c r="L19" s="1">
        <v>125</v>
      </c>
      <c r="M19" s="1">
        <v>508</v>
      </c>
      <c r="N19" s="1" t="s">
        <v>48</v>
      </c>
      <c r="O19" s="1">
        <v>13998</v>
      </c>
      <c r="P19" s="1">
        <v>89</v>
      </c>
      <c r="Q19" s="1" t="s">
        <v>96</v>
      </c>
      <c r="R19" s="1" t="s">
        <v>50</v>
      </c>
      <c r="S19" s="1">
        <v>0</v>
      </c>
      <c r="T19" s="1">
        <v>0</v>
      </c>
      <c r="U19" s="1">
        <v>119.096</v>
      </c>
      <c r="V19" s="1">
        <v>27.666</v>
      </c>
      <c r="W19" s="1">
        <v>0.52</v>
      </c>
      <c r="X19" s="1">
        <v>0.113</v>
      </c>
      <c r="Y19" s="1">
        <v>27.779</v>
      </c>
      <c r="Z19" s="1">
        <v>0.36699999999999999</v>
      </c>
      <c r="AA19" s="1">
        <v>1.1000000000000001</v>
      </c>
      <c r="AB19" s="1">
        <v>1.1000000000000001</v>
      </c>
      <c r="AC19" s="1">
        <v>1.1000000000000001</v>
      </c>
      <c r="AD19" s="1">
        <v>0.113</v>
      </c>
      <c r="AE19" s="1">
        <v>0.36699999999999999</v>
      </c>
      <c r="AF19" s="1">
        <v>4.2000000000000003E-2</v>
      </c>
      <c r="AG19" s="1">
        <v>1.1000000000000001</v>
      </c>
      <c r="AI19" s="1">
        <v>0</v>
      </c>
      <c r="AJ19" s="1">
        <v>0</v>
      </c>
      <c r="AK19" s="1">
        <v>0</v>
      </c>
      <c r="AL19" s="1">
        <v>1</v>
      </c>
      <c r="AM19" s="1">
        <v>86400</v>
      </c>
      <c r="AN19" s="1">
        <v>78734</v>
      </c>
      <c r="AO19" s="1">
        <v>7666</v>
      </c>
      <c r="AP19" s="1">
        <v>47013</v>
      </c>
      <c r="AQ19" s="1">
        <v>10.97122603180012</v>
      </c>
    </row>
    <row r="20" spans="1:43" x14ac:dyDescent="0.45">
      <c r="A20" s="1">
        <v>19</v>
      </c>
      <c r="B20" s="1">
        <v>26</v>
      </c>
      <c r="C20" s="1">
        <v>126</v>
      </c>
      <c r="D20" s="1" t="s">
        <v>51</v>
      </c>
      <c r="E20" s="1" t="s">
        <v>52</v>
      </c>
      <c r="F20" s="1" t="s">
        <v>53</v>
      </c>
      <c r="G20" s="1" t="s">
        <v>54</v>
      </c>
      <c r="H20" s="1" t="s">
        <v>47</v>
      </c>
      <c r="I20" s="1">
        <v>1113</v>
      </c>
      <c r="J20" s="1">
        <v>60690</v>
      </c>
      <c r="K20" s="1">
        <v>1</v>
      </c>
      <c r="L20" s="1">
        <v>125</v>
      </c>
      <c r="M20" s="1">
        <v>509</v>
      </c>
      <c r="N20" s="1" t="s">
        <v>48</v>
      </c>
      <c r="O20" s="1">
        <v>14003</v>
      </c>
      <c r="P20" s="1">
        <v>89</v>
      </c>
      <c r="Q20" s="1" t="s">
        <v>96</v>
      </c>
      <c r="R20" s="1" t="s">
        <v>50</v>
      </c>
      <c r="S20" s="1">
        <v>0</v>
      </c>
      <c r="T20" s="1">
        <v>0</v>
      </c>
      <c r="U20" s="1">
        <v>228.09399999999999</v>
      </c>
      <c r="V20" s="1">
        <v>27.916</v>
      </c>
      <c r="W20" s="1">
        <v>0.53</v>
      </c>
      <c r="X20" s="1">
        <v>0.185</v>
      </c>
      <c r="Y20" s="1">
        <v>28.100999999999999</v>
      </c>
      <c r="Z20" s="1">
        <v>0.27700000000000002</v>
      </c>
      <c r="AA20" s="1">
        <v>1.1000000000000001</v>
      </c>
      <c r="AB20" s="1">
        <v>1.1000000000000001</v>
      </c>
      <c r="AC20" s="1">
        <v>1.1000000000000001</v>
      </c>
      <c r="AD20" s="1">
        <v>0.185</v>
      </c>
      <c r="AE20" s="1">
        <v>0.27700000000000002</v>
      </c>
      <c r="AF20" s="1">
        <v>5.0999999999999997E-2</v>
      </c>
      <c r="AG20" s="1">
        <v>1.1000000000000001</v>
      </c>
      <c r="AI20" s="1">
        <v>0</v>
      </c>
      <c r="AJ20" s="1">
        <v>0</v>
      </c>
      <c r="AK20" s="1">
        <v>0</v>
      </c>
      <c r="AL20" s="1">
        <v>1</v>
      </c>
      <c r="AM20" s="1">
        <v>86400</v>
      </c>
      <c r="AN20" s="1">
        <v>79247</v>
      </c>
      <c r="AO20" s="1">
        <v>7153</v>
      </c>
      <c r="AP20" s="1">
        <v>43484</v>
      </c>
      <c r="AQ20" s="1">
        <v>19.374882702662571</v>
      </c>
    </row>
    <row r="21" spans="1:43" x14ac:dyDescent="0.45">
      <c r="A21" s="1">
        <v>20</v>
      </c>
      <c r="B21" s="1">
        <v>26</v>
      </c>
      <c r="C21" s="1">
        <v>126</v>
      </c>
      <c r="D21" s="1" t="s">
        <v>51</v>
      </c>
      <c r="E21" s="1" t="s">
        <v>52</v>
      </c>
      <c r="F21" s="1" t="s">
        <v>53</v>
      </c>
      <c r="G21" s="1" t="s">
        <v>54</v>
      </c>
      <c r="H21" s="1" t="s">
        <v>47</v>
      </c>
      <c r="I21" s="1">
        <v>1113</v>
      </c>
      <c r="J21" s="1">
        <v>60690</v>
      </c>
      <c r="K21" s="1">
        <v>1</v>
      </c>
      <c r="L21" s="1">
        <v>125</v>
      </c>
      <c r="M21" s="1">
        <v>511</v>
      </c>
      <c r="N21" s="1" t="s">
        <v>48</v>
      </c>
      <c r="O21" s="1">
        <v>14028</v>
      </c>
      <c r="P21" s="1">
        <v>89</v>
      </c>
      <c r="Q21" s="1" t="s">
        <v>96</v>
      </c>
      <c r="R21" s="1" t="s">
        <v>50</v>
      </c>
      <c r="S21" s="1">
        <v>0</v>
      </c>
      <c r="T21" s="1">
        <v>0</v>
      </c>
      <c r="U21" s="1">
        <v>53.363999999999997</v>
      </c>
      <c r="V21" s="1">
        <v>26.815000000000001</v>
      </c>
      <c r="W21" s="1">
        <v>1.1399999999999999</v>
      </c>
      <c r="X21" s="1">
        <v>0.90800000000000003</v>
      </c>
      <c r="Y21" s="1">
        <v>27.722999999999999</v>
      </c>
      <c r="Z21" s="1">
        <v>0.06</v>
      </c>
      <c r="AA21" s="1">
        <v>-0.7</v>
      </c>
      <c r="AB21" s="1">
        <v>-0.6</v>
      </c>
      <c r="AC21" s="1">
        <v>-0.6</v>
      </c>
      <c r="AD21" s="1">
        <v>0.90800000000000003</v>
      </c>
      <c r="AE21" s="1">
        <v>5.7000000000000002E-2</v>
      </c>
      <c r="AF21" s="1">
        <v>5.2999999999999999E-2</v>
      </c>
      <c r="AG21" s="1">
        <v>-0.7</v>
      </c>
      <c r="AI21" s="1">
        <v>0</v>
      </c>
      <c r="AJ21" s="1">
        <v>0</v>
      </c>
      <c r="AK21" s="1">
        <v>0</v>
      </c>
      <c r="AL21" s="1">
        <v>1</v>
      </c>
      <c r="AM21" s="1">
        <v>86400</v>
      </c>
      <c r="AN21" s="1">
        <v>78823</v>
      </c>
      <c r="AO21" s="1">
        <v>7577</v>
      </c>
      <c r="AP21" s="1">
        <v>47207</v>
      </c>
      <c r="AQ21" s="1">
        <v>8.9482359510857084</v>
      </c>
    </row>
    <row r="22" spans="1:43" x14ac:dyDescent="0.45">
      <c r="A22" s="1">
        <v>21</v>
      </c>
      <c r="B22" s="1">
        <v>26</v>
      </c>
      <c r="C22" s="1">
        <v>126</v>
      </c>
      <c r="D22" s="1" t="s">
        <v>51</v>
      </c>
      <c r="E22" s="1" t="s">
        <v>52</v>
      </c>
      <c r="F22" s="1" t="s">
        <v>53</v>
      </c>
      <c r="G22" s="1" t="s">
        <v>54</v>
      </c>
      <c r="H22" s="1" t="s">
        <v>47</v>
      </c>
      <c r="I22" s="1">
        <v>1113</v>
      </c>
      <c r="J22" s="1">
        <v>60690</v>
      </c>
      <c r="K22" s="1">
        <v>1</v>
      </c>
      <c r="L22" s="1">
        <v>125</v>
      </c>
      <c r="M22" s="1">
        <v>512</v>
      </c>
      <c r="N22" s="1" t="s">
        <v>48</v>
      </c>
      <c r="O22" s="1">
        <v>14029</v>
      </c>
      <c r="P22" s="1">
        <v>89</v>
      </c>
      <c r="Q22" s="1" t="s">
        <v>96</v>
      </c>
      <c r="R22" s="1" t="s">
        <v>50</v>
      </c>
      <c r="S22" s="1">
        <v>0</v>
      </c>
      <c r="T22" s="1">
        <v>0</v>
      </c>
      <c r="U22" s="1">
        <v>87.582999999999998</v>
      </c>
      <c r="V22" s="1">
        <v>26.785</v>
      </c>
      <c r="W22" s="1">
        <v>1.1499999999999999</v>
      </c>
      <c r="X22" s="1">
        <v>0.93600000000000005</v>
      </c>
      <c r="Y22" s="1">
        <v>27.721</v>
      </c>
      <c r="Z22" s="1">
        <v>6.3E-2</v>
      </c>
      <c r="AA22" s="1">
        <v>-0.9</v>
      </c>
      <c r="AB22" s="1">
        <v>2.2000000000000002</v>
      </c>
      <c r="AC22" s="1">
        <v>2.2000000000000002</v>
      </c>
      <c r="AD22" s="1">
        <v>0.93600000000000005</v>
      </c>
      <c r="AE22" s="1">
        <v>5.3999999999999999E-2</v>
      </c>
      <c r="AF22" s="1">
        <v>5.0999999999999997E-2</v>
      </c>
      <c r="AG22" s="1">
        <v>-0.9</v>
      </c>
      <c r="AI22" s="1">
        <v>0</v>
      </c>
      <c r="AJ22" s="1">
        <v>0</v>
      </c>
      <c r="AK22" s="1">
        <v>0</v>
      </c>
      <c r="AL22" s="1">
        <v>1</v>
      </c>
      <c r="AM22" s="1">
        <v>86400</v>
      </c>
      <c r="AN22" s="1">
        <v>80264</v>
      </c>
      <c r="AO22" s="1">
        <v>6136</v>
      </c>
      <c r="AP22" s="1">
        <v>46914</v>
      </c>
      <c r="AQ22" s="1">
        <v>5.2917711164931864</v>
      </c>
    </row>
    <row r="23" spans="1:43" x14ac:dyDescent="0.45">
      <c r="A23" s="1">
        <v>22</v>
      </c>
      <c r="B23" s="1">
        <v>26</v>
      </c>
      <c r="C23" s="1">
        <v>126</v>
      </c>
      <c r="D23" s="1" t="s">
        <v>51</v>
      </c>
      <c r="E23" s="1" t="s">
        <v>52</v>
      </c>
      <c r="F23" s="1" t="s">
        <v>53</v>
      </c>
      <c r="G23" s="1" t="s">
        <v>54</v>
      </c>
      <c r="H23" s="1" t="s">
        <v>47</v>
      </c>
      <c r="I23" s="1">
        <v>1113</v>
      </c>
      <c r="J23" s="1">
        <v>60690</v>
      </c>
      <c r="K23" s="1">
        <v>1</v>
      </c>
      <c r="L23" s="1">
        <v>125</v>
      </c>
      <c r="M23" s="1">
        <v>862</v>
      </c>
      <c r="N23" s="1" t="s">
        <v>48</v>
      </c>
      <c r="O23" s="1">
        <v>14674</v>
      </c>
      <c r="P23" s="1">
        <v>89</v>
      </c>
      <c r="Q23" s="1" t="s">
        <v>96</v>
      </c>
      <c r="R23" s="1" t="s">
        <v>50</v>
      </c>
      <c r="S23" s="1">
        <v>0</v>
      </c>
      <c r="T23" s="1">
        <v>0</v>
      </c>
      <c r="U23" s="1">
        <v>161.94</v>
      </c>
      <c r="V23" s="1">
        <v>27.719000000000001</v>
      </c>
      <c r="W23" s="1">
        <v>0.56000000000000005</v>
      </c>
      <c r="X23" s="1">
        <v>0.34899999999999998</v>
      </c>
      <c r="Y23" s="1">
        <v>28.068000000000001</v>
      </c>
      <c r="Z23" s="1">
        <v>0.32500000000000001</v>
      </c>
      <c r="AA23" s="1">
        <v>-2.4</v>
      </c>
      <c r="AB23" s="1">
        <v>-2.4</v>
      </c>
      <c r="AC23" s="1">
        <v>-2.4</v>
      </c>
      <c r="AD23" s="1">
        <v>0.34899999999999998</v>
      </c>
      <c r="AE23" s="1">
        <v>0.32500000000000001</v>
      </c>
      <c r="AF23" s="1">
        <v>0.113</v>
      </c>
      <c r="AG23" s="1">
        <v>-2.4</v>
      </c>
      <c r="AI23" s="1">
        <v>0</v>
      </c>
      <c r="AJ23" s="1">
        <v>0</v>
      </c>
      <c r="AK23" s="1">
        <v>0</v>
      </c>
      <c r="AL23" s="1">
        <v>1</v>
      </c>
      <c r="AM23" s="1">
        <v>86400</v>
      </c>
      <c r="AN23" s="1">
        <v>78567</v>
      </c>
      <c r="AO23" s="1">
        <v>7833</v>
      </c>
      <c r="AP23" s="1">
        <v>43493</v>
      </c>
      <c r="AQ23" s="1">
        <v>18.43219016539382</v>
      </c>
    </row>
    <row r="24" spans="1:43" x14ac:dyDescent="0.45">
      <c r="A24" s="1">
        <v>23</v>
      </c>
      <c r="B24" s="1">
        <v>26</v>
      </c>
      <c r="C24" s="1">
        <v>126</v>
      </c>
      <c r="D24" s="1" t="s">
        <v>51</v>
      </c>
      <c r="E24" s="1" t="s">
        <v>52</v>
      </c>
      <c r="F24" s="1" t="s">
        <v>53</v>
      </c>
      <c r="G24" s="1" t="s">
        <v>54</v>
      </c>
      <c r="H24" s="1" t="s">
        <v>47</v>
      </c>
      <c r="I24" s="1">
        <v>1113</v>
      </c>
      <c r="J24" s="1">
        <v>60690</v>
      </c>
      <c r="K24" s="1">
        <v>1</v>
      </c>
      <c r="L24" s="1">
        <v>125</v>
      </c>
      <c r="M24" s="1">
        <v>1028</v>
      </c>
      <c r="N24" s="1" t="s">
        <v>48</v>
      </c>
      <c r="O24" s="1">
        <v>15204</v>
      </c>
      <c r="P24" s="1">
        <v>89</v>
      </c>
      <c r="Q24" s="1" t="s">
        <v>96</v>
      </c>
      <c r="R24" s="1" t="s">
        <v>50</v>
      </c>
      <c r="S24" s="1">
        <v>0</v>
      </c>
      <c r="T24" s="1">
        <v>0</v>
      </c>
      <c r="U24" s="1">
        <v>79.594999999999999</v>
      </c>
      <c r="V24" s="1">
        <v>24.753</v>
      </c>
      <c r="W24" s="1">
        <v>0.53</v>
      </c>
      <c r="X24" s="1">
        <v>0.104</v>
      </c>
      <c r="Y24" s="1">
        <v>24.856999999999999</v>
      </c>
      <c r="Z24" s="1">
        <v>1.45</v>
      </c>
      <c r="AA24" s="1">
        <v>-0.5</v>
      </c>
      <c r="AB24" s="1">
        <v>-0.5</v>
      </c>
      <c r="AC24" s="1">
        <v>-0.5</v>
      </c>
      <c r="AD24" s="1">
        <v>0.104</v>
      </c>
      <c r="AE24" s="1">
        <v>1.448</v>
      </c>
      <c r="AF24" s="1">
        <v>0.151</v>
      </c>
      <c r="AG24" s="1">
        <v>-0.5</v>
      </c>
      <c r="AI24" s="1">
        <v>0</v>
      </c>
      <c r="AJ24" s="1">
        <v>0</v>
      </c>
      <c r="AK24" s="1">
        <v>0</v>
      </c>
      <c r="AL24" s="1">
        <v>1</v>
      </c>
      <c r="AM24" s="1">
        <v>51406</v>
      </c>
      <c r="AN24" s="1">
        <v>7806</v>
      </c>
      <c r="AO24" s="1">
        <v>43600</v>
      </c>
      <c r="AP24" s="1">
        <v>49580</v>
      </c>
      <c r="AQ24" s="1">
        <v>19.459996869921991</v>
      </c>
    </row>
    <row r="25" spans="1:43" x14ac:dyDescent="0.45">
      <c r="A25" s="1">
        <v>24</v>
      </c>
      <c r="B25" s="1">
        <v>26</v>
      </c>
      <c r="C25" s="1">
        <v>126</v>
      </c>
      <c r="D25" s="1" t="s">
        <v>51</v>
      </c>
      <c r="E25" s="1" t="s">
        <v>52</v>
      </c>
      <c r="F25" s="1" t="s">
        <v>53</v>
      </c>
      <c r="G25" s="1" t="s">
        <v>54</v>
      </c>
      <c r="H25" s="1" t="s">
        <v>47</v>
      </c>
      <c r="I25" s="1">
        <v>1113</v>
      </c>
      <c r="J25" s="1">
        <v>60690</v>
      </c>
      <c r="K25" s="1">
        <v>1</v>
      </c>
      <c r="L25" s="1">
        <v>125</v>
      </c>
      <c r="M25" s="1">
        <v>1029</v>
      </c>
      <c r="N25" s="1" t="s">
        <v>48</v>
      </c>
      <c r="O25" s="1">
        <v>15209</v>
      </c>
      <c r="P25" s="1">
        <v>89</v>
      </c>
      <c r="Q25" s="1" t="s">
        <v>96</v>
      </c>
      <c r="R25" s="1" t="s">
        <v>50</v>
      </c>
      <c r="S25" s="1">
        <v>0</v>
      </c>
      <c r="T25" s="1">
        <v>0</v>
      </c>
      <c r="U25" s="1">
        <v>81.462000000000003</v>
      </c>
      <c r="V25" s="1">
        <v>25.463000000000001</v>
      </c>
      <c r="W25" s="1">
        <v>0.53</v>
      </c>
      <c r="X25" s="1">
        <v>0.114</v>
      </c>
      <c r="Y25" s="1">
        <v>25.577000000000002</v>
      </c>
      <c r="Z25" s="1">
        <v>1.538</v>
      </c>
      <c r="AA25" s="1">
        <v>-0.3</v>
      </c>
      <c r="AB25" s="1">
        <v>-0.3</v>
      </c>
      <c r="AC25" s="1">
        <v>-0.3</v>
      </c>
      <c r="AD25" s="1">
        <v>0.114</v>
      </c>
      <c r="AE25" s="1">
        <v>1.536</v>
      </c>
      <c r="AF25" s="1">
        <v>0.17499999999999999</v>
      </c>
      <c r="AG25" s="1">
        <v>-0.3</v>
      </c>
      <c r="AI25" s="1">
        <v>0</v>
      </c>
      <c r="AJ25" s="1">
        <v>0</v>
      </c>
      <c r="AK25" s="1">
        <v>0</v>
      </c>
      <c r="AL25" s="1">
        <v>1</v>
      </c>
      <c r="AM25" s="1">
        <v>51647</v>
      </c>
      <c r="AN25" s="1">
        <v>8240</v>
      </c>
      <c r="AO25" s="1">
        <v>43407</v>
      </c>
      <c r="AP25" s="1">
        <v>49690</v>
      </c>
      <c r="AQ25" s="1">
        <v>19.444313953251971</v>
      </c>
    </row>
    <row r="26" spans="1:43" x14ac:dyDescent="0.45">
      <c r="A26" s="1">
        <v>25</v>
      </c>
      <c r="B26" s="1">
        <v>26</v>
      </c>
      <c r="C26" s="1">
        <v>126</v>
      </c>
      <c r="D26" s="1" t="s">
        <v>51</v>
      </c>
      <c r="E26" s="1" t="s">
        <v>52</v>
      </c>
      <c r="F26" s="1" t="s">
        <v>53</v>
      </c>
      <c r="G26" s="1" t="s">
        <v>54</v>
      </c>
      <c r="H26" s="1" t="s">
        <v>47</v>
      </c>
      <c r="I26" s="1">
        <v>1113</v>
      </c>
      <c r="J26" s="1">
        <v>60690</v>
      </c>
      <c r="K26" s="1">
        <v>1</v>
      </c>
      <c r="L26" s="1">
        <v>125</v>
      </c>
      <c r="M26" s="1">
        <v>1030</v>
      </c>
      <c r="N26" s="1" t="s">
        <v>48</v>
      </c>
      <c r="O26" s="1">
        <v>15219</v>
      </c>
      <c r="P26" s="1">
        <v>89</v>
      </c>
      <c r="Q26" s="1" t="s">
        <v>96</v>
      </c>
      <c r="R26" s="1" t="s">
        <v>50</v>
      </c>
      <c r="S26" s="1">
        <v>0</v>
      </c>
      <c r="T26" s="1">
        <v>0</v>
      </c>
      <c r="U26" s="1">
        <v>162.55099999999999</v>
      </c>
      <c r="V26" s="1">
        <v>27.558</v>
      </c>
      <c r="W26" s="1">
        <v>0.61</v>
      </c>
      <c r="X26" s="1">
        <v>0.63900000000000001</v>
      </c>
      <c r="Y26" s="1">
        <v>28.196999999999999</v>
      </c>
      <c r="Z26" s="1">
        <v>0.20499999999999999</v>
      </c>
      <c r="AA26" s="1">
        <v>-3.1</v>
      </c>
      <c r="AB26" s="1">
        <v>-3.1</v>
      </c>
      <c r="AC26" s="1">
        <v>-3.1</v>
      </c>
      <c r="AD26" s="1">
        <v>0.63900000000000001</v>
      </c>
      <c r="AE26" s="1">
        <v>0.20499999999999999</v>
      </c>
      <c r="AF26" s="1">
        <v>0.13100000000000001</v>
      </c>
      <c r="AG26" s="1">
        <v>-3.1</v>
      </c>
      <c r="AI26" s="1">
        <v>0</v>
      </c>
      <c r="AJ26" s="1">
        <v>0</v>
      </c>
      <c r="AK26" s="1">
        <v>0</v>
      </c>
      <c r="AL26" s="1">
        <v>1</v>
      </c>
      <c r="AM26" s="1">
        <v>86400</v>
      </c>
      <c r="AN26" s="1">
        <v>79634</v>
      </c>
      <c r="AO26" s="1">
        <v>6766</v>
      </c>
      <c r="AP26" s="1">
        <v>43814</v>
      </c>
      <c r="AQ26" s="1">
        <v>18.413686504200541</v>
      </c>
    </row>
    <row r="27" spans="1:43" x14ac:dyDescent="0.45">
      <c r="A27" s="1">
        <v>26</v>
      </c>
      <c r="B27" s="1">
        <v>26</v>
      </c>
      <c r="C27" s="1">
        <v>126</v>
      </c>
      <c r="D27" s="1" t="s">
        <v>51</v>
      </c>
      <c r="E27" s="1" t="s">
        <v>52</v>
      </c>
      <c r="F27" s="1" t="s">
        <v>53</v>
      </c>
      <c r="G27" s="1" t="s">
        <v>54</v>
      </c>
      <c r="H27" s="1" t="s">
        <v>47</v>
      </c>
      <c r="I27" s="1">
        <v>1113</v>
      </c>
      <c r="J27" s="1">
        <v>60690</v>
      </c>
      <c r="K27" s="1">
        <v>1</v>
      </c>
      <c r="L27" s="1">
        <v>125</v>
      </c>
      <c r="M27" s="1">
        <v>1031</v>
      </c>
      <c r="N27" s="1" t="s">
        <v>48</v>
      </c>
      <c r="O27" s="1">
        <v>15220</v>
      </c>
      <c r="P27" s="1">
        <v>89</v>
      </c>
      <c r="Q27" s="1" t="s">
        <v>96</v>
      </c>
      <c r="R27" s="1" t="s">
        <v>50</v>
      </c>
      <c r="S27" s="1">
        <v>0</v>
      </c>
      <c r="T27" s="1">
        <v>0</v>
      </c>
      <c r="U27" s="1">
        <v>214.108</v>
      </c>
      <c r="V27" s="1">
        <v>28.081</v>
      </c>
      <c r="W27" s="1">
        <v>0.52</v>
      </c>
      <c r="X27" s="1">
        <v>0.11600000000000001</v>
      </c>
      <c r="Y27" s="1">
        <v>28.196999999999999</v>
      </c>
      <c r="Z27" s="1">
        <v>3.2000000000000001E-2</v>
      </c>
      <c r="AA27" s="1">
        <v>-2.4</v>
      </c>
      <c r="AB27" s="1">
        <v>-1.8</v>
      </c>
      <c r="AC27" s="1">
        <v>-1.8</v>
      </c>
      <c r="AD27" s="1">
        <v>0.11600000000000001</v>
      </c>
      <c r="AE27" s="1">
        <v>2.9000000000000001E-2</v>
      </c>
      <c r="AF27" s="1">
        <v>3.0000000000000001E-3</v>
      </c>
      <c r="AI27" s="1">
        <v>0</v>
      </c>
      <c r="AJ27" s="1">
        <v>0</v>
      </c>
      <c r="AK27" s="1">
        <v>0</v>
      </c>
      <c r="AL27" s="1">
        <v>1</v>
      </c>
      <c r="AM27" s="1">
        <v>86400</v>
      </c>
      <c r="AN27" s="1">
        <v>65781</v>
      </c>
      <c r="AO27" s="1">
        <v>20619</v>
      </c>
      <c r="AP27" s="1">
        <v>43438</v>
      </c>
      <c r="AQ27" s="1">
        <v>4.3455347958324149</v>
      </c>
    </row>
    <row r="28" spans="1:43" x14ac:dyDescent="0.45">
      <c r="A28" s="1">
        <v>27</v>
      </c>
      <c r="B28" s="1">
        <v>26</v>
      </c>
      <c r="C28" s="1">
        <v>126</v>
      </c>
      <c r="D28" s="1" t="s">
        <v>51</v>
      </c>
      <c r="E28" s="1" t="s">
        <v>52</v>
      </c>
      <c r="F28" s="1" t="s">
        <v>53</v>
      </c>
      <c r="G28" s="1" t="s">
        <v>54</v>
      </c>
      <c r="H28" s="1" t="s">
        <v>47</v>
      </c>
      <c r="I28" s="1">
        <v>1113</v>
      </c>
      <c r="J28" s="1">
        <v>60690</v>
      </c>
      <c r="K28" s="1">
        <v>1</v>
      </c>
      <c r="L28" s="1">
        <v>125</v>
      </c>
      <c r="M28" s="1">
        <v>1032</v>
      </c>
      <c r="N28" s="1" t="s">
        <v>48</v>
      </c>
      <c r="O28" s="1">
        <v>15221</v>
      </c>
      <c r="P28" s="1">
        <v>89</v>
      </c>
      <c r="Q28" s="1" t="s">
        <v>96</v>
      </c>
      <c r="R28" s="1" t="s">
        <v>50</v>
      </c>
      <c r="S28" s="1">
        <v>0</v>
      </c>
      <c r="T28" s="1">
        <v>0</v>
      </c>
      <c r="U28" s="1">
        <v>173.398</v>
      </c>
      <c r="V28" s="1">
        <v>27.64</v>
      </c>
      <c r="W28" s="1">
        <v>0.59</v>
      </c>
      <c r="X28" s="1">
        <v>0.55700000000000005</v>
      </c>
      <c r="Y28" s="1">
        <v>28.196999999999999</v>
      </c>
      <c r="Z28" s="1">
        <v>0.187</v>
      </c>
      <c r="AA28" s="1">
        <v>1.7</v>
      </c>
      <c r="AB28" s="1">
        <v>1.7</v>
      </c>
      <c r="AC28" s="1">
        <v>1.7</v>
      </c>
      <c r="AD28" s="1">
        <v>0.55700000000000005</v>
      </c>
      <c r="AE28" s="1">
        <v>0.187</v>
      </c>
      <c r="AF28" s="1">
        <v>0.104</v>
      </c>
      <c r="AG28" s="1">
        <v>1.7</v>
      </c>
      <c r="AI28" s="1">
        <v>0</v>
      </c>
      <c r="AJ28" s="1">
        <v>0</v>
      </c>
      <c r="AK28" s="1">
        <v>0</v>
      </c>
      <c r="AL28" s="1">
        <v>1</v>
      </c>
      <c r="AM28" s="1">
        <v>86400</v>
      </c>
      <c r="AN28" s="1">
        <v>80225</v>
      </c>
      <c r="AO28" s="1">
        <v>6175</v>
      </c>
      <c r="AP28" s="1">
        <v>43675</v>
      </c>
      <c r="AQ28" s="1">
        <v>18.611463029148041</v>
      </c>
    </row>
    <row r="29" spans="1:43" x14ac:dyDescent="0.45">
      <c r="A29" s="1">
        <v>28</v>
      </c>
      <c r="B29" s="1">
        <v>73</v>
      </c>
      <c r="C29" s="1">
        <v>83</v>
      </c>
      <c r="D29" s="1" t="s">
        <v>55</v>
      </c>
      <c r="E29" s="1" t="s">
        <v>56</v>
      </c>
      <c r="F29" s="1" t="s">
        <v>57</v>
      </c>
      <c r="G29" s="1" t="s">
        <v>46</v>
      </c>
      <c r="H29" s="1" t="s">
        <v>47</v>
      </c>
      <c r="I29" s="1">
        <v>1176</v>
      </c>
      <c r="J29" s="1">
        <v>30288</v>
      </c>
      <c r="K29" s="1">
        <v>1</v>
      </c>
      <c r="L29" s="1">
        <v>82</v>
      </c>
      <c r="M29" s="1">
        <v>1399</v>
      </c>
      <c r="N29" s="1" t="s">
        <v>48</v>
      </c>
      <c r="O29" s="1">
        <v>197186</v>
      </c>
      <c r="P29" s="1">
        <v>89</v>
      </c>
      <c r="Q29" s="1" t="s">
        <v>96</v>
      </c>
      <c r="R29" s="1" t="s">
        <v>50</v>
      </c>
      <c r="S29" s="1">
        <v>0</v>
      </c>
      <c r="T29" s="1">
        <v>0</v>
      </c>
      <c r="U29" s="1">
        <v>86.650999999999996</v>
      </c>
      <c r="V29" s="1">
        <v>25.417000000000002</v>
      </c>
      <c r="W29" s="1">
        <v>0.53</v>
      </c>
      <c r="X29" s="1">
        <v>0.18099999999999999</v>
      </c>
      <c r="Y29" s="1">
        <v>25.599</v>
      </c>
      <c r="Z29" s="1">
        <v>0.108</v>
      </c>
      <c r="AA29" s="1">
        <v>0.5</v>
      </c>
      <c r="AB29" s="1">
        <v>0.5</v>
      </c>
      <c r="AC29" s="1">
        <v>0.5</v>
      </c>
      <c r="AD29" s="1">
        <v>0.18099999999999999</v>
      </c>
      <c r="AE29" s="1">
        <v>0.108</v>
      </c>
      <c r="AF29" s="1">
        <v>0.02</v>
      </c>
      <c r="AG29" s="1">
        <v>0.5</v>
      </c>
      <c r="AI29" s="1">
        <v>0</v>
      </c>
      <c r="AJ29" s="1">
        <v>0</v>
      </c>
      <c r="AK29" s="1">
        <v>0</v>
      </c>
      <c r="AL29" s="1">
        <v>1</v>
      </c>
      <c r="AM29" s="1">
        <v>86400</v>
      </c>
      <c r="AN29" s="1">
        <v>80213</v>
      </c>
      <c r="AO29" s="1">
        <v>6187</v>
      </c>
      <c r="AP29" s="1">
        <v>43824</v>
      </c>
      <c r="AQ29" s="1">
        <v>18.19739861676883</v>
      </c>
    </row>
    <row r="30" spans="1:43" x14ac:dyDescent="0.45">
      <c r="A30" s="1">
        <v>29</v>
      </c>
      <c r="B30" s="1">
        <v>73</v>
      </c>
      <c r="C30" s="1">
        <v>83</v>
      </c>
      <c r="D30" s="1" t="s">
        <v>55</v>
      </c>
      <c r="E30" s="1" t="s">
        <v>56</v>
      </c>
      <c r="F30" s="1" t="s">
        <v>57</v>
      </c>
      <c r="G30" s="1" t="s">
        <v>46</v>
      </c>
      <c r="H30" s="1" t="s">
        <v>47</v>
      </c>
      <c r="I30" s="1">
        <v>1176</v>
      </c>
      <c r="J30" s="1">
        <v>30288</v>
      </c>
      <c r="K30" s="1">
        <v>1</v>
      </c>
      <c r="L30" s="1">
        <v>82</v>
      </c>
      <c r="M30" s="1">
        <v>1400</v>
      </c>
      <c r="N30" s="1" t="s">
        <v>48</v>
      </c>
      <c r="O30" s="1">
        <v>197191</v>
      </c>
      <c r="P30" s="1">
        <v>89</v>
      </c>
      <c r="Q30" s="1" t="s">
        <v>96</v>
      </c>
      <c r="R30" s="1" t="s">
        <v>50</v>
      </c>
      <c r="S30" s="1">
        <v>0</v>
      </c>
      <c r="T30" s="1">
        <v>0</v>
      </c>
      <c r="U30" s="1">
        <v>337.67399999999998</v>
      </c>
      <c r="V30" s="1">
        <v>25.428000000000001</v>
      </c>
      <c r="W30" s="1">
        <v>0.53</v>
      </c>
      <c r="X30" s="1">
        <v>0.17</v>
      </c>
      <c r="Y30" s="1">
        <v>25.597999999999999</v>
      </c>
      <c r="Z30" s="1">
        <v>0.09</v>
      </c>
      <c r="AA30" s="1">
        <v>1.1000000000000001</v>
      </c>
      <c r="AB30" s="1">
        <v>1.1000000000000001</v>
      </c>
      <c r="AC30" s="1">
        <v>1.1000000000000001</v>
      </c>
      <c r="AD30" s="1">
        <v>0.17</v>
      </c>
      <c r="AE30" s="1">
        <v>0.09</v>
      </c>
      <c r="AF30" s="1">
        <v>1.4999999999999999E-2</v>
      </c>
      <c r="AG30" s="1">
        <v>1.1000000000000001</v>
      </c>
      <c r="AI30" s="1">
        <v>0</v>
      </c>
      <c r="AJ30" s="1">
        <v>0</v>
      </c>
      <c r="AK30" s="1">
        <v>0</v>
      </c>
      <c r="AL30" s="1">
        <v>1</v>
      </c>
      <c r="AM30" s="1">
        <v>86400</v>
      </c>
      <c r="AN30" s="1">
        <v>76587</v>
      </c>
      <c r="AO30" s="1">
        <v>9813</v>
      </c>
      <c r="AP30" s="1">
        <v>46909</v>
      </c>
      <c r="AQ30" s="1">
        <v>22.042314828065258</v>
      </c>
    </row>
    <row r="31" spans="1:43" x14ac:dyDescent="0.45">
      <c r="A31" s="1">
        <v>30</v>
      </c>
      <c r="B31" s="1">
        <v>73</v>
      </c>
      <c r="C31" s="1">
        <v>83</v>
      </c>
      <c r="D31" s="1" t="s">
        <v>55</v>
      </c>
      <c r="E31" s="1" t="s">
        <v>56</v>
      </c>
      <c r="F31" s="1" t="s">
        <v>57</v>
      </c>
      <c r="G31" s="1" t="s">
        <v>46</v>
      </c>
      <c r="H31" s="1" t="s">
        <v>47</v>
      </c>
      <c r="I31" s="1">
        <v>1176</v>
      </c>
      <c r="J31" s="1">
        <v>30288</v>
      </c>
      <c r="K31" s="1">
        <v>1</v>
      </c>
      <c r="L31" s="1">
        <v>82</v>
      </c>
      <c r="M31" s="1">
        <v>1401</v>
      </c>
      <c r="N31" s="1" t="s">
        <v>48</v>
      </c>
      <c r="O31" s="1">
        <v>197193</v>
      </c>
      <c r="P31" s="1">
        <v>89</v>
      </c>
      <c r="Q31" s="1" t="s">
        <v>96</v>
      </c>
      <c r="R31" s="1" t="s">
        <v>50</v>
      </c>
      <c r="S31" s="1">
        <v>0</v>
      </c>
      <c r="T31" s="1">
        <v>0</v>
      </c>
      <c r="U31" s="1">
        <v>187.57</v>
      </c>
      <c r="V31" s="1">
        <v>25.488</v>
      </c>
      <c r="W31" s="1">
        <v>0.52</v>
      </c>
      <c r="X31" s="1">
        <v>0.109</v>
      </c>
      <c r="Y31" s="1">
        <v>25.597000000000001</v>
      </c>
      <c r="Z31" s="1">
        <v>7.1999999999999995E-2</v>
      </c>
      <c r="AA31" s="1">
        <v>0.6</v>
      </c>
      <c r="AB31" s="1">
        <v>0.6</v>
      </c>
      <c r="AC31" s="1">
        <v>0.6</v>
      </c>
      <c r="AD31" s="1">
        <v>0.109</v>
      </c>
      <c r="AE31" s="1">
        <v>7.1999999999999995E-2</v>
      </c>
      <c r="AF31" s="1">
        <v>8.0000000000000002E-3</v>
      </c>
      <c r="AG31" s="1">
        <v>0.6</v>
      </c>
      <c r="AI31" s="1">
        <v>0</v>
      </c>
      <c r="AJ31" s="1">
        <v>0</v>
      </c>
      <c r="AK31" s="1">
        <v>0</v>
      </c>
      <c r="AL31" s="1">
        <v>1</v>
      </c>
      <c r="AM31" s="1">
        <v>86400</v>
      </c>
      <c r="AN31" s="1">
        <v>73531</v>
      </c>
      <c r="AO31" s="1">
        <v>12869</v>
      </c>
      <c r="AP31" s="1">
        <v>43810</v>
      </c>
      <c r="AQ31" s="1">
        <v>2.9982988472460508</v>
      </c>
    </row>
    <row r="32" spans="1:43" x14ac:dyDescent="0.45">
      <c r="A32" s="1">
        <v>31</v>
      </c>
      <c r="B32" s="1">
        <v>73</v>
      </c>
      <c r="C32" s="1">
        <v>83</v>
      </c>
      <c r="D32" s="1" t="s">
        <v>55</v>
      </c>
      <c r="E32" s="1" t="s">
        <v>56</v>
      </c>
      <c r="F32" s="1" t="s">
        <v>57</v>
      </c>
      <c r="G32" s="1" t="s">
        <v>46</v>
      </c>
      <c r="H32" s="1" t="s">
        <v>47</v>
      </c>
      <c r="I32" s="1">
        <v>1176</v>
      </c>
      <c r="J32" s="1">
        <v>30288</v>
      </c>
      <c r="K32" s="1">
        <v>1</v>
      </c>
      <c r="L32" s="1">
        <v>82</v>
      </c>
      <c r="M32" s="1">
        <v>1409</v>
      </c>
      <c r="N32" s="1" t="s">
        <v>48</v>
      </c>
      <c r="O32" s="1">
        <v>197607</v>
      </c>
      <c r="P32" s="1">
        <v>89</v>
      </c>
      <c r="Q32" s="1" t="s">
        <v>96</v>
      </c>
      <c r="R32" s="1" t="s">
        <v>50</v>
      </c>
      <c r="S32" s="1">
        <v>0</v>
      </c>
      <c r="T32" s="1">
        <v>0</v>
      </c>
      <c r="U32" s="1">
        <v>321.52999999999997</v>
      </c>
      <c r="V32" s="1">
        <v>25.452000000000002</v>
      </c>
      <c r="W32" s="1">
        <v>0.52</v>
      </c>
      <c r="X32" s="1">
        <v>0.123</v>
      </c>
      <c r="Y32" s="1">
        <v>25.574999999999999</v>
      </c>
      <c r="Z32" s="1">
        <v>0.114</v>
      </c>
      <c r="AA32" s="1">
        <v>0</v>
      </c>
      <c r="AB32" s="1">
        <v>0</v>
      </c>
      <c r="AC32" s="1">
        <v>0</v>
      </c>
      <c r="AD32" s="1">
        <v>0.123</v>
      </c>
      <c r="AE32" s="1">
        <v>0.114</v>
      </c>
      <c r="AF32" s="1">
        <v>1.4E-2</v>
      </c>
      <c r="AG32" s="1">
        <v>0</v>
      </c>
      <c r="AI32" s="1">
        <v>0</v>
      </c>
      <c r="AJ32" s="1">
        <v>0</v>
      </c>
      <c r="AK32" s="1">
        <v>0</v>
      </c>
      <c r="AL32" s="1">
        <v>1</v>
      </c>
      <c r="AM32" s="1">
        <v>86400</v>
      </c>
      <c r="AN32" s="1">
        <v>71724</v>
      </c>
      <c r="AO32" s="1">
        <v>14676</v>
      </c>
      <c r="AP32" s="1">
        <v>43827</v>
      </c>
      <c r="AQ32" s="1">
        <v>24.308660373477451</v>
      </c>
    </row>
    <row r="33" spans="1:43" x14ac:dyDescent="0.45">
      <c r="A33" s="1">
        <v>32</v>
      </c>
      <c r="B33" s="1">
        <v>73</v>
      </c>
      <c r="C33" s="1">
        <v>83</v>
      </c>
      <c r="D33" s="1" t="s">
        <v>55</v>
      </c>
      <c r="E33" s="1" t="s">
        <v>56</v>
      </c>
      <c r="F33" s="1" t="s">
        <v>57</v>
      </c>
      <c r="G33" s="1" t="s">
        <v>46</v>
      </c>
      <c r="H33" s="1" t="s">
        <v>47</v>
      </c>
      <c r="I33" s="1">
        <v>1176</v>
      </c>
      <c r="J33" s="1">
        <v>30288</v>
      </c>
      <c r="K33" s="1">
        <v>1</v>
      </c>
      <c r="L33" s="1">
        <v>82</v>
      </c>
      <c r="M33" s="1">
        <v>1410</v>
      </c>
      <c r="N33" s="1" t="s">
        <v>48</v>
      </c>
      <c r="O33" s="1">
        <v>197609</v>
      </c>
      <c r="P33" s="1">
        <v>89</v>
      </c>
      <c r="Q33" s="1" t="s">
        <v>96</v>
      </c>
      <c r="R33" s="1" t="s">
        <v>50</v>
      </c>
      <c r="S33" s="1">
        <v>0</v>
      </c>
      <c r="T33" s="1">
        <v>0</v>
      </c>
      <c r="U33" s="1">
        <v>222.179</v>
      </c>
      <c r="V33" s="1">
        <v>25.413</v>
      </c>
      <c r="W33" s="1">
        <v>0.53</v>
      </c>
      <c r="X33" s="1">
        <v>0.16</v>
      </c>
      <c r="Y33" s="1">
        <v>25.574000000000002</v>
      </c>
      <c r="Z33" s="1">
        <v>0.129</v>
      </c>
      <c r="AA33" s="1">
        <v>1.2</v>
      </c>
      <c r="AB33" s="1">
        <v>1.2</v>
      </c>
      <c r="AC33" s="1">
        <v>1.2</v>
      </c>
      <c r="AD33" s="1">
        <v>0.16</v>
      </c>
      <c r="AE33" s="1">
        <v>0.129</v>
      </c>
      <c r="AF33" s="1">
        <v>2.1000000000000001E-2</v>
      </c>
      <c r="AG33" s="1">
        <v>1.2</v>
      </c>
      <c r="AI33" s="1">
        <v>0</v>
      </c>
      <c r="AJ33" s="1">
        <v>0</v>
      </c>
      <c r="AK33" s="1">
        <v>0</v>
      </c>
      <c r="AL33" s="1">
        <v>1</v>
      </c>
      <c r="AM33" s="1">
        <v>86400</v>
      </c>
      <c r="AN33" s="1">
        <v>76180</v>
      </c>
      <c r="AO33" s="1">
        <v>10220</v>
      </c>
      <c r="AP33" s="1">
        <v>46861</v>
      </c>
      <c r="AQ33" s="1">
        <v>3.2914653154281028</v>
      </c>
    </row>
    <row r="34" spans="1:43" x14ac:dyDescent="0.45">
      <c r="A34" s="1">
        <v>33</v>
      </c>
      <c r="B34" s="1">
        <v>73</v>
      </c>
      <c r="C34" s="1">
        <v>83</v>
      </c>
      <c r="D34" s="1" t="s">
        <v>55</v>
      </c>
      <c r="E34" s="1" t="s">
        <v>56</v>
      </c>
      <c r="F34" s="1" t="s">
        <v>57</v>
      </c>
      <c r="G34" s="1" t="s">
        <v>46</v>
      </c>
      <c r="H34" s="1" t="s">
        <v>47</v>
      </c>
      <c r="I34" s="1">
        <v>1176</v>
      </c>
      <c r="J34" s="1">
        <v>30288</v>
      </c>
      <c r="K34" s="1">
        <v>1</v>
      </c>
      <c r="L34" s="1">
        <v>82</v>
      </c>
      <c r="M34" s="1">
        <v>1411</v>
      </c>
      <c r="N34" s="1" t="s">
        <v>48</v>
      </c>
      <c r="O34" s="1">
        <v>197614</v>
      </c>
      <c r="P34" s="1">
        <v>89</v>
      </c>
      <c r="Q34" s="1" t="s">
        <v>96</v>
      </c>
      <c r="R34" s="1" t="s">
        <v>50</v>
      </c>
      <c r="S34" s="1">
        <v>0</v>
      </c>
      <c r="T34" s="1">
        <v>0</v>
      </c>
      <c r="U34" s="1">
        <v>103.658</v>
      </c>
      <c r="V34" s="1">
        <v>25.395</v>
      </c>
      <c r="W34" s="1">
        <v>0.52</v>
      </c>
      <c r="X34" s="1">
        <v>0.115</v>
      </c>
      <c r="Y34" s="1">
        <v>25.51</v>
      </c>
      <c r="Z34" s="1">
        <v>0.159</v>
      </c>
      <c r="AA34" s="1">
        <v>0.4</v>
      </c>
      <c r="AB34" s="1">
        <v>0.4</v>
      </c>
      <c r="AC34" s="1">
        <v>0.4</v>
      </c>
      <c r="AD34" s="1">
        <v>0.115</v>
      </c>
      <c r="AE34" s="1">
        <v>0.158</v>
      </c>
      <c r="AF34" s="1">
        <v>1.7999999999999999E-2</v>
      </c>
      <c r="AG34" s="1">
        <v>0.4</v>
      </c>
      <c r="AI34" s="1">
        <v>0</v>
      </c>
      <c r="AJ34" s="1">
        <v>0</v>
      </c>
      <c r="AK34" s="1">
        <v>0</v>
      </c>
      <c r="AL34" s="1">
        <v>1</v>
      </c>
      <c r="AM34" s="1">
        <v>65102</v>
      </c>
      <c r="AN34" s="1">
        <v>35301</v>
      </c>
      <c r="AO34" s="1">
        <v>29796</v>
      </c>
      <c r="AP34" s="1">
        <v>47382</v>
      </c>
      <c r="AQ34" s="1">
        <v>20.952714672490249</v>
      </c>
    </row>
    <row r="35" spans="1:43" x14ac:dyDescent="0.45">
      <c r="A35" s="1">
        <v>34</v>
      </c>
      <c r="B35" s="1">
        <v>73</v>
      </c>
      <c r="C35" s="1">
        <v>83</v>
      </c>
      <c r="D35" s="1" t="s">
        <v>55</v>
      </c>
      <c r="E35" s="1" t="s">
        <v>56</v>
      </c>
      <c r="F35" s="1" t="s">
        <v>57</v>
      </c>
      <c r="G35" s="1" t="s">
        <v>46</v>
      </c>
      <c r="H35" s="1" t="s">
        <v>47</v>
      </c>
      <c r="I35" s="1">
        <v>1176</v>
      </c>
      <c r="J35" s="1">
        <v>30288</v>
      </c>
      <c r="K35" s="1">
        <v>1</v>
      </c>
      <c r="L35" s="1">
        <v>82</v>
      </c>
      <c r="M35" s="1">
        <v>1412</v>
      </c>
      <c r="N35" s="1" t="s">
        <v>48</v>
      </c>
      <c r="O35" s="1">
        <v>197620</v>
      </c>
      <c r="P35" s="1">
        <v>89</v>
      </c>
      <c r="Q35" s="1" t="s">
        <v>96</v>
      </c>
      <c r="R35" s="1" t="s">
        <v>50</v>
      </c>
      <c r="S35" s="1">
        <v>0</v>
      </c>
      <c r="T35" s="1">
        <v>0</v>
      </c>
      <c r="U35" s="1">
        <v>87.173000000000002</v>
      </c>
      <c r="V35" s="1">
        <v>25.33</v>
      </c>
      <c r="W35" s="1">
        <v>0.53</v>
      </c>
      <c r="X35" s="1">
        <v>0.17299999999999999</v>
      </c>
      <c r="Y35" s="1">
        <v>25.503</v>
      </c>
      <c r="Z35" s="1">
        <v>0.20200000000000001</v>
      </c>
      <c r="AA35" s="1">
        <v>0.2</v>
      </c>
      <c r="AB35" s="1">
        <v>0.2</v>
      </c>
      <c r="AC35" s="1">
        <v>0.2</v>
      </c>
      <c r="AD35" s="1">
        <v>0.17299999999999999</v>
      </c>
      <c r="AE35" s="1">
        <v>0.20200000000000001</v>
      </c>
      <c r="AF35" s="1">
        <v>3.5000000000000003E-2</v>
      </c>
      <c r="AG35" s="1">
        <v>0.2</v>
      </c>
      <c r="AI35" s="1">
        <v>0</v>
      </c>
      <c r="AJ35" s="1">
        <v>0</v>
      </c>
      <c r="AK35" s="1">
        <v>0</v>
      </c>
      <c r="AL35" s="1">
        <v>1</v>
      </c>
      <c r="AM35" s="1">
        <v>86400</v>
      </c>
      <c r="AN35" s="1">
        <v>75415</v>
      </c>
      <c r="AO35" s="1">
        <v>10985</v>
      </c>
      <c r="AP35" s="1">
        <v>47686</v>
      </c>
      <c r="AQ35" s="1">
        <v>3.5048943592542212</v>
      </c>
    </row>
    <row r="36" spans="1:43" x14ac:dyDescent="0.45">
      <c r="A36" s="1">
        <v>35</v>
      </c>
      <c r="B36" s="1">
        <v>73</v>
      </c>
      <c r="C36" s="1">
        <v>83</v>
      </c>
      <c r="D36" s="1" t="s">
        <v>55</v>
      </c>
      <c r="E36" s="1" t="s">
        <v>56</v>
      </c>
      <c r="F36" s="1" t="s">
        <v>57</v>
      </c>
      <c r="G36" s="1" t="s">
        <v>46</v>
      </c>
      <c r="H36" s="1" t="s">
        <v>47</v>
      </c>
      <c r="I36" s="1">
        <v>1176</v>
      </c>
      <c r="J36" s="1">
        <v>30288</v>
      </c>
      <c r="K36" s="1">
        <v>1</v>
      </c>
      <c r="L36" s="1">
        <v>82</v>
      </c>
      <c r="M36" s="1">
        <v>1413</v>
      </c>
      <c r="N36" s="1" t="s">
        <v>48</v>
      </c>
      <c r="O36" s="1">
        <v>197622</v>
      </c>
      <c r="P36" s="1">
        <v>89</v>
      </c>
      <c r="Q36" s="1" t="s">
        <v>96</v>
      </c>
      <c r="R36" s="1" t="s">
        <v>50</v>
      </c>
      <c r="S36" s="1">
        <v>0</v>
      </c>
      <c r="T36" s="1">
        <v>0</v>
      </c>
      <c r="U36" s="1">
        <v>74.367000000000004</v>
      </c>
      <c r="V36" s="1">
        <v>25.289000000000001</v>
      </c>
      <c r="W36" s="1">
        <v>0.54</v>
      </c>
      <c r="X36" s="1">
        <v>0.21099999999999999</v>
      </c>
      <c r="Y36" s="1">
        <v>25.5</v>
      </c>
      <c r="Z36" s="1">
        <v>0.26900000000000002</v>
      </c>
      <c r="AA36" s="1">
        <v>0.3</v>
      </c>
      <c r="AB36" s="1">
        <v>0.3</v>
      </c>
      <c r="AC36" s="1">
        <v>0.3</v>
      </c>
      <c r="AD36" s="1">
        <v>0.21099999999999999</v>
      </c>
      <c r="AE36" s="1">
        <v>0.26800000000000002</v>
      </c>
      <c r="AF36" s="1">
        <v>5.7000000000000002E-2</v>
      </c>
      <c r="AG36" s="1">
        <v>0.3</v>
      </c>
      <c r="AI36" s="1">
        <v>0</v>
      </c>
      <c r="AJ36" s="1">
        <v>0</v>
      </c>
      <c r="AK36" s="1">
        <v>0</v>
      </c>
      <c r="AL36" s="1">
        <v>1</v>
      </c>
      <c r="AM36" s="1">
        <v>86400</v>
      </c>
      <c r="AN36" s="1">
        <v>77575</v>
      </c>
      <c r="AO36" s="1">
        <v>8825</v>
      </c>
      <c r="AP36" s="1">
        <v>47179</v>
      </c>
      <c r="AQ36" s="1">
        <v>16.15653130558637</v>
      </c>
    </row>
    <row r="37" spans="1:43" x14ac:dyDescent="0.45">
      <c r="A37" s="1">
        <v>36</v>
      </c>
      <c r="B37" s="1">
        <v>73</v>
      </c>
      <c r="C37" s="1">
        <v>83</v>
      </c>
      <c r="D37" s="1" t="s">
        <v>55</v>
      </c>
      <c r="E37" s="1" t="s">
        <v>56</v>
      </c>
      <c r="F37" s="1" t="s">
        <v>57</v>
      </c>
      <c r="G37" s="1" t="s">
        <v>46</v>
      </c>
      <c r="H37" s="1" t="s">
        <v>47</v>
      </c>
      <c r="I37" s="1">
        <v>1176</v>
      </c>
      <c r="J37" s="1">
        <v>30288</v>
      </c>
      <c r="K37" s="1">
        <v>1</v>
      </c>
      <c r="L37" s="1">
        <v>82</v>
      </c>
      <c r="M37" s="1">
        <v>1414</v>
      </c>
      <c r="N37" s="1" t="s">
        <v>48</v>
      </c>
      <c r="O37" s="1">
        <v>197623</v>
      </c>
      <c r="P37" s="1">
        <v>89</v>
      </c>
      <c r="Q37" s="1" t="s">
        <v>96</v>
      </c>
      <c r="R37" s="1" t="s">
        <v>50</v>
      </c>
      <c r="S37" s="1">
        <v>0</v>
      </c>
      <c r="T37" s="1">
        <v>0</v>
      </c>
      <c r="U37" s="1">
        <v>51.329000000000001</v>
      </c>
      <c r="V37" s="1">
        <v>25.263000000000002</v>
      </c>
      <c r="W37" s="1">
        <v>0.54</v>
      </c>
      <c r="X37" s="1">
        <v>0.23699999999999999</v>
      </c>
      <c r="Y37" s="1">
        <v>25.5</v>
      </c>
      <c r="Z37" s="1">
        <v>0.29899999999999999</v>
      </c>
      <c r="AA37" s="1">
        <v>0.3</v>
      </c>
      <c r="AB37" s="1">
        <v>0.3</v>
      </c>
      <c r="AC37" s="1">
        <v>0.3</v>
      </c>
      <c r="AD37" s="1">
        <v>0.23699999999999999</v>
      </c>
      <c r="AE37" s="1">
        <v>0.29899999999999999</v>
      </c>
      <c r="AF37" s="1">
        <v>7.0999999999999994E-2</v>
      </c>
      <c r="AG37" s="1">
        <v>0.3</v>
      </c>
      <c r="AI37" s="1">
        <v>0</v>
      </c>
      <c r="AJ37" s="1">
        <v>0</v>
      </c>
      <c r="AK37" s="1">
        <v>0</v>
      </c>
      <c r="AL37" s="1">
        <v>1</v>
      </c>
      <c r="AM37" s="1">
        <v>86400</v>
      </c>
      <c r="AN37" s="1">
        <v>78644</v>
      </c>
      <c r="AO37" s="1">
        <v>7756</v>
      </c>
      <c r="AP37" s="1">
        <v>47265</v>
      </c>
      <c r="AQ37" s="1">
        <v>2.298754340804646</v>
      </c>
    </row>
    <row r="38" spans="1:43" x14ac:dyDescent="0.45">
      <c r="A38" s="1">
        <v>37</v>
      </c>
      <c r="B38" s="1">
        <v>74</v>
      </c>
      <c r="C38" s="1">
        <v>83</v>
      </c>
      <c r="D38" s="1" t="s">
        <v>55</v>
      </c>
      <c r="E38" s="1" t="s">
        <v>56</v>
      </c>
      <c r="F38" s="1" t="s">
        <v>57</v>
      </c>
      <c r="G38" s="1" t="s">
        <v>46</v>
      </c>
      <c r="H38" s="1" t="s">
        <v>47</v>
      </c>
      <c r="I38" s="1">
        <v>1176</v>
      </c>
      <c r="J38" s="1">
        <v>30288</v>
      </c>
      <c r="K38" s="1">
        <v>1</v>
      </c>
      <c r="L38" s="1">
        <v>82</v>
      </c>
      <c r="M38" s="1">
        <v>1403</v>
      </c>
      <c r="N38" s="1" t="s">
        <v>48</v>
      </c>
      <c r="O38" s="1">
        <v>197520</v>
      </c>
      <c r="P38" s="1">
        <v>89</v>
      </c>
      <c r="Q38" s="1" t="s">
        <v>96</v>
      </c>
      <c r="R38" s="1" t="s">
        <v>50</v>
      </c>
      <c r="S38" s="1">
        <v>0</v>
      </c>
      <c r="T38" s="1">
        <v>0</v>
      </c>
      <c r="U38" s="1">
        <v>236.95699999999999</v>
      </c>
      <c r="V38" s="1">
        <v>25.372</v>
      </c>
      <c r="W38" s="1">
        <v>0.53</v>
      </c>
      <c r="X38" s="1">
        <v>0.20399999999999999</v>
      </c>
      <c r="Y38" s="1">
        <v>25.576000000000001</v>
      </c>
      <c r="Z38" s="1">
        <v>5.8999999999999997E-2</v>
      </c>
      <c r="AA38" s="1">
        <v>0.2</v>
      </c>
      <c r="AB38" s="1">
        <v>0.2</v>
      </c>
      <c r="AC38" s="1">
        <v>0.2</v>
      </c>
      <c r="AD38" s="1">
        <v>0.20399999999999999</v>
      </c>
      <c r="AE38" s="1">
        <v>5.8999999999999997E-2</v>
      </c>
      <c r="AF38" s="1">
        <v>1.2E-2</v>
      </c>
      <c r="AG38" s="1">
        <v>0.2</v>
      </c>
      <c r="AI38" s="1">
        <v>0</v>
      </c>
      <c r="AJ38" s="1">
        <v>0</v>
      </c>
      <c r="AK38" s="1">
        <v>0</v>
      </c>
      <c r="AL38" s="1">
        <v>1</v>
      </c>
      <c r="AM38" s="1">
        <v>86400</v>
      </c>
      <c r="AN38" s="1">
        <v>78138</v>
      </c>
      <c r="AO38" s="1">
        <v>8262</v>
      </c>
      <c r="AP38" s="1">
        <v>46970</v>
      </c>
      <c r="AQ38" s="1">
        <v>24.89810128895984</v>
      </c>
    </row>
    <row r="39" spans="1:43" x14ac:dyDescent="0.45">
      <c r="A39" s="1">
        <v>38</v>
      </c>
      <c r="B39" s="1">
        <v>74</v>
      </c>
      <c r="C39" s="1">
        <v>83</v>
      </c>
      <c r="D39" s="1" t="s">
        <v>55</v>
      </c>
      <c r="E39" s="1" t="s">
        <v>56</v>
      </c>
      <c r="F39" s="1" t="s">
        <v>57</v>
      </c>
      <c r="G39" s="1" t="s">
        <v>46</v>
      </c>
      <c r="H39" s="1" t="s">
        <v>47</v>
      </c>
      <c r="I39" s="1">
        <v>1176</v>
      </c>
      <c r="J39" s="1">
        <v>30288</v>
      </c>
      <c r="K39" s="1">
        <v>1</v>
      </c>
      <c r="L39" s="1">
        <v>82</v>
      </c>
      <c r="M39" s="1">
        <v>1404</v>
      </c>
      <c r="N39" s="1" t="s">
        <v>48</v>
      </c>
      <c r="O39" s="1">
        <v>197563</v>
      </c>
      <c r="P39" s="1">
        <v>89</v>
      </c>
      <c r="Q39" s="1" t="s">
        <v>96</v>
      </c>
      <c r="R39" s="1" t="s">
        <v>50</v>
      </c>
      <c r="S39" s="1">
        <v>0</v>
      </c>
      <c r="T39" s="1">
        <v>0</v>
      </c>
      <c r="U39" s="1">
        <v>552.46799999999996</v>
      </c>
      <c r="V39" s="1">
        <v>25.45</v>
      </c>
      <c r="W39" s="1">
        <v>0.52</v>
      </c>
      <c r="X39" s="1">
        <v>0.125</v>
      </c>
      <c r="Y39" s="1">
        <v>25.574000000000002</v>
      </c>
      <c r="Z39" s="1">
        <v>0.109</v>
      </c>
      <c r="AA39" s="1">
        <v>0.9</v>
      </c>
      <c r="AB39" s="1">
        <v>0.9</v>
      </c>
      <c r="AC39" s="1">
        <v>0.9</v>
      </c>
      <c r="AD39" s="1">
        <v>0.125</v>
      </c>
      <c r="AE39" s="1">
        <v>0.109</v>
      </c>
      <c r="AF39" s="1">
        <v>1.4E-2</v>
      </c>
      <c r="AG39" s="1">
        <v>0.9</v>
      </c>
      <c r="AI39" s="1">
        <v>0</v>
      </c>
      <c r="AJ39" s="1">
        <v>0</v>
      </c>
      <c r="AK39" s="1">
        <v>0</v>
      </c>
      <c r="AL39" s="1">
        <v>1</v>
      </c>
      <c r="AM39" s="1">
        <v>86400</v>
      </c>
      <c r="AN39" s="1">
        <v>75420</v>
      </c>
      <c r="AO39" s="1">
        <v>10980</v>
      </c>
      <c r="AP39" s="1">
        <v>47036</v>
      </c>
      <c r="AQ39" s="1">
        <v>0.69662298424265845</v>
      </c>
    </row>
    <row r="40" spans="1:43" x14ac:dyDescent="0.45">
      <c r="A40" s="1">
        <v>39</v>
      </c>
      <c r="B40" s="1">
        <v>77</v>
      </c>
      <c r="C40" s="1">
        <v>46</v>
      </c>
      <c r="D40" s="1" t="s">
        <v>58</v>
      </c>
      <c r="E40" s="1" t="s">
        <v>59</v>
      </c>
      <c r="F40" s="1" t="s">
        <v>60</v>
      </c>
      <c r="G40" s="1" t="s">
        <v>54</v>
      </c>
      <c r="H40" s="1" t="s">
        <v>47</v>
      </c>
      <c r="I40" s="1">
        <v>503</v>
      </c>
      <c r="J40" s="1">
        <v>17406</v>
      </c>
      <c r="K40" s="1">
        <v>1</v>
      </c>
      <c r="L40" s="1">
        <v>45</v>
      </c>
      <c r="M40" s="1">
        <v>1398</v>
      </c>
      <c r="N40" s="1" t="s">
        <v>48</v>
      </c>
      <c r="O40" s="1">
        <v>196199</v>
      </c>
      <c r="P40" s="1">
        <v>89</v>
      </c>
      <c r="Q40" s="1" t="s">
        <v>96</v>
      </c>
      <c r="R40" s="1" t="s">
        <v>50</v>
      </c>
      <c r="S40" s="1">
        <v>0</v>
      </c>
      <c r="T40" s="1">
        <v>0</v>
      </c>
      <c r="U40" s="1">
        <v>64.108000000000004</v>
      </c>
      <c r="V40" s="1">
        <v>25.141999999999999</v>
      </c>
      <c r="W40" s="1">
        <v>0.63</v>
      </c>
      <c r="X40" s="1">
        <v>0.37</v>
      </c>
      <c r="Y40" s="1">
        <v>25.512</v>
      </c>
      <c r="Z40" s="1">
        <v>2.0699999999999998</v>
      </c>
      <c r="AA40" s="1">
        <v>2.7</v>
      </c>
      <c r="AB40" s="1">
        <v>2.7</v>
      </c>
      <c r="AC40" s="1">
        <v>2.7</v>
      </c>
      <c r="AD40" s="1">
        <v>0.37</v>
      </c>
      <c r="AE40" s="1">
        <v>2.0419999999999998</v>
      </c>
      <c r="AF40" s="1">
        <v>0.75600000000000001</v>
      </c>
      <c r="AG40" s="1">
        <v>2.7</v>
      </c>
      <c r="AI40" s="1">
        <v>0</v>
      </c>
      <c r="AJ40" s="1">
        <v>0</v>
      </c>
      <c r="AK40" s="1">
        <v>0</v>
      </c>
      <c r="AL40" s="1">
        <v>1</v>
      </c>
      <c r="AM40" s="1">
        <v>58124</v>
      </c>
      <c r="AN40" s="1">
        <v>22017</v>
      </c>
      <c r="AO40" s="1">
        <v>36107</v>
      </c>
      <c r="AP40" s="1">
        <v>47203</v>
      </c>
      <c r="AQ40" s="1">
        <v>4.5203553741049349</v>
      </c>
    </row>
    <row r="41" spans="1:43" x14ac:dyDescent="0.45">
      <c r="A41" s="1">
        <v>40</v>
      </c>
      <c r="B41" s="1">
        <v>98</v>
      </c>
      <c r="C41" s="1">
        <v>74</v>
      </c>
      <c r="D41" s="1" t="s">
        <v>61</v>
      </c>
      <c r="E41" s="1" t="s">
        <v>62</v>
      </c>
      <c r="F41" s="1" t="s">
        <v>63</v>
      </c>
      <c r="G41" s="1" t="s">
        <v>46</v>
      </c>
      <c r="H41" s="1" t="s">
        <v>47</v>
      </c>
      <c r="I41" s="1">
        <v>1175</v>
      </c>
      <c r="J41" s="1">
        <v>30642</v>
      </c>
      <c r="K41" s="1">
        <v>1</v>
      </c>
      <c r="L41" s="1">
        <v>73</v>
      </c>
      <c r="M41" s="1">
        <v>1455</v>
      </c>
      <c r="N41" s="1" t="s">
        <v>48</v>
      </c>
      <c r="O41" s="1">
        <v>198607</v>
      </c>
      <c r="P41" s="1">
        <v>89</v>
      </c>
      <c r="Q41" s="1" t="s">
        <v>96</v>
      </c>
      <c r="R41" s="1" t="s">
        <v>50</v>
      </c>
      <c r="S41" s="1">
        <v>0</v>
      </c>
      <c r="T41" s="1">
        <v>0</v>
      </c>
      <c r="U41" s="1">
        <v>71.430000000000007</v>
      </c>
      <c r="V41" s="1">
        <v>25.236000000000001</v>
      </c>
      <c r="W41" s="1">
        <v>0.52</v>
      </c>
      <c r="X41" s="1">
        <v>0.13200000000000001</v>
      </c>
      <c r="Y41" s="1">
        <v>25.367000000000001</v>
      </c>
      <c r="Z41" s="1">
        <v>0.11</v>
      </c>
      <c r="AA41" s="1">
        <v>-0.7</v>
      </c>
      <c r="AB41" s="1">
        <v>-0.6</v>
      </c>
      <c r="AC41" s="1">
        <v>-0.6</v>
      </c>
      <c r="AD41" s="1">
        <v>0.13200000000000001</v>
      </c>
      <c r="AE41" s="1">
        <v>8.1000000000000003E-2</v>
      </c>
      <c r="AF41" s="1">
        <v>1.0999999999999999E-2</v>
      </c>
      <c r="AG41" s="1">
        <v>-0.7</v>
      </c>
      <c r="AI41" s="1">
        <v>0</v>
      </c>
      <c r="AJ41" s="1">
        <v>0</v>
      </c>
      <c r="AK41" s="1">
        <v>0</v>
      </c>
      <c r="AL41" s="1">
        <v>1</v>
      </c>
      <c r="AM41" s="1">
        <v>86400</v>
      </c>
      <c r="AN41" s="1">
        <v>79992</v>
      </c>
      <c r="AO41" s="1">
        <v>6408</v>
      </c>
      <c r="AP41" s="1">
        <v>49408</v>
      </c>
      <c r="AQ41" s="1">
        <v>1.128700622000171</v>
      </c>
    </row>
    <row r="42" spans="1:43" x14ac:dyDescent="0.45">
      <c r="A42" s="1">
        <v>41</v>
      </c>
      <c r="B42" s="1">
        <v>99</v>
      </c>
      <c r="C42" s="1">
        <v>75</v>
      </c>
      <c r="D42" s="1" t="s">
        <v>64</v>
      </c>
      <c r="E42" s="1" t="s">
        <v>65</v>
      </c>
      <c r="F42" s="1" t="s">
        <v>66</v>
      </c>
      <c r="G42" s="1" t="s">
        <v>46</v>
      </c>
      <c r="H42" s="1" t="s">
        <v>47</v>
      </c>
      <c r="I42" s="1">
        <v>1170</v>
      </c>
      <c r="J42" s="1">
        <v>33499</v>
      </c>
      <c r="K42" s="1">
        <v>1</v>
      </c>
      <c r="L42" s="1">
        <v>74</v>
      </c>
      <c r="M42" s="1">
        <v>1455</v>
      </c>
      <c r="N42" s="1" t="s">
        <v>48</v>
      </c>
      <c r="O42" s="1">
        <v>198607</v>
      </c>
      <c r="P42" s="1">
        <v>89</v>
      </c>
      <c r="Q42" s="1" t="s">
        <v>96</v>
      </c>
      <c r="R42" s="1" t="s">
        <v>50</v>
      </c>
      <c r="S42" s="1">
        <v>0</v>
      </c>
      <c r="T42" s="1">
        <v>0</v>
      </c>
      <c r="U42" s="1">
        <v>71.430000000000007</v>
      </c>
      <c r="V42" s="1">
        <v>25.236000000000001</v>
      </c>
      <c r="W42" s="1">
        <v>0.52</v>
      </c>
      <c r="X42" s="1">
        <v>0.13200000000000001</v>
      </c>
      <c r="Y42" s="1">
        <v>25.367000000000001</v>
      </c>
      <c r="Z42" s="1">
        <v>0.11</v>
      </c>
      <c r="AA42" s="1">
        <v>-0.7</v>
      </c>
      <c r="AB42" s="1">
        <v>-0.6</v>
      </c>
      <c r="AC42" s="1">
        <v>-0.6</v>
      </c>
      <c r="AD42" s="1">
        <v>0.13200000000000001</v>
      </c>
      <c r="AE42" s="1">
        <v>8.1000000000000003E-2</v>
      </c>
      <c r="AF42" s="1">
        <v>1.0999999999999999E-2</v>
      </c>
      <c r="AG42" s="1">
        <v>-0.7</v>
      </c>
      <c r="AI42" s="1">
        <v>0</v>
      </c>
      <c r="AJ42" s="1">
        <v>0</v>
      </c>
      <c r="AK42" s="1">
        <v>0</v>
      </c>
      <c r="AL42" s="1">
        <v>1</v>
      </c>
      <c r="AM42" s="1">
        <v>86400</v>
      </c>
      <c r="AN42" s="1">
        <v>79992</v>
      </c>
      <c r="AO42" s="1">
        <v>6408</v>
      </c>
      <c r="AP42" s="1">
        <v>49408</v>
      </c>
      <c r="AQ42" s="1">
        <v>1.12779195385514</v>
      </c>
    </row>
    <row r="43" spans="1:43" x14ac:dyDescent="0.45">
      <c r="A43" s="1">
        <v>42</v>
      </c>
      <c r="B43" s="1">
        <v>101</v>
      </c>
      <c r="C43" s="1">
        <v>74</v>
      </c>
      <c r="D43" s="1" t="s">
        <v>61</v>
      </c>
      <c r="E43" s="1" t="s">
        <v>62</v>
      </c>
      <c r="F43" s="1" t="s">
        <v>63</v>
      </c>
      <c r="G43" s="1" t="s">
        <v>46</v>
      </c>
      <c r="H43" s="1" t="s">
        <v>47</v>
      </c>
      <c r="I43" s="1">
        <v>1175</v>
      </c>
      <c r="J43" s="1">
        <v>30642</v>
      </c>
      <c r="K43" s="1">
        <v>1</v>
      </c>
      <c r="L43" s="1">
        <v>73</v>
      </c>
      <c r="M43" s="1">
        <v>1437</v>
      </c>
      <c r="N43" s="1" t="s">
        <v>48</v>
      </c>
      <c r="O43" s="1">
        <v>198410</v>
      </c>
      <c r="P43" s="1">
        <v>89</v>
      </c>
      <c r="Q43" s="1" t="s">
        <v>96</v>
      </c>
      <c r="R43" s="1" t="s">
        <v>50</v>
      </c>
      <c r="S43" s="1">
        <v>0</v>
      </c>
      <c r="T43" s="1">
        <v>0</v>
      </c>
      <c r="U43" s="1">
        <v>133.90799999999999</v>
      </c>
      <c r="V43" s="1">
        <v>25.021999999999998</v>
      </c>
      <c r="W43" s="1">
        <v>0.54</v>
      </c>
      <c r="X43" s="1">
        <v>0.25</v>
      </c>
      <c r="Y43" s="1">
        <v>25.271000000000001</v>
      </c>
      <c r="Z43" s="1">
        <v>6.6000000000000003E-2</v>
      </c>
      <c r="AA43" s="1">
        <v>-0.6</v>
      </c>
      <c r="AB43" s="1">
        <v>-0.6</v>
      </c>
      <c r="AC43" s="1">
        <v>-0.6</v>
      </c>
      <c r="AD43" s="1">
        <v>0.25</v>
      </c>
      <c r="AE43" s="1">
        <v>6.6000000000000003E-2</v>
      </c>
      <c r="AF43" s="1">
        <v>1.6E-2</v>
      </c>
      <c r="AG43" s="1">
        <v>-0.6</v>
      </c>
      <c r="AI43" s="1">
        <v>0</v>
      </c>
      <c r="AJ43" s="1">
        <v>0</v>
      </c>
      <c r="AK43" s="1">
        <v>0</v>
      </c>
      <c r="AL43" s="1">
        <v>1</v>
      </c>
      <c r="AM43" s="1">
        <v>86400</v>
      </c>
      <c r="AN43" s="1">
        <v>79989</v>
      </c>
      <c r="AO43" s="1">
        <v>6411</v>
      </c>
      <c r="AP43" s="1">
        <v>46844</v>
      </c>
      <c r="AQ43" s="1">
        <v>11.882044579238849</v>
      </c>
    </row>
    <row r="44" spans="1:43" x14ac:dyDescent="0.45">
      <c r="A44" s="1">
        <v>43</v>
      </c>
      <c r="B44" s="1">
        <v>101</v>
      </c>
      <c r="C44" s="1">
        <v>74</v>
      </c>
      <c r="D44" s="1" t="s">
        <v>61</v>
      </c>
      <c r="E44" s="1" t="s">
        <v>62</v>
      </c>
      <c r="F44" s="1" t="s">
        <v>63</v>
      </c>
      <c r="G44" s="1" t="s">
        <v>46</v>
      </c>
      <c r="H44" s="1" t="s">
        <v>47</v>
      </c>
      <c r="I44" s="1">
        <v>1175</v>
      </c>
      <c r="J44" s="1">
        <v>30642</v>
      </c>
      <c r="K44" s="1">
        <v>1</v>
      </c>
      <c r="L44" s="1">
        <v>73</v>
      </c>
      <c r="M44" s="1">
        <v>1439</v>
      </c>
      <c r="N44" s="1" t="s">
        <v>48</v>
      </c>
      <c r="O44" s="1">
        <v>198432</v>
      </c>
      <c r="P44" s="1">
        <v>89</v>
      </c>
      <c r="Q44" s="1" t="s">
        <v>96</v>
      </c>
      <c r="R44" s="1" t="s">
        <v>50</v>
      </c>
      <c r="S44" s="1">
        <v>0</v>
      </c>
      <c r="T44" s="1">
        <v>0</v>
      </c>
      <c r="U44" s="1">
        <v>135.304</v>
      </c>
      <c r="V44" s="1">
        <v>25.076000000000001</v>
      </c>
      <c r="W44" s="1">
        <v>0.53</v>
      </c>
      <c r="X44" s="1">
        <v>0.19600000000000001</v>
      </c>
      <c r="Y44" s="1">
        <v>25.271999999999998</v>
      </c>
      <c r="Z44" s="1">
        <v>6.0999999999999999E-2</v>
      </c>
      <c r="AA44" s="1">
        <v>1.9</v>
      </c>
      <c r="AB44" s="1">
        <v>1.9</v>
      </c>
      <c r="AC44" s="1">
        <v>1.9</v>
      </c>
      <c r="AD44" s="1">
        <v>0.19600000000000001</v>
      </c>
      <c r="AE44" s="1">
        <v>6.0999999999999999E-2</v>
      </c>
      <c r="AF44" s="1">
        <v>1.2E-2</v>
      </c>
      <c r="AG44" s="1">
        <v>1.9</v>
      </c>
      <c r="AI44" s="1">
        <v>0</v>
      </c>
      <c r="AJ44" s="1">
        <v>0</v>
      </c>
      <c r="AK44" s="1">
        <v>0</v>
      </c>
      <c r="AL44" s="1">
        <v>1</v>
      </c>
      <c r="AM44" s="1">
        <v>86400</v>
      </c>
      <c r="AN44" s="1">
        <v>77034</v>
      </c>
      <c r="AO44" s="1">
        <v>9366</v>
      </c>
      <c r="AP44" s="1">
        <v>47083</v>
      </c>
      <c r="AQ44" s="1">
        <v>3.4742025684666311</v>
      </c>
    </row>
    <row r="45" spans="1:43" x14ac:dyDescent="0.45">
      <c r="A45" s="1">
        <v>44</v>
      </c>
      <c r="B45" s="1">
        <v>101</v>
      </c>
      <c r="C45" s="1">
        <v>74</v>
      </c>
      <c r="D45" s="1" t="s">
        <v>61</v>
      </c>
      <c r="E45" s="1" t="s">
        <v>62</v>
      </c>
      <c r="F45" s="1" t="s">
        <v>63</v>
      </c>
      <c r="G45" s="1" t="s">
        <v>46</v>
      </c>
      <c r="H45" s="1" t="s">
        <v>47</v>
      </c>
      <c r="I45" s="1">
        <v>1175</v>
      </c>
      <c r="J45" s="1">
        <v>30642</v>
      </c>
      <c r="K45" s="1">
        <v>1</v>
      </c>
      <c r="L45" s="1">
        <v>73</v>
      </c>
      <c r="M45" s="1">
        <v>1443</v>
      </c>
      <c r="N45" s="1" t="s">
        <v>48</v>
      </c>
      <c r="O45" s="1">
        <v>198461</v>
      </c>
      <c r="P45" s="1">
        <v>89</v>
      </c>
      <c r="Q45" s="1" t="s">
        <v>96</v>
      </c>
      <c r="R45" s="1" t="s">
        <v>50</v>
      </c>
      <c r="S45" s="1">
        <v>0</v>
      </c>
      <c r="T45" s="1">
        <v>0</v>
      </c>
      <c r="U45" s="1">
        <v>58.322000000000003</v>
      </c>
      <c r="V45" s="1">
        <v>24.956</v>
      </c>
      <c r="W45" s="1">
        <v>0.54</v>
      </c>
      <c r="X45" s="1">
        <v>0.216</v>
      </c>
      <c r="Y45" s="1">
        <v>25.172000000000001</v>
      </c>
      <c r="Z45" s="1">
        <v>0.59399999999999997</v>
      </c>
      <c r="AA45" s="1">
        <v>-2.4</v>
      </c>
      <c r="AB45" s="1">
        <v>-2.4</v>
      </c>
      <c r="AC45" s="1">
        <v>-2.4</v>
      </c>
      <c r="AD45" s="1">
        <v>0.216</v>
      </c>
      <c r="AE45" s="1">
        <v>0.59299999999999997</v>
      </c>
      <c r="AF45" s="1">
        <v>0.128</v>
      </c>
      <c r="AG45" s="1">
        <v>-2.4</v>
      </c>
      <c r="AI45" s="1">
        <v>0</v>
      </c>
      <c r="AJ45" s="1">
        <v>0</v>
      </c>
      <c r="AK45" s="1">
        <v>0</v>
      </c>
      <c r="AL45" s="1">
        <v>1</v>
      </c>
      <c r="AM45" s="1">
        <v>86400</v>
      </c>
      <c r="AN45" s="1">
        <v>80311</v>
      </c>
      <c r="AO45" s="1">
        <v>6089</v>
      </c>
      <c r="AP45" s="1">
        <v>47103</v>
      </c>
      <c r="AQ45" s="1">
        <v>9.2549849174751557</v>
      </c>
    </row>
    <row r="46" spans="1:43" x14ac:dyDescent="0.45">
      <c r="A46" s="1">
        <v>45</v>
      </c>
      <c r="B46" s="1">
        <v>101</v>
      </c>
      <c r="C46" s="1">
        <v>74</v>
      </c>
      <c r="D46" s="1" t="s">
        <v>61</v>
      </c>
      <c r="E46" s="1" t="s">
        <v>62</v>
      </c>
      <c r="F46" s="1" t="s">
        <v>63</v>
      </c>
      <c r="G46" s="1" t="s">
        <v>46</v>
      </c>
      <c r="H46" s="1" t="s">
        <v>47</v>
      </c>
      <c r="I46" s="1">
        <v>1175</v>
      </c>
      <c r="J46" s="1">
        <v>30642</v>
      </c>
      <c r="K46" s="1">
        <v>1</v>
      </c>
      <c r="L46" s="1">
        <v>73</v>
      </c>
      <c r="M46" s="1">
        <v>1444</v>
      </c>
      <c r="N46" s="1" t="s">
        <v>48</v>
      </c>
      <c r="O46" s="1">
        <v>198463</v>
      </c>
      <c r="P46" s="1">
        <v>89</v>
      </c>
      <c r="Q46" s="1" t="s">
        <v>96</v>
      </c>
      <c r="R46" s="1" t="s">
        <v>50</v>
      </c>
      <c r="S46" s="1">
        <v>0</v>
      </c>
      <c r="T46" s="1">
        <v>0</v>
      </c>
      <c r="U46" s="1">
        <v>67.843999999999994</v>
      </c>
      <c r="V46" s="1">
        <v>25.030999999999999</v>
      </c>
      <c r="W46" s="1">
        <v>0.52</v>
      </c>
      <c r="X46" s="1">
        <v>0.123</v>
      </c>
      <c r="Y46" s="1">
        <v>25.155000000000001</v>
      </c>
      <c r="Z46" s="1">
        <v>0.502</v>
      </c>
      <c r="AA46" s="1">
        <v>-2.4</v>
      </c>
      <c r="AB46" s="1">
        <v>-2.4</v>
      </c>
      <c r="AC46" s="1">
        <v>-2.4</v>
      </c>
      <c r="AD46" s="1">
        <v>0.123</v>
      </c>
      <c r="AE46" s="1">
        <v>0.495</v>
      </c>
      <c r="AF46" s="1">
        <v>6.0999999999999999E-2</v>
      </c>
      <c r="AG46" s="1">
        <v>-2.4</v>
      </c>
      <c r="AI46" s="1">
        <v>0</v>
      </c>
      <c r="AJ46" s="1">
        <v>0</v>
      </c>
      <c r="AK46" s="1">
        <v>0</v>
      </c>
      <c r="AL46" s="1">
        <v>1</v>
      </c>
      <c r="AM46" s="1">
        <v>64902</v>
      </c>
      <c r="AN46" s="1">
        <v>32176</v>
      </c>
      <c r="AO46" s="1">
        <v>32436</v>
      </c>
      <c r="AP46" s="1">
        <v>48674</v>
      </c>
      <c r="AQ46" s="1">
        <v>8.1452208108424564</v>
      </c>
    </row>
    <row r="47" spans="1:43" x14ac:dyDescent="0.45">
      <c r="A47" s="1">
        <v>46</v>
      </c>
      <c r="B47" s="1">
        <v>101</v>
      </c>
      <c r="C47" s="1">
        <v>74</v>
      </c>
      <c r="D47" s="1" t="s">
        <v>61</v>
      </c>
      <c r="E47" s="1" t="s">
        <v>62</v>
      </c>
      <c r="F47" s="1" t="s">
        <v>63</v>
      </c>
      <c r="G47" s="1" t="s">
        <v>46</v>
      </c>
      <c r="H47" s="1" t="s">
        <v>47</v>
      </c>
      <c r="I47" s="1">
        <v>1175</v>
      </c>
      <c r="J47" s="1">
        <v>30642</v>
      </c>
      <c r="K47" s="1">
        <v>1</v>
      </c>
      <c r="L47" s="1">
        <v>73</v>
      </c>
      <c r="M47" s="1">
        <v>1446</v>
      </c>
      <c r="N47" s="1" t="s">
        <v>48</v>
      </c>
      <c r="O47" s="1">
        <v>198487</v>
      </c>
      <c r="P47" s="1">
        <v>89</v>
      </c>
      <c r="Q47" s="1" t="s">
        <v>96</v>
      </c>
      <c r="R47" s="1" t="s">
        <v>50</v>
      </c>
      <c r="S47" s="1">
        <v>0</v>
      </c>
      <c r="T47" s="1">
        <v>0</v>
      </c>
      <c r="U47" s="1">
        <v>83.683999999999997</v>
      </c>
      <c r="V47" s="1">
        <v>25.073</v>
      </c>
      <c r="W47" s="1">
        <v>0.53</v>
      </c>
      <c r="X47" s="1">
        <v>0.19800000000000001</v>
      </c>
      <c r="Y47" s="1">
        <v>25.271000000000001</v>
      </c>
      <c r="Z47" s="1">
        <v>8.5000000000000006E-2</v>
      </c>
      <c r="AA47" s="1">
        <v>-2.6</v>
      </c>
      <c r="AB47" s="1">
        <v>-2.6</v>
      </c>
      <c r="AC47" s="1">
        <v>-2.6</v>
      </c>
      <c r="AD47" s="1">
        <v>0.19800000000000001</v>
      </c>
      <c r="AE47" s="1">
        <v>8.5000000000000006E-2</v>
      </c>
      <c r="AF47" s="1">
        <v>1.7000000000000001E-2</v>
      </c>
      <c r="AG47" s="1">
        <v>-2.6</v>
      </c>
      <c r="AI47" s="1">
        <v>0</v>
      </c>
      <c r="AJ47" s="1">
        <v>0</v>
      </c>
      <c r="AK47" s="1">
        <v>0</v>
      </c>
      <c r="AL47" s="1">
        <v>1</v>
      </c>
      <c r="AM47" s="1">
        <v>86400</v>
      </c>
      <c r="AN47" s="1">
        <v>77216</v>
      </c>
      <c r="AO47" s="1">
        <v>9184</v>
      </c>
      <c r="AP47" s="1">
        <v>43765</v>
      </c>
      <c r="AQ47" s="1">
        <v>15.599047446394991</v>
      </c>
    </row>
    <row r="48" spans="1:43" x14ac:dyDescent="0.45">
      <c r="A48" s="1">
        <v>47</v>
      </c>
      <c r="B48" s="1">
        <v>101</v>
      </c>
      <c r="C48" s="1">
        <v>74</v>
      </c>
      <c r="D48" s="1" t="s">
        <v>61</v>
      </c>
      <c r="E48" s="1" t="s">
        <v>62</v>
      </c>
      <c r="F48" s="1" t="s">
        <v>63</v>
      </c>
      <c r="G48" s="1" t="s">
        <v>46</v>
      </c>
      <c r="H48" s="1" t="s">
        <v>47</v>
      </c>
      <c r="I48" s="1">
        <v>1175</v>
      </c>
      <c r="J48" s="1">
        <v>30642</v>
      </c>
      <c r="K48" s="1">
        <v>1</v>
      </c>
      <c r="L48" s="1">
        <v>73</v>
      </c>
      <c r="M48" s="1">
        <v>1447</v>
      </c>
      <c r="N48" s="1" t="s">
        <v>48</v>
      </c>
      <c r="O48" s="1">
        <v>198541</v>
      </c>
      <c r="P48" s="1">
        <v>89</v>
      </c>
      <c r="Q48" s="1" t="s">
        <v>96</v>
      </c>
      <c r="R48" s="1" t="s">
        <v>50</v>
      </c>
      <c r="S48" s="1">
        <v>0</v>
      </c>
      <c r="T48" s="1">
        <v>0</v>
      </c>
      <c r="U48" s="1">
        <v>289.83499999999998</v>
      </c>
      <c r="V48" s="1">
        <v>25.143000000000001</v>
      </c>
      <c r="W48" s="1">
        <v>0.54</v>
      </c>
      <c r="X48" s="1">
        <v>0.24199999999999999</v>
      </c>
      <c r="Y48" s="1">
        <v>25.385000000000002</v>
      </c>
      <c r="Z48" s="1">
        <v>8.6999999999999994E-2</v>
      </c>
      <c r="AA48" s="1">
        <v>-2.1</v>
      </c>
      <c r="AB48" s="1">
        <v>-2.1</v>
      </c>
      <c r="AC48" s="1">
        <v>-2.1</v>
      </c>
      <c r="AD48" s="1">
        <v>0.24199999999999999</v>
      </c>
      <c r="AE48" s="1">
        <v>8.6999999999999994E-2</v>
      </c>
      <c r="AF48" s="1">
        <v>2.1000000000000001E-2</v>
      </c>
      <c r="AG48" s="1">
        <v>-2.1</v>
      </c>
      <c r="AI48" s="1">
        <v>0</v>
      </c>
      <c r="AJ48" s="1">
        <v>0</v>
      </c>
      <c r="AK48" s="1">
        <v>0</v>
      </c>
      <c r="AL48" s="1">
        <v>1</v>
      </c>
      <c r="AM48" s="1">
        <v>86400</v>
      </c>
      <c r="AN48" s="1">
        <v>78807</v>
      </c>
      <c r="AO48" s="1">
        <v>7593</v>
      </c>
      <c r="AP48" s="1">
        <v>46900</v>
      </c>
      <c r="AQ48" s="1">
        <v>24.891446609903252</v>
      </c>
    </row>
    <row r="49" spans="1:43" x14ac:dyDescent="0.45">
      <c r="A49" s="1">
        <v>48</v>
      </c>
      <c r="B49" s="1">
        <v>101</v>
      </c>
      <c r="C49" s="1">
        <v>74</v>
      </c>
      <c r="D49" s="1" t="s">
        <v>61</v>
      </c>
      <c r="E49" s="1" t="s">
        <v>62</v>
      </c>
      <c r="F49" s="1" t="s">
        <v>63</v>
      </c>
      <c r="G49" s="1" t="s">
        <v>46</v>
      </c>
      <c r="H49" s="1" t="s">
        <v>47</v>
      </c>
      <c r="I49" s="1">
        <v>1175</v>
      </c>
      <c r="J49" s="1">
        <v>30642</v>
      </c>
      <c r="K49" s="1">
        <v>1</v>
      </c>
      <c r="L49" s="1">
        <v>73</v>
      </c>
      <c r="M49" s="1">
        <v>1448</v>
      </c>
      <c r="N49" s="1" t="s">
        <v>48</v>
      </c>
      <c r="O49" s="1">
        <v>198542</v>
      </c>
      <c r="P49" s="1">
        <v>89</v>
      </c>
      <c r="Q49" s="1" t="s">
        <v>96</v>
      </c>
      <c r="R49" s="1" t="s">
        <v>50</v>
      </c>
      <c r="S49" s="1">
        <v>0</v>
      </c>
      <c r="T49" s="1">
        <v>0</v>
      </c>
      <c r="U49" s="1">
        <v>289.83499999999998</v>
      </c>
      <c r="V49" s="1">
        <v>25.213999999999999</v>
      </c>
      <c r="W49" s="1">
        <v>0.53</v>
      </c>
      <c r="X49" s="1">
        <v>0.17100000000000001</v>
      </c>
      <c r="Y49" s="1">
        <v>25.385000000000002</v>
      </c>
      <c r="Z49" s="1">
        <v>3.7999999999999999E-2</v>
      </c>
      <c r="AA49" s="1">
        <v>-1</v>
      </c>
      <c r="AB49" s="1">
        <v>-1</v>
      </c>
      <c r="AC49" s="1">
        <v>-1</v>
      </c>
      <c r="AD49" s="1">
        <v>0.17100000000000001</v>
      </c>
      <c r="AE49" s="1">
        <v>3.7999999999999999E-2</v>
      </c>
      <c r="AF49" s="1">
        <v>6.0000000000000001E-3</v>
      </c>
      <c r="AG49" s="1">
        <v>-1</v>
      </c>
      <c r="AI49" s="1">
        <v>0</v>
      </c>
      <c r="AJ49" s="1">
        <v>0</v>
      </c>
      <c r="AK49" s="1">
        <v>0</v>
      </c>
      <c r="AL49" s="1">
        <v>1</v>
      </c>
      <c r="AM49" s="1">
        <v>86400</v>
      </c>
      <c r="AN49" s="1">
        <v>74435</v>
      </c>
      <c r="AO49" s="1">
        <v>11965</v>
      </c>
      <c r="AP49" s="1">
        <v>43621</v>
      </c>
      <c r="AQ49" s="1">
        <v>25.132737300929911</v>
      </c>
    </row>
    <row r="50" spans="1:43" x14ac:dyDescent="0.45">
      <c r="A50" s="1">
        <v>49</v>
      </c>
      <c r="B50" s="1">
        <v>101</v>
      </c>
      <c r="C50" s="1">
        <v>74</v>
      </c>
      <c r="D50" s="1" t="s">
        <v>61</v>
      </c>
      <c r="E50" s="1" t="s">
        <v>62</v>
      </c>
      <c r="F50" s="1" t="s">
        <v>63</v>
      </c>
      <c r="G50" s="1" t="s">
        <v>46</v>
      </c>
      <c r="H50" s="1" t="s">
        <v>47</v>
      </c>
      <c r="I50" s="1">
        <v>1175</v>
      </c>
      <c r="J50" s="1">
        <v>30642</v>
      </c>
      <c r="K50" s="1">
        <v>1</v>
      </c>
      <c r="L50" s="1">
        <v>73</v>
      </c>
      <c r="M50" s="1">
        <v>1449</v>
      </c>
      <c r="N50" s="1" t="s">
        <v>48</v>
      </c>
      <c r="O50" s="1">
        <v>198593</v>
      </c>
      <c r="P50" s="1">
        <v>89</v>
      </c>
      <c r="Q50" s="1" t="s">
        <v>96</v>
      </c>
      <c r="R50" s="1" t="s">
        <v>50</v>
      </c>
      <c r="S50" s="1">
        <v>0</v>
      </c>
      <c r="T50" s="1">
        <v>0</v>
      </c>
      <c r="U50" s="1">
        <v>544.79200000000003</v>
      </c>
      <c r="V50" s="1">
        <v>25.16</v>
      </c>
      <c r="W50" s="1">
        <v>0.53</v>
      </c>
      <c r="X50" s="1">
        <v>0.19600000000000001</v>
      </c>
      <c r="Y50" s="1">
        <v>25.356000000000002</v>
      </c>
      <c r="Z50" s="1">
        <v>9.1999999999999998E-2</v>
      </c>
      <c r="AA50" s="1">
        <v>2.4</v>
      </c>
      <c r="AB50" s="1">
        <v>2.4</v>
      </c>
      <c r="AC50" s="1">
        <v>2.4</v>
      </c>
      <c r="AD50" s="1">
        <v>0.19600000000000001</v>
      </c>
      <c r="AE50" s="1">
        <v>9.0999999999999998E-2</v>
      </c>
      <c r="AF50" s="1">
        <v>1.7999999999999999E-2</v>
      </c>
      <c r="AG50" s="1">
        <v>2.4</v>
      </c>
      <c r="AI50" s="1">
        <v>0</v>
      </c>
      <c r="AJ50" s="1">
        <v>0</v>
      </c>
      <c r="AK50" s="1">
        <v>0</v>
      </c>
      <c r="AL50" s="1">
        <v>1</v>
      </c>
      <c r="AM50" s="1">
        <v>86400</v>
      </c>
      <c r="AN50" s="1">
        <v>70856</v>
      </c>
      <c r="AO50" s="1">
        <v>15544</v>
      </c>
      <c r="AP50" s="1">
        <v>50140</v>
      </c>
      <c r="AQ50" s="1">
        <v>26.819003902703411</v>
      </c>
    </row>
    <row r="51" spans="1:43" x14ac:dyDescent="0.45">
      <c r="A51" s="1">
        <v>50</v>
      </c>
      <c r="B51" s="1">
        <v>101</v>
      </c>
      <c r="C51" s="1">
        <v>74</v>
      </c>
      <c r="D51" s="1" t="s">
        <v>61</v>
      </c>
      <c r="E51" s="1" t="s">
        <v>62</v>
      </c>
      <c r="F51" s="1" t="s">
        <v>63</v>
      </c>
      <c r="G51" s="1" t="s">
        <v>46</v>
      </c>
      <c r="H51" s="1" t="s">
        <v>47</v>
      </c>
      <c r="I51" s="1">
        <v>1175</v>
      </c>
      <c r="J51" s="1">
        <v>30642</v>
      </c>
      <c r="K51" s="1">
        <v>1</v>
      </c>
      <c r="L51" s="1">
        <v>73</v>
      </c>
      <c r="M51" s="1">
        <v>1450</v>
      </c>
      <c r="N51" s="1" t="s">
        <v>48</v>
      </c>
      <c r="O51" s="1">
        <v>198594</v>
      </c>
      <c r="P51" s="1">
        <v>89</v>
      </c>
      <c r="Q51" s="1" t="s">
        <v>96</v>
      </c>
      <c r="R51" s="1" t="s">
        <v>50</v>
      </c>
      <c r="S51" s="1">
        <v>0</v>
      </c>
      <c r="T51" s="1">
        <v>0</v>
      </c>
      <c r="U51" s="1">
        <v>600.88599999999997</v>
      </c>
      <c r="V51" s="1">
        <v>25.077999999999999</v>
      </c>
      <c r="W51" s="1">
        <v>0.54</v>
      </c>
      <c r="X51" s="1">
        <v>0.28100000000000003</v>
      </c>
      <c r="Y51" s="1">
        <v>25.359000000000002</v>
      </c>
      <c r="Z51" s="1">
        <v>6.7000000000000004E-2</v>
      </c>
      <c r="AA51" s="1">
        <v>3.1</v>
      </c>
      <c r="AB51" s="1">
        <v>3.1</v>
      </c>
      <c r="AC51" s="1">
        <v>3.1</v>
      </c>
      <c r="AD51" s="1">
        <v>0.28100000000000003</v>
      </c>
      <c r="AE51" s="1">
        <v>6.7000000000000004E-2</v>
      </c>
      <c r="AF51" s="1">
        <v>1.9E-2</v>
      </c>
      <c r="AG51" s="1">
        <v>3.1</v>
      </c>
      <c r="AI51" s="1">
        <v>0</v>
      </c>
      <c r="AJ51" s="1">
        <v>0</v>
      </c>
      <c r="AK51" s="1">
        <v>0</v>
      </c>
      <c r="AL51" s="1">
        <v>1</v>
      </c>
      <c r="AM51" s="1">
        <v>86400</v>
      </c>
      <c r="AN51" s="1">
        <v>76815</v>
      </c>
      <c r="AO51" s="1">
        <v>9585</v>
      </c>
      <c r="AP51" s="1">
        <v>50237</v>
      </c>
      <c r="AQ51" s="1">
        <v>2.7249590740331948</v>
      </c>
    </row>
    <row r="52" spans="1:43" x14ac:dyDescent="0.45">
      <c r="A52" s="1">
        <v>51</v>
      </c>
      <c r="B52" s="1">
        <v>101</v>
      </c>
      <c r="C52" s="1">
        <v>74</v>
      </c>
      <c r="D52" s="1" t="s">
        <v>61</v>
      </c>
      <c r="E52" s="1" t="s">
        <v>62</v>
      </c>
      <c r="F52" s="1" t="s">
        <v>63</v>
      </c>
      <c r="G52" s="1" t="s">
        <v>46</v>
      </c>
      <c r="H52" s="1" t="s">
        <v>47</v>
      </c>
      <c r="I52" s="1">
        <v>1175</v>
      </c>
      <c r="J52" s="1">
        <v>30642</v>
      </c>
      <c r="K52" s="1">
        <v>1</v>
      </c>
      <c r="L52" s="1">
        <v>73</v>
      </c>
      <c r="M52" s="1">
        <v>1451</v>
      </c>
      <c r="N52" s="1" t="s">
        <v>48</v>
      </c>
      <c r="O52" s="1">
        <v>198595</v>
      </c>
      <c r="P52" s="1">
        <v>89</v>
      </c>
      <c r="Q52" s="1" t="s">
        <v>96</v>
      </c>
      <c r="R52" s="1" t="s">
        <v>50</v>
      </c>
      <c r="S52" s="1">
        <v>0</v>
      </c>
      <c r="T52" s="1">
        <v>0</v>
      </c>
      <c r="U52" s="1">
        <v>356.9</v>
      </c>
      <c r="V52" s="1">
        <v>25.073</v>
      </c>
      <c r="W52" s="1">
        <v>0.54</v>
      </c>
      <c r="X52" s="1">
        <v>0.28599999999999998</v>
      </c>
      <c r="Y52" s="1">
        <v>25.359000000000002</v>
      </c>
      <c r="Z52" s="1">
        <v>3.4000000000000002E-2</v>
      </c>
      <c r="AA52" s="1">
        <v>-1.1000000000000001</v>
      </c>
      <c r="AB52" s="1">
        <v>-1.1000000000000001</v>
      </c>
      <c r="AC52" s="1">
        <v>-1.1000000000000001</v>
      </c>
      <c r="AD52" s="1">
        <v>0.28599999999999998</v>
      </c>
      <c r="AE52" s="1">
        <v>3.4000000000000002E-2</v>
      </c>
      <c r="AF52" s="1">
        <v>0.01</v>
      </c>
      <c r="AG52" s="1">
        <v>-1.1000000000000001</v>
      </c>
      <c r="AI52" s="1">
        <v>0</v>
      </c>
      <c r="AJ52" s="1">
        <v>0</v>
      </c>
      <c r="AK52" s="1">
        <v>0</v>
      </c>
      <c r="AL52" s="1">
        <v>1</v>
      </c>
      <c r="AM52" s="1">
        <v>86400</v>
      </c>
      <c r="AN52" s="1">
        <v>77185</v>
      </c>
      <c r="AO52" s="1">
        <v>9215</v>
      </c>
      <c r="AP52" s="1">
        <v>49481</v>
      </c>
      <c r="AQ52" s="1">
        <v>49.442101089761117</v>
      </c>
    </row>
    <row r="53" spans="1:43" x14ac:dyDescent="0.45">
      <c r="A53" s="1">
        <v>52</v>
      </c>
      <c r="B53" s="1">
        <v>101</v>
      </c>
      <c r="C53" s="1">
        <v>74</v>
      </c>
      <c r="D53" s="1" t="s">
        <v>61</v>
      </c>
      <c r="E53" s="1" t="s">
        <v>62</v>
      </c>
      <c r="F53" s="1" t="s">
        <v>63</v>
      </c>
      <c r="G53" s="1" t="s">
        <v>46</v>
      </c>
      <c r="H53" s="1" t="s">
        <v>47</v>
      </c>
      <c r="I53" s="1">
        <v>1175</v>
      </c>
      <c r="J53" s="1">
        <v>30642</v>
      </c>
      <c r="K53" s="1">
        <v>1</v>
      </c>
      <c r="L53" s="1">
        <v>73</v>
      </c>
      <c r="M53" s="1">
        <v>1452</v>
      </c>
      <c r="N53" s="1" t="s">
        <v>48</v>
      </c>
      <c r="O53" s="1">
        <v>198598</v>
      </c>
      <c r="P53" s="1">
        <v>89</v>
      </c>
      <c r="Q53" s="1" t="s">
        <v>96</v>
      </c>
      <c r="R53" s="1" t="s">
        <v>50</v>
      </c>
      <c r="S53" s="1">
        <v>0</v>
      </c>
      <c r="T53" s="1">
        <v>0</v>
      </c>
      <c r="U53" s="1">
        <v>434.84699999999998</v>
      </c>
      <c r="V53" s="1">
        <v>25.167000000000002</v>
      </c>
      <c r="W53" s="1">
        <v>0.53</v>
      </c>
      <c r="X53" s="1">
        <v>0.192</v>
      </c>
      <c r="Y53" s="1">
        <v>25.359000000000002</v>
      </c>
      <c r="Z53" s="1">
        <v>8.4000000000000005E-2</v>
      </c>
      <c r="AA53" s="1">
        <v>1.6</v>
      </c>
      <c r="AB53" s="1">
        <v>1.7</v>
      </c>
      <c r="AC53" s="1">
        <v>1.7</v>
      </c>
      <c r="AD53" s="1">
        <v>0.192</v>
      </c>
      <c r="AE53" s="1">
        <v>7.0999999999999994E-2</v>
      </c>
      <c r="AF53" s="1">
        <v>1.4999999999999999E-2</v>
      </c>
      <c r="AG53" s="1">
        <v>1.6</v>
      </c>
      <c r="AI53" s="1">
        <v>0</v>
      </c>
      <c r="AJ53" s="1">
        <v>0</v>
      </c>
      <c r="AK53" s="1">
        <v>0</v>
      </c>
      <c r="AL53" s="1">
        <v>1</v>
      </c>
      <c r="AM53" s="1">
        <v>86400</v>
      </c>
      <c r="AN53" s="1">
        <v>70432</v>
      </c>
      <c r="AO53" s="1">
        <v>15968</v>
      </c>
      <c r="AP53" s="1">
        <v>49132</v>
      </c>
      <c r="AQ53" s="1">
        <v>26.300615520015079</v>
      </c>
    </row>
    <row r="54" spans="1:43" x14ac:dyDescent="0.45">
      <c r="A54" s="1">
        <v>53</v>
      </c>
      <c r="B54" s="1">
        <v>101</v>
      </c>
      <c r="C54" s="1">
        <v>74</v>
      </c>
      <c r="D54" s="1" t="s">
        <v>61</v>
      </c>
      <c r="E54" s="1" t="s">
        <v>62</v>
      </c>
      <c r="F54" s="1" t="s">
        <v>63</v>
      </c>
      <c r="G54" s="1" t="s">
        <v>46</v>
      </c>
      <c r="H54" s="1" t="s">
        <v>47</v>
      </c>
      <c r="I54" s="1">
        <v>1175</v>
      </c>
      <c r="J54" s="1">
        <v>30642</v>
      </c>
      <c r="K54" s="1">
        <v>1</v>
      </c>
      <c r="L54" s="1">
        <v>73</v>
      </c>
      <c r="M54" s="1">
        <v>1453</v>
      </c>
      <c r="N54" s="1" t="s">
        <v>48</v>
      </c>
      <c r="O54" s="1">
        <v>198604</v>
      </c>
      <c r="P54" s="1">
        <v>89</v>
      </c>
      <c r="Q54" s="1" t="s">
        <v>96</v>
      </c>
      <c r="R54" s="1" t="s">
        <v>50</v>
      </c>
      <c r="S54" s="1">
        <v>0</v>
      </c>
      <c r="T54" s="1">
        <v>0</v>
      </c>
      <c r="U54" s="1">
        <v>319.57100000000003</v>
      </c>
      <c r="V54" s="1">
        <v>25.094999999999999</v>
      </c>
      <c r="W54" s="1">
        <v>0.54</v>
      </c>
      <c r="X54" s="1">
        <v>0.26900000000000002</v>
      </c>
      <c r="Y54" s="1">
        <v>25.364000000000001</v>
      </c>
      <c r="Z54" s="1">
        <v>0.09</v>
      </c>
      <c r="AA54" s="1">
        <v>0.1</v>
      </c>
      <c r="AB54" s="1">
        <v>0</v>
      </c>
      <c r="AC54" s="1">
        <v>0</v>
      </c>
      <c r="AD54" s="1">
        <v>0.26900000000000002</v>
      </c>
      <c r="AE54" s="1">
        <v>8.7999999999999995E-2</v>
      </c>
      <c r="AF54" s="1">
        <v>2.4E-2</v>
      </c>
      <c r="AG54" s="1">
        <v>0.1</v>
      </c>
      <c r="AI54" s="1">
        <v>0</v>
      </c>
      <c r="AJ54" s="1">
        <v>0</v>
      </c>
      <c r="AK54" s="1">
        <v>0</v>
      </c>
      <c r="AL54" s="1">
        <v>1</v>
      </c>
      <c r="AM54" s="1">
        <v>86400</v>
      </c>
      <c r="AN54" s="1">
        <v>77441</v>
      </c>
      <c r="AO54" s="1">
        <v>8959</v>
      </c>
      <c r="AP54" s="1">
        <v>49619</v>
      </c>
      <c r="AQ54" s="1">
        <v>25.644147779351979</v>
      </c>
    </row>
    <row r="55" spans="1:43" x14ac:dyDescent="0.45">
      <c r="A55" s="1">
        <v>54</v>
      </c>
      <c r="B55" s="1">
        <v>101</v>
      </c>
      <c r="C55" s="1">
        <v>74</v>
      </c>
      <c r="D55" s="1" t="s">
        <v>61</v>
      </c>
      <c r="E55" s="1" t="s">
        <v>62</v>
      </c>
      <c r="F55" s="1" t="s">
        <v>63</v>
      </c>
      <c r="G55" s="1" t="s">
        <v>46</v>
      </c>
      <c r="H55" s="1" t="s">
        <v>47</v>
      </c>
      <c r="I55" s="1">
        <v>1175</v>
      </c>
      <c r="J55" s="1">
        <v>30642</v>
      </c>
      <c r="K55" s="1">
        <v>1</v>
      </c>
      <c r="L55" s="1">
        <v>73</v>
      </c>
      <c r="M55" s="1">
        <v>1455</v>
      </c>
      <c r="N55" s="1" t="s">
        <v>48</v>
      </c>
      <c r="O55" s="1">
        <v>198607</v>
      </c>
      <c r="P55" s="1">
        <v>89</v>
      </c>
      <c r="Q55" s="1" t="s">
        <v>96</v>
      </c>
      <c r="R55" s="1" t="s">
        <v>50</v>
      </c>
      <c r="S55" s="1">
        <v>0</v>
      </c>
      <c r="T55" s="1">
        <v>0</v>
      </c>
      <c r="U55" s="1">
        <v>71.430000000000007</v>
      </c>
      <c r="V55" s="1">
        <v>25.236000000000001</v>
      </c>
      <c r="W55" s="1">
        <v>0.52</v>
      </c>
      <c r="X55" s="1">
        <v>0.13200000000000001</v>
      </c>
      <c r="Y55" s="1">
        <v>25.367000000000001</v>
      </c>
      <c r="Z55" s="1">
        <v>0.11</v>
      </c>
      <c r="AA55" s="1">
        <v>-0.7</v>
      </c>
      <c r="AB55" s="1">
        <v>-0.6</v>
      </c>
      <c r="AC55" s="1">
        <v>-0.6</v>
      </c>
      <c r="AD55" s="1">
        <v>0.13200000000000001</v>
      </c>
      <c r="AE55" s="1">
        <v>8.1000000000000003E-2</v>
      </c>
      <c r="AF55" s="1">
        <v>1.0999999999999999E-2</v>
      </c>
      <c r="AG55" s="1">
        <v>-0.7</v>
      </c>
      <c r="AI55" s="1">
        <v>0</v>
      </c>
      <c r="AJ55" s="1">
        <v>0</v>
      </c>
      <c r="AK55" s="1">
        <v>0</v>
      </c>
      <c r="AL55" s="1">
        <v>1</v>
      </c>
      <c r="AM55" s="1">
        <v>86400</v>
      </c>
      <c r="AN55" s="1">
        <v>79992</v>
      </c>
      <c r="AO55" s="1">
        <v>6408</v>
      </c>
      <c r="AP55" s="1">
        <v>49408</v>
      </c>
      <c r="AQ55" s="1">
        <v>10.66390759449977</v>
      </c>
    </row>
    <row r="56" spans="1:43" x14ac:dyDescent="0.45">
      <c r="A56" s="1">
        <v>55</v>
      </c>
      <c r="B56" s="1">
        <v>142</v>
      </c>
      <c r="C56" s="1">
        <v>78</v>
      </c>
      <c r="D56" s="1" t="s">
        <v>67</v>
      </c>
      <c r="E56" s="1" t="s">
        <v>68</v>
      </c>
      <c r="F56" s="1" t="s">
        <v>69</v>
      </c>
      <c r="G56" s="1" t="s">
        <v>46</v>
      </c>
      <c r="H56" s="1" t="s">
        <v>47</v>
      </c>
      <c r="I56" s="1">
        <v>1163</v>
      </c>
      <c r="J56" s="1">
        <v>33073</v>
      </c>
      <c r="K56" s="1">
        <v>1</v>
      </c>
      <c r="L56" s="1">
        <v>77</v>
      </c>
      <c r="M56" s="1">
        <v>1383</v>
      </c>
      <c r="N56" s="1" t="s">
        <v>48</v>
      </c>
      <c r="O56" s="1">
        <v>194312</v>
      </c>
      <c r="P56" s="1">
        <v>89</v>
      </c>
      <c r="Q56" s="1" t="s">
        <v>96</v>
      </c>
      <c r="R56" s="1" t="s">
        <v>50</v>
      </c>
      <c r="S56" s="1">
        <v>0</v>
      </c>
      <c r="T56" s="1">
        <v>0</v>
      </c>
      <c r="U56" s="1">
        <v>570.83799999999997</v>
      </c>
      <c r="V56" s="1">
        <v>25.484000000000002</v>
      </c>
      <c r="W56" s="1">
        <v>0.55000000000000004</v>
      </c>
      <c r="X56" s="1">
        <v>0.30199999999999999</v>
      </c>
      <c r="Y56" s="1">
        <v>25.786000000000001</v>
      </c>
      <c r="Z56" s="1">
        <v>6.9000000000000006E-2</v>
      </c>
      <c r="AA56" s="1">
        <v>-1.7</v>
      </c>
      <c r="AB56" s="1">
        <v>-1.7</v>
      </c>
      <c r="AC56" s="1">
        <v>-1.7</v>
      </c>
      <c r="AD56" s="1">
        <v>0.30199999999999999</v>
      </c>
      <c r="AE56" s="1">
        <v>6.9000000000000006E-2</v>
      </c>
      <c r="AF56" s="1">
        <v>2.1000000000000001E-2</v>
      </c>
      <c r="AG56" s="1">
        <v>-1.7</v>
      </c>
      <c r="AI56" s="1">
        <v>0</v>
      </c>
      <c r="AJ56" s="1">
        <v>0</v>
      </c>
      <c r="AK56" s="1">
        <v>0</v>
      </c>
      <c r="AL56" s="1">
        <v>1</v>
      </c>
      <c r="AM56" s="1">
        <v>86400</v>
      </c>
      <c r="AN56" s="1">
        <v>75343</v>
      </c>
      <c r="AO56" s="1">
        <v>11057</v>
      </c>
      <c r="AP56" s="1">
        <v>46839</v>
      </c>
      <c r="AQ56" s="1">
        <v>1.131743174433216</v>
      </c>
    </row>
    <row r="57" spans="1:43" x14ac:dyDescent="0.45">
      <c r="A57" s="1">
        <v>56</v>
      </c>
      <c r="B57" s="1">
        <v>142</v>
      </c>
      <c r="C57" s="1">
        <v>78</v>
      </c>
      <c r="D57" s="1" t="s">
        <v>67</v>
      </c>
      <c r="E57" s="1" t="s">
        <v>68</v>
      </c>
      <c r="F57" s="1" t="s">
        <v>69</v>
      </c>
      <c r="G57" s="1" t="s">
        <v>46</v>
      </c>
      <c r="H57" s="1" t="s">
        <v>47</v>
      </c>
      <c r="I57" s="1">
        <v>1163</v>
      </c>
      <c r="J57" s="1">
        <v>33073</v>
      </c>
      <c r="K57" s="1">
        <v>1</v>
      </c>
      <c r="L57" s="1">
        <v>77</v>
      </c>
      <c r="M57" s="1">
        <v>1384</v>
      </c>
      <c r="N57" s="1" t="s">
        <v>48</v>
      </c>
      <c r="O57" s="1">
        <v>194313</v>
      </c>
      <c r="P57" s="1">
        <v>89</v>
      </c>
      <c r="Q57" s="1" t="s">
        <v>96</v>
      </c>
      <c r="R57" s="1" t="s">
        <v>50</v>
      </c>
      <c r="S57" s="1">
        <v>0</v>
      </c>
      <c r="T57" s="1">
        <v>0</v>
      </c>
      <c r="U57" s="1">
        <v>403.28300000000002</v>
      </c>
      <c r="V57" s="1">
        <v>25.466999999999999</v>
      </c>
      <c r="W57" s="1">
        <v>0.55000000000000004</v>
      </c>
      <c r="X57" s="1">
        <v>0.318</v>
      </c>
      <c r="Y57" s="1">
        <v>25.786000000000001</v>
      </c>
      <c r="Z57" s="1">
        <v>6.8000000000000005E-2</v>
      </c>
      <c r="AA57" s="1">
        <v>-1.7</v>
      </c>
      <c r="AB57" s="1">
        <v>-1.7</v>
      </c>
      <c r="AC57" s="1">
        <v>-1.7</v>
      </c>
      <c r="AD57" s="1">
        <v>0.318</v>
      </c>
      <c r="AE57" s="1">
        <v>6.8000000000000005E-2</v>
      </c>
      <c r="AF57" s="1">
        <v>2.1999999999999999E-2</v>
      </c>
      <c r="AG57" s="1">
        <v>-1.7</v>
      </c>
      <c r="AI57" s="1">
        <v>0</v>
      </c>
      <c r="AJ57" s="1">
        <v>0</v>
      </c>
      <c r="AK57" s="1">
        <v>0</v>
      </c>
      <c r="AL57" s="1">
        <v>1</v>
      </c>
      <c r="AM57" s="1">
        <v>86400</v>
      </c>
      <c r="AN57" s="1">
        <v>77199</v>
      </c>
      <c r="AO57" s="1">
        <v>9200</v>
      </c>
      <c r="AP57" s="1">
        <v>43692</v>
      </c>
      <c r="AQ57" s="1">
        <v>27.22208285825711</v>
      </c>
    </row>
    <row r="58" spans="1:43" x14ac:dyDescent="0.45">
      <c r="A58" s="1">
        <v>57</v>
      </c>
      <c r="B58" s="1">
        <v>142</v>
      </c>
      <c r="C58" s="1">
        <v>78</v>
      </c>
      <c r="D58" s="1" t="s">
        <v>67</v>
      </c>
      <c r="E58" s="1" t="s">
        <v>68</v>
      </c>
      <c r="F58" s="1" t="s">
        <v>69</v>
      </c>
      <c r="G58" s="1" t="s">
        <v>46</v>
      </c>
      <c r="H58" s="1" t="s">
        <v>47</v>
      </c>
      <c r="I58" s="1">
        <v>1163</v>
      </c>
      <c r="J58" s="1">
        <v>33073</v>
      </c>
      <c r="K58" s="1">
        <v>1</v>
      </c>
      <c r="L58" s="1">
        <v>77</v>
      </c>
      <c r="M58" s="1">
        <v>1385</v>
      </c>
      <c r="N58" s="1" t="s">
        <v>48</v>
      </c>
      <c r="O58" s="1">
        <v>194321</v>
      </c>
      <c r="P58" s="1">
        <v>89</v>
      </c>
      <c r="Q58" s="1" t="s">
        <v>96</v>
      </c>
      <c r="R58" s="1" t="s">
        <v>50</v>
      </c>
      <c r="S58" s="1">
        <v>0</v>
      </c>
      <c r="T58" s="1">
        <v>0</v>
      </c>
      <c r="U58" s="1">
        <v>430.35700000000003</v>
      </c>
      <c r="V58" s="1">
        <v>25.529</v>
      </c>
      <c r="W58" s="1">
        <v>0.54</v>
      </c>
      <c r="X58" s="1">
        <v>0.22900000000000001</v>
      </c>
      <c r="Y58" s="1">
        <v>25.759</v>
      </c>
      <c r="Z58" s="1">
        <v>0.11</v>
      </c>
      <c r="AA58" s="1">
        <v>-0.9</v>
      </c>
      <c r="AB58" s="1">
        <v>-0.9</v>
      </c>
      <c r="AC58" s="1">
        <v>-0.9</v>
      </c>
      <c r="AD58" s="1">
        <v>0.22900000000000001</v>
      </c>
      <c r="AE58" s="1">
        <v>0.11</v>
      </c>
      <c r="AF58" s="1">
        <v>2.5000000000000001E-2</v>
      </c>
      <c r="AG58" s="1">
        <v>-0.9</v>
      </c>
      <c r="AI58" s="1">
        <v>0</v>
      </c>
      <c r="AJ58" s="1">
        <v>0</v>
      </c>
      <c r="AK58" s="1">
        <v>0</v>
      </c>
      <c r="AL58" s="1">
        <v>1</v>
      </c>
      <c r="AM58" s="1">
        <v>86400</v>
      </c>
      <c r="AN58" s="1">
        <v>73974</v>
      </c>
      <c r="AO58" s="1">
        <v>12426</v>
      </c>
      <c r="AP58" s="1">
        <v>47129</v>
      </c>
      <c r="AQ58" s="1">
        <v>0.81082726490215773</v>
      </c>
    </row>
    <row r="59" spans="1:43" x14ac:dyDescent="0.45">
      <c r="A59" s="1">
        <v>58</v>
      </c>
      <c r="B59" s="1">
        <v>142</v>
      </c>
      <c r="C59" s="1">
        <v>78</v>
      </c>
      <c r="D59" s="1" t="s">
        <v>67</v>
      </c>
      <c r="E59" s="1" t="s">
        <v>68</v>
      </c>
      <c r="F59" s="1" t="s">
        <v>69</v>
      </c>
      <c r="G59" s="1" t="s">
        <v>46</v>
      </c>
      <c r="H59" s="1" t="s">
        <v>47</v>
      </c>
      <c r="I59" s="1">
        <v>1163</v>
      </c>
      <c r="J59" s="1">
        <v>33073</v>
      </c>
      <c r="K59" s="1">
        <v>1</v>
      </c>
      <c r="L59" s="1">
        <v>77</v>
      </c>
      <c r="M59" s="1">
        <v>1386</v>
      </c>
      <c r="N59" s="1" t="s">
        <v>48</v>
      </c>
      <c r="O59" s="1">
        <v>194325</v>
      </c>
      <c r="P59" s="1">
        <v>89</v>
      </c>
      <c r="Q59" s="1" t="s">
        <v>96</v>
      </c>
      <c r="R59" s="1" t="s">
        <v>50</v>
      </c>
      <c r="S59" s="1">
        <v>0</v>
      </c>
      <c r="T59" s="1">
        <v>0</v>
      </c>
      <c r="U59" s="1">
        <v>137.80099999999999</v>
      </c>
      <c r="V59" s="1">
        <v>25.645</v>
      </c>
      <c r="W59" s="1">
        <v>0.52</v>
      </c>
      <c r="X59" s="1">
        <v>0.113</v>
      </c>
      <c r="Y59" s="1">
        <v>25.757000000000001</v>
      </c>
      <c r="Z59" s="1">
        <v>0.20300000000000001</v>
      </c>
      <c r="AA59" s="1">
        <v>-0.5</v>
      </c>
      <c r="AB59" s="1">
        <v>-0.5</v>
      </c>
      <c r="AC59" s="1">
        <v>-0.5</v>
      </c>
      <c r="AD59" s="1">
        <v>0.113</v>
      </c>
      <c r="AE59" s="1">
        <v>0.20100000000000001</v>
      </c>
      <c r="AF59" s="1">
        <v>2.3E-2</v>
      </c>
      <c r="AG59" s="1">
        <v>-0.5</v>
      </c>
      <c r="AI59" s="1">
        <v>0</v>
      </c>
      <c r="AJ59" s="1">
        <v>0</v>
      </c>
      <c r="AK59" s="1">
        <v>0</v>
      </c>
      <c r="AL59" s="1">
        <v>1</v>
      </c>
      <c r="AM59" s="1">
        <v>54718</v>
      </c>
      <c r="AN59" s="1">
        <v>14904</v>
      </c>
      <c r="AO59" s="1">
        <v>39813</v>
      </c>
      <c r="AP59" s="1">
        <v>46956</v>
      </c>
      <c r="AQ59" s="1">
        <v>0.71025518424474854</v>
      </c>
    </row>
    <row r="60" spans="1:43" x14ac:dyDescent="0.45">
      <c r="A60" s="1">
        <v>59</v>
      </c>
      <c r="B60" s="1">
        <v>142</v>
      </c>
      <c r="C60" s="1">
        <v>78</v>
      </c>
      <c r="D60" s="1" t="s">
        <v>67</v>
      </c>
      <c r="E60" s="1" t="s">
        <v>68</v>
      </c>
      <c r="F60" s="1" t="s">
        <v>69</v>
      </c>
      <c r="G60" s="1" t="s">
        <v>46</v>
      </c>
      <c r="H60" s="1" t="s">
        <v>47</v>
      </c>
      <c r="I60" s="1">
        <v>1163</v>
      </c>
      <c r="J60" s="1">
        <v>33073</v>
      </c>
      <c r="K60" s="1">
        <v>1</v>
      </c>
      <c r="L60" s="1">
        <v>77</v>
      </c>
      <c r="M60" s="1">
        <v>1387</v>
      </c>
      <c r="N60" s="1" t="s">
        <v>48</v>
      </c>
      <c r="O60" s="1">
        <v>194541</v>
      </c>
      <c r="P60" s="1">
        <v>89</v>
      </c>
      <c r="Q60" s="1" t="s">
        <v>96</v>
      </c>
      <c r="R60" s="1" t="s">
        <v>50</v>
      </c>
      <c r="S60" s="1">
        <v>0</v>
      </c>
      <c r="T60" s="1">
        <v>0</v>
      </c>
      <c r="U60" s="1">
        <v>444.91399999999999</v>
      </c>
      <c r="V60" s="1">
        <v>25.006</v>
      </c>
      <c r="W60" s="1">
        <v>0.53</v>
      </c>
      <c r="X60" s="1">
        <v>0.16400000000000001</v>
      </c>
      <c r="Y60" s="1">
        <v>25.169</v>
      </c>
      <c r="Z60" s="1">
        <v>0.10199999999999999</v>
      </c>
      <c r="AA60" s="1">
        <v>0.4</v>
      </c>
      <c r="AB60" s="1">
        <v>0.4</v>
      </c>
      <c r="AC60" s="1">
        <v>0.4</v>
      </c>
      <c r="AD60" s="1">
        <v>0.16400000000000001</v>
      </c>
      <c r="AE60" s="1">
        <v>0.10199999999999999</v>
      </c>
      <c r="AF60" s="1">
        <v>1.7000000000000001E-2</v>
      </c>
      <c r="AG60" s="1">
        <v>0.4</v>
      </c>
      <c r="AI60" s="1">
        <v>0</v>
      </c>
      <c r="AJ60" s="1">
        <v>0</v>
      </c>
      <c r="AK60" s="1">
        <v>0</v>
      </c>
      <c r="AL60" s="1">
        <v>1</v>
      </c>
      <c r="AM60" s="1">
        <v>86400</v>
      </c>
      <c r="AN60" s="1">
        <v>72457</v>
      </c>
      <c r="AO60" s="1">
        <v>13943</v>
      </c>
      <c r="AP60" s="1">
        <v>47080</v>
      </c>
      <c r="AQ60" s="1">
        <v>26.147441836754549</v>
      </c>
    </row>
    <row r="61" spans="1:43" x14ac:dyDescent="0.45">
      <c r="A61" s="1">
        <v>60</v>
      </c>
      <c r="B61" s="1">
        <v>142</v>
      </c>
      <c r="C61" s="1">
        <v>78</v>
      </c>
      <c r="D61" s="1" t="s">
        <v>67</v>
      </c>
      <c r="E61" s="1" t="s">
        <v>68</v>
      </c>
      <c r="F61" s="1" t="s">
        <v>69</v>
      </c>
      <c r="G61" s="1" t="s">
        <v>46</v>
      </c>
      <c r="H61" s="1" t="s">
        <v>47</v>
      </c>
      <c r="I61" s="1">
        <v>1163</v>
      </c>
      <c r="J61" s="1">
        <v>33073</v>
      </c>
      <c r="K61" s="1">
        <v>1</v>
      </c>
      <c r="L61" s="1">
        <v>77</v>
      </c>
      <c r="M61" s="1">
        <v>1388</v>
      </c>
      <c r="N61" s="1" t="s">
        <v>48</v>
      </c>
      <c r="O61" s="1">
        <v>194543</v>
      </c>
      <c r="P61" s="1">
        <v>89</v>
      </c>
      <c r="Q61" s="1" t="s">
        <v>96</v>
      </c>
      <c r="R61" s="1" t="s">
        <v>50</v>
      </c>
      <c r="S61" s="1">
        <v>0</v>
      </c>
      <c r="T61" s="1">
        <v>0</v>
      </c>
      <c r="U61" s="1">
        <v>99.31</v>
      </c>
      <c r="V61" s="1">
        <v>24.934000000000001</v>
      </c>
      <c r="W61" s="1">
        <v>0.54</v>
      </c>
      <c r="X61" s="1">
        <v>0.23699999999999999</v>
      </c>
      <c r="Y61" s="1">
        <v>25.170999999999999</v>
      </c>
      <c r="Z61" s="1">
        <v>8.1000000000000003E-2</v>
      </c>
      <c r="AA61" s="1">
        <v>0.5</v>
      </c>
      <c r="AB61" s="1">
        <v>0.5</v>
      </c>
      <c r="AC61" s="1">
        <v>0.5</v>
      </c>
      <c r="AD61" s="1">
        <v>0.23699999999999999</v>
      </c>
      <c r="AE61" s="1">
        <v>8.1000000000000003E-2</v>
      </c>
      <c r="AF61" s="1">
        <v>1.9E-2</v>
      </c>
      <c r="AG61" s="1">
        <v>0.5</v>
      </c>
      <c r="AI61" s="1">
        <v>0</v>
      </c>
      <c r="AJ61" s="1">
        <v>0</v>
      </c>
      <c r="AK61" s="1">
        <v>0</v>
      </c>
      <c r="AL61" s="1">
        <v>1</v>
      </c>
      <c r="AM61" s="1">
        <v>86400</v>
      </c>
      <c r="AN61" s="1">
        <v>76408</v>
      </c>
      <c r="AO61" s="1">
        <v>9992</v>
      </c>
      <c r="AP61" s="1">
        <v>46949</v>
      </c>
      <c r="AQ61" s="1">
        <v>9.402992152571759</v>
      </c>
    </row>
    <row r="62" spans="1:43" x14ac:dyDescent="0.45">
      <c r="A62" s="1">
        <v>61</v>
      </c>
      <c r="B62" s="1">
        <v>142</v>
      </c>
      <c r="C62" s="1">
        <v>78</v>
      </c>
      <c r="D62" s="1" t="s">
        <v>67</v>
      </c>
      <c r="E62" s="1" t="s">
        <v>68</v>
      </c>
      <c r="F62" s="1" t="s">
        <v>69</v>
      </c>
      <c r="G62" s="1" t="s">
        <v>46</v>
      </c>
      <c r="H62" s="1" t="s">
        <v>47</v>
      </c>
      <c r="I62" s="1">
        <v>1163</v>
      </c>
      <c r="J62" s="1">
        <v>33073</v>
      </c>
      <c r="K62" s="1">
        <v>1</v>
      </c>
      <c r="L62" s="1">
        <v>77</v>
      </c>
      <c r="M62" s="1">
        <v>1389</v>
      </c>
      <c r="N62" s="1" t="s">
        <v>48</v>
      </c>
      <c r="O62" s="1">
        <v>194544</v>
      </c>
      <c r="P62" s="1">
        <v>89</v>
      </c>
      <c r="Q62" s="1" t="s">
        <v>96</v>
      </c>
      <c r="R62" s="1" t="s">
        <v>50</v>
      </c>
      <c r="S62" s="1">
        <v>0</v>
      </c>
      <c r="T62" s="1">
        <v>0</v>
      </c>
      <c r="U62" s="1">
        <v>98.995000000000005</v>
      </c>
      <c r="V62" s="1">
        <v>24.971</v>
      </c>
      <c r="W62" s="1">
        <v>0.53</v>
      </c>
      <c r="X62" s="1">
        <v>0.2</v>
      </c>
      <c r="Y62" s="1">
        <v>25.170999999999999</v>
      </c>
      <c r="Z62" s="1">
        <v>7.5999999999999998E-2</v>
      </c>
      <c r="AA62" s="1">
        <v>0.2</v>
      </c>
      <c r="AB62" s="1">
        <v>0.2</v>
      </c>
      <c r="AC62" s="1">
        <v>0.2</v>
      </c>
      <c r="AD62" s="1">
        <v>0.2</v>
      </c>
      <c r="AE62" s="1">
        <v>7.5999999999999998E-2</v>
      </c>
      <c r="AF62" s="1">
        <v>1.4999999999999999E-2</v>
      </c>
      <c r="AG62" s="1">
        <v>0.2</v>
      </c>
      <c r="AI62" s="1">
        <v>0</v>
      </c>
      <c r="AJ62" s="1">
        <v>0</v>
      </c>
      <c r="AK62" s="1">
        <v>0</v>
      </c>
      <c r="AL62" s="1">
        <v>1</v>
      </c>
      <c r="AM62" s="1">
        <v>86400</v>
      </c>
      <c r="AN62" s="1">
        <v>74871</v>
      </c>
      <c r="AO62" s="1">
        <v>11529</v>
      </c>
      <c r="AP62" s="1">
        <v>47039</v>
      </c>
      <c r="AQ62" s="1">
        <v>17.426884546178929</v>
      </c>
    </row>
    <row r="63" spans="1:43" x14ac:dyDescent="0.45">
      <c r="A63" s="1">
        <v>62</v>
      </c>
      <c r="B63" s="1">
        <v>142</v>
      </c>
      <c r="C63" s="1">
        <v>78</v>
      </c>
      <c r="D63" s="1" t="s">
        <v>67</v>
      </c>
      <c r="E63" s="1" t="s">
        <v>68</v>
      </c>
      <c r="F63" s="1" t="s">
        <v>69</v>
      </c>
      <c r="G63" s="1" t="s">
        <v>46</v>
      </c>
      <c r="H63" s="1" t="s">
        <v>47</v>
      </c>
      <c r="I63" s="1">
        <v>1163</v>
      </c>
      <c r="J63" s="1">
        <v>33073</v>
      </c>
      <c r="K63" s="1">
        <v>1</v>
      </c>
      <c r="L63" s="1">
        <v>77</v>
      </c>
      <c r="M63" s="1">
        <v>1390</v>
      </c>
      <c r="N63" s="1" t="s">
        <v>48</v>
      </c>
      <c r="O63" s="1">
        <v>194545</v>
      </c>
      <c r="P63" s="1">
        <v>89</v>
      </c>
      <c r="Q63" s="1" t="s">
        <v>96</v>
      </c>
      <c r="R63" s="1" t="s">
        <v>50</v>
      </c>
      <c r="S63" s="1">
        <v>0</v>
      </c>
      <c r="T63" s="1">
        <v>0</v>
      </c>
      <c r="U63" s="1">
        <v>108.714</v>
      </c>
      <c r="V63" s="1">
        <v>24.908000000000001</v>
      </c>
      <c r="W63" s="1">
        <v>0.54</v>
      </c>
      <c r="X63" s="1">
        <v>0.26200000000000001</v>
      </c>
      <c r="Y63" s="1">
        <v>25.170999999999999</v>
      </c>
      <c r="Z63" s="1">
        <v>4.8000000000000001E-2</v>
      </c>
      <c r="AA63" s="1">
        <v>1</v>
      </c>
      <c r="AB63" s="1">
        <v>1</v>
      </c>
      <c r="AC63" s="1">
        <v>1</v>
      </c>
      <c r="AD63" s="1">
        <v>0.26200000000000001</v>
      </c>
      <c r="AE63" s="1">
        <v>4.8000000000000001E-2</v>
      </c>
      <c r="AF63" s="1">
        <v>1.2999999999999999E-2</v>
      </c>
      <c r="AG63" s="1">
        <v>1</v>
      </c>
      <c r="AI63" s="1">
        <v>0</v>
      </c>
      <c r="AJ63" s="1">
        <v>0</v>
      </c>
      <c r="AK63" s="1">
        <v>0</v>
      </c>
      <c r="AL63" s="1">
        <v>1</v>
      </c>
      <c r="AM63" s="1">
        <v>86400</v>
      </c>
      <c r="AN63" s="1">
        <v>77400</v>
      </c>
      <c r="AO63" s="1">
        <v>9000</v>
      </c>
      <c r="AP63" s="1">
        <v>47007</v>
      </c>
      <c r="AQ63" s="1">
        <v>1.659668804184055</v>
      </c>
    </row>
    <row r="64" spans="1:43" x14ac:dyDescent="0.45">
      <c r="A64" s="1">
        <v>63</v>
      </c>
      <c r="B64" s="1">
        <v>142</v>
      </c>
      <c r="C64" s="1">
        <v>78</v>
      </c>
      <c r="D64" s="1" t="s">
        <v>67</v>
      </c>
      <c r="E64" s="1" t="s">
        <v>68</v>
      </c>
      <c r="F64" s="1" t="s">
        <v>69</v>
      </c>
      <c r="G64" s="1" t="s">
        <v>46</v>
      </c>
      <c r="H64" s="1" t="s">
        <v>47</v>
      </c>
      <c r="I64" s="1">
        <v>1163</v>
      </c>
      <c r="J64" s="1">
        <v>33073</v>
      </c>
      <c r="K64" s="1">
        <v>1</v>
      </c>
      <c r="L64" s="1">
        <v>77</v>
      </c>
      <c r="M64" s="1">
        <v>1391</v>
      </c>
      <c r="N64" s="1" t="s">
        <v>48</v>
      </c>
      <c r="O64" s="1">
        <v>194546</v>
      </c>
      <c r="P64" s="1">
        <v>89</v>
      </c>
      <c r="Q64" s="1" t="s">
        <v>96</v>
      </c>
      <c r="R64" s="1" t="s">
        <v>50</v>
      </c>
      <c r="S64" s="1">
        <v>0</v>
      </c>
      <c r="T64" s="1">
        <v>0</v>
      </c>
      <c r="U64" s="1">
        <v>327.06</v>
      </c>
      <c r="V64" s="1">
        <v>24.867999999999999</v>
      </c>
      <c r="W64" s="1">
        <v>0.55000000000000004</v>
      </c>
      <c r="X64" s="1">
        <v>0.30399999999999999</v>
      </c>
      <c r="Y64" s="1">
        <v>25.170999999999999</v>
      </c>
      <c r="Z64" s="1">
        <v>8.3000000000000004E-2</v>
      </c>
      <c r="AA64" s="1">
        <v>0.2</v>
      </c>
      <c r="AB64" s="1">
        <v>0.2</v>
      </c>
      <c r="AC64" s="1">
        <v>0.2</v>
      </c>
      <c r="AD64" s="1">
        <v>0.30399999999999999</v>
      </c>
      <c r="AE64" s="1">
        <v>8.3000000000000004E-2</v>
      </c>
      <c r="AF64" s="1">
        <v>2.5000000000000001E-2</v>
      </c>
      <c r="AG64" s="1">
        <v>0.2</v>
      </c>
      <c r="AI64" s="1">
        <v>0</v>
      </c>
      <c r="AJ64" s="1">
        <v>0</v>
      </c>
      <c r="AK64" s="1">
        <v>0</v>
      </c>
      <c r="AL64" s="1">
        <v>1</v>
      </c>
      <c r="AM64" s="1">
        <v>86400</v>
      </c>
      <c r="AN64" s="1">
        <v>79139</v>
      </c>
      <c r="AO64" s="1">
        <v>7261</v>
      </c>
      <c r="AP64" s="1">
        <v>48528</v>
      </c>
      <c r="AQ64" s="1">
        <v>0.62107041281627839</v>
      </c>
    </row>
    <row r="65" spans="1:43" x14ac:dyDescent="0.45">
      <c r="A65" s="1">
        <v>64</v>
      </c>
      <c r="B65" s="1">
        <v>142</v>
      </c>
      <c r="C65" s="1">
        <v>78</v>
      </c>
      <c r="D65" s="1" t="s">
        <v>67</v>
      </c>
      <c r="E65" s="1" t="s">
        <v>68</v>
      </c>
      <c r="F65" s="1" t="s">
        <v>69</v>
      </c>
      <c r="G65" s="1" t="s">
        <v>46</v>
      </c>
      <c r="H65" s="1" t="s">
        <v>47</v>
      </c>
      <c r="I65" s="1">
        <v>1163</v>
      </c>
      <c r="J65" s="1">
        <v>33073</v>
      </c>
      <c r="K65" s="1">
        <v>1</v>
      </c>
      <c r="L65" s="1">
        <v>77</v>
      </c>
      <c r="M65" s="1">
        <v>1392</v>
      </c>
      <c r="N65" s="1" t="s">
        <v>48</v>
      </c>
      <c r="O65" s="1">
        <v>194548</v>
      </c>
      <c r="P65" s="1">
        <v>89</v>
      </c>
      <c r="Q65" s="1" t="s">
        <v>96</v>
      </c>
      <c r="R65" s="1" t="s">
        <v>50</v>
      </c>
      <c r="S65" s="1">
        <v>0</v>
      </c>
      <c r="T65" s="1">
        <v>0</v>
      </c>
      <c r="U65" s="1">
        <v>95.963999999999999</v>
      </c>
      <c r="V65" s="1">
        <v>25.006</v>
      </c>
      <c r="W65" s="1">
        <v>0.53</v>
      </c>
      <c r="X65" s="1">
        <v>0.16500000000000001</v>
      </c>
      <c r="Y65" s="1">
        <v>25.170999999999999</v>
      </c>
      <c r="Z65" s="1">
        <v>7.2999999999999995E-2</v>
      </c>
      <c r="AA65" s="1">
        <v>1.8</v>
      </c>
      <c r="AB65" s="1">
        <v>1.8</v>
      </c>
      <c r="AC65" s="1">
        <v>1.8</v>
      </c>
      <c r="AD65" s="1">
        <v>0.16500000000000001</v>
      </c>
      <c r="AE65" s="1">
        <v>7.2999999999999995E-2</v>
      </c>
      <c r="AF65" s="1">
        <v>1.2E-2</v>
      </c>
      <c r="AG65" s="1">
        <v>1.8</v>
      </c>
      <c r="AI65" s="1">
        <v>0</v>
      </c>
      <c r="AJ65" s="1">
        <v>0</v>
      </c>
      <c r="AK65" s="1">
        <v>0</v>
      </c>
      <c r="AL65" s="1">
        <v>1</v>
      </c>
      <c r="AM65" s="1">
        <v>86400</v>
      </c>
      <c r="AN65" s="1">
        <v>72424</v>
      </c>
      <c r="AO65" s="1">
        <v>13976</v>
      </c>
      <c r="AP65" s="1">
        <v>46875</v>
      </c>
      <c r="AQ65" s="1">
        <v>21.030445631260442</v>
      </c>
    </row>
    <row r="66" spans="1:43" x14ac:dyDescent="0.45">
      <c r="A66" s="1">
        <v>65</v>
      </c>
      <c r="B66" s="1">
        <v>142</v>
      </c>
      <c r="C66" s="1">
        <v>78</v>
      </c>
      <c r="D66" s="1" t="s">
        <v>67</v>
      </c>
      <c r="E66" s="1" t="s">
        <v>68</v>
      </c>
      <c r="F66" s="1" t="s">
        <v>69</v>
      </c>
      <c r="G66" s="1" t="s">
        <v>46</v>
      </c>
      <c r="H66" s="1" t="s">
        <v>47</v>
      </c>
      <c r="I66" s="1">
        <v>1163</v>
      </c>
      <c r="J66" s="1">
        <v>33073</v>
      </c>
      <c r="K66" s="1">
        <v>1</v>
      </c>
      <c r="L66" s="1">
        <v>77</v>
      </c>
      <c r="M66" s="1">
        <v>1393</v>
      </c>
      <c r="N66" s="1" t="s">
        <v>48</v>
      </c>
      <c r="O66" s="1">
        <v>194549</v>
      </c>
      <c r="P66" s="1">
        <v>89</v>
      </c>
      <c r="Q66" s="1" t="s">
        <v>96</v>
      </c>
      <c r="R66" s="1" t="s">
        <v>50</v>
      </c>
      <c r="S66" s="1">
        <v>0</v>
      </c>
      <c r="T66" s="1">
        <v>0</v>
      </c>
      <c r="U66" s="1">
        <v>199.88499999999999</v>
      </c>
      <c r="V66" s="1">
        <v>24.984000000000002</v>
      </c>
      <c r="W66" s="1">
        <v>0.53</v>
      </c>
      <c r="X66" s="1">
        <v>0.186</v>
      </c>
      <c r="Y66" s="1">
        <v>25.17</v>
      </c>
      <c r="Z66" s="1">
        <v>0.10299999999999999</v>
      </c>
      <c r="AA66" s="1">
        <v>1.9</v>
      </c>
      <c r="AB66" s="1">
        <v>1.9</v>
      </c>
      <c r="AC66" s="1">
        <v>1.9</v>
      </c>
      <c r="AD66" s="1">
        <v>0.186</v>
      </c>
      <c r="AE66" s="1">
        <v>0.10299999999999999</v>
      </c>
      <c r="AF66" s="1">
        <v>1.9E-2</v>
      </c>
      <c r="AG66" s="1">
        <v>1.9</v>
      </c>
      <c r="AI66" s="1">
        <v>0</v>
      </c>
      <c r="AJ66" s="1">
        <v>0</v>
      </c>
      <c r="AK66" s="1">
        <v>0</v>
      </c>
      <c r="AL66" s="1">
        <v>1</v>
      </c>
      <c r="AM66" s="1">
        <v>86400</v>
      </c>
      <c r="AN66" s="1">
        <v>74079</v>
      </c>
      <c r="AO66" s="1">
        <v>12321</v>
      </c>
      <c r="AP66" s="1">
        <v>47237</v>
      </c>
      <c r="AQ66" s="1">
        <v>1.6542382139206111</v>
      </c>
    </row>
    <row r="67" spans="1:43" x14ac:dyDescent="0.45">
      <c r="A67" s="1">
        <v>66</v>
      </c>
      <c r="B67" s="1">
        <v>142</v>
      </c>
      <c r="C67" s="1">
        <v>78</v>
      </c>
      <c r="D67" s="1" t="s">
        <v>67</v>
      </c>
      <c r="E67" s="1" t="s">
        <v>68</v>
      </c>
      <c r="F67" s="1" t="s">
        <v>69</v>
      </c>
      <c r="G67" s="1" t="s">
        <v>46</v>
      </c>
      <c r="H67" s="1" t="s">
        <v>47</v>
      </c>
      <c r="I67" s="1">
        <v>1163</v>
      </c>
      <c r="J67" s="1">
        <v>33073</v>
      </c>
      <c r="K67" s="1">
        <v>1</v>
      </c>
      <c r="L67" s="1">
        <v>77</v>
      </c>
      <c r="M67" s="1">
        <v>1395</v>
      </c>
      <c r="N67" s="1" t="s">
        <v>48</v>
      </c>
      <c r="O67" s="1">
        <v>194554</v>
      </c>
      <c r="P67" s="1">
        <v>89</v>
      </c>
      <c r="Q67" s="1" t="s">
        <v>96</v>
      </c>
      <c r="R67" s="1" t="s">
        <v>50</v>
      </c>
      <c r="S67" s="1">
        <v>0</v>
      </c>
      <c r="T67" s="1">
        <v>0</v>
      </c>
      <c r="U67" s="1">
        <v>58.304000000000002</v>
      </c>
      <c r="V67" s="1">
        <v>25.05</v>
      </c>
      <c r="W67" s="1">
        <v>0.52</v>
      </c>
      <c r="X67" s="1">
        <v>0.12</v>
      </c>
      <c r="Y67" s="1">
        <v>25.170999999999999</v>
      </c>
      <c r="Z67" s="1">
        <v>7.3999999999999996E-2</v>
      </c>
      <c r="AA67" s="1">
        <v>0.7</v>
      </c>
      <c r="AB67" s="1">
        <v>0.6</v>
      </c>
      <c r="AC67" s="1">
        <v>0.6</v>
      </c>
      <c r="AD67" s="1">
        <v>0.12</v>
      </c>
      <c r="AE67" s="1">
        <v>7.3999999999999996E-2</v>
      </c>
      <c r="AF67" s="1">
        <v>8.9999999999999993E-3</v>
      </c>
      <c r="AG67" s="1">
        <v>0.7</v>
      </c>
      <c r="AI67" s="1">
        <v>0</v>
      </c>
      <c r="AJ67" s="1">
        <v>0</v>
      </c>
      <c r="AK67" s="1">
        <v>0</v>
      </c>
      <c r="AL67" s="1">
        <v>1</v>
      </c>
      <c r="AM67" s="1">
        <v>86400</v>
      </c>
      <c r="AN67" s="1">
        <v>68049</v>
      </c>
      <c r="AO67" s="1">
        <v>18351</v>
      </c>
      <c r="AP67" s="1">
        <v>47246</v>
      </c>
      <c r="AQ67" s="1">
        <v>17.99697230014019</v>
      </c>
    </row>
    <row r="68" spans="1:43" x14ac:dyDescent="0.45">
      <c r="A68" s="1">
        <v>67</v>
      </c>
      <c r="B68" s="1">
        <v>181</v>
      </c>
      <c r="C68" s="1">
        <v>75</v>
      </c>
      <c r="D68" s="1" t="s">
        <v>64</v>
      </c>
      <c r="E68" s="1" t="s">
        <v>65</v>
      </c>
      <c r="F68" s="1" t="s">
        <v>66</v>
      </c>
      <c r="G68" s="1" t="s">
        <v>46</v>
      </c>
      <c r="H68" s="1" t="s">
        <v>47</v>
      </c>
      <c r="I68" s="1">
        <v>1170</v>
      </c>
      <c r="J68" s="1">
        <v>33499</v>
      </c>
      <c r="K68" s="1">
        <v>1</v>
      </c>
      <c r="L68" s="1">
        <v>74</v>
      </c>
      <c r="M68" s="1">
        <v>1294</v>
      </c>
      <c r="N68" s="1" t="s">
        <v>48</v>
      </c>
      <c r="O68" s="1">
        <v>193959</v>
      </c>
      <c r="P68" s="1">
        <v>89</v>
      </c>
      <c r="Q68" s="1" t="s">
        <v>96</v>
      </c>
      <c r="R68" s="1" t="s">
        <v>50</v>
      </c>
      <c r="S68" s="1">
        <v>0</v>
      </c>
      <c r="T68" s="1">
        <v>0</v>
      </c>
      <c r="U68" s="1">
        <v>510.173</v>
      </c>
      <c r="V68" s="1">
        <v>24.927</v>
      </c>
      <c r="W68" s="1">
        <v>0.53</v>
      </c>
      <c r="X68" s="1">
        <v>0.19</v>
      </c>
      <c r="Y68" s="1">
        <v>25.116</v>
      </c>
      <c r="Z68" s="1">
        <v>0.185</v>
      </c>
      <c r="AA68" s="1">
        <v>-2.6</v>
      </c>
      <c r="AB68" s="1">
        <v>-2.6</v>
      </c>
      <c r="AC68" s="1">
        <v>-2.6</v>
      </c>
      <c r="AD68" s="1">
        <v>0.19</v>
      </c>
      <c r="AE68" s="1">
        <v>0.185</v>
      </c>
      <c r="AF68" s="1">
        <v>3.5000000000000003E-2</v>
      </c>
      <c r="AG68" s="1">
        <v>-2.6</v>
      </c>
      <c r="AI68" s="1">
        <v>0</v>
      </c>
      <c r="AJ68" s="1">
        <v>0</v>
      </c>
      <c r="AK68" s="1">
        <v>0</v>
      </c>
      <c r="AL68" s="1">
        <v>1</v>
      </c>
      <c r="AM68" s="1">
        <v>86400</v>
      </c>
      <c r="AN68" s="1">
        <v>76973</v>
      </c>
      <c r="AO68" s="1">
        <v>9427</v>
      </c>
      <c r="AP68" s="1">
        <v>47331</v>
      </c>
      <c r="AQ68" s="1">
        <v>39.084261990656927</v>
      </c>
    </row>
    <row r="69" spans="1:43" x14ac:dyDescent="0.45">
      <c r="A69" s="1">
        <v>68</v>
      </c>
      <c r="B69" s="1">
        <v>181</v>
      </c>
      <c r="C69" s="1">
        <v>75</v>
      </c>
      <c r="D69" s="1" t="s">
        <v>64</v>
      </c>
      <c r="E69" s="1" t="s">
        <v>65</v>
      </c>
      <c r="F69" s="1" t="s">
        <v>66</v>
      </c>
      <c r="G69" s="1" t="s">
        <v>46</v>
      </c>
      <c r="H69" s="1" t="s">
        <v>47</v>
      </c>
      <c r="I69" s="1">
        <v>1170</v>
      </c>
      <c r="J69" s="1">
        <v>33499</v>
      </c>
      <c r="K69" s="1">
        <v>1</v>
      </c>
      <c r="L69" s="1">
        <v>74</v>
      </c>
      <c r="M69" s="1">
        <v>1295</v>
      </c>
      <c r="N69" s="1" t="s">
        <v>48</v>
      </c>
      <c r="O69" s="1">
        <v>193961</v>
      </c>
      <c r="P69" s="1">
        <v>89</v>
      </c>
      <c r="Q69" s="1" t="s">
        <v>96</v>
      </c>
      <c r="R69" s="1" t="s">
        <v>50</v>
      </c>
      <c r="S69" s="1">
        <v>0</v>
      </c>
      <c r="T69" s="1">
        <v>0</v>
      </c>
      <c r="U69" s="1">
        <v>510.173</v>
      </c>
      <c r="V69" s="1">
        <v>24.913</v>
      </c>
      <c r="W69" s="1">
        <v>0.53</v>
      </c>
      <c r="X69" s="1">
        <v>0.20300000000000001</v>
      </c>
      <c r="Y69" s="1">
        <v>25.116</v>
      </c>
      <c r="Z69" s="1">
        <v>0.192</v>
      </c>
      <c r="AA69" s="1">
        <v>2.2000000000000002</v>
      </c>
      <c r="AB69" s="1">
        <v>2.2000000000000002</v>
      </c>
      <c r="AC69" s="1">
        <v>2.2000000000000002</v>
      </c>
      <c r="AD69" s="1">
        <v>0.20300000000000001</v>
      </c>
      <c r="AE69" s="1">
        <v>0.191</v>
      </c>
      <c r="AF69" s="1">
        <v>3.9E-2</v>
      </c>
      <c r="AG69" s="1">
        <v>2.2000000000000002</v>
      </c>
      <c r="AI69" s="1">
        <v>0</v>
      </c>
      <c r="AJ69" s="1">
        <v>0</v>
      </c>
      <c r="AK69" s="1">
        <v>0</v>
      </c>
      <c r="AL69" s="1">
        <v>1</v>
      </c>
      <c r="AM69" s="1">
        <v>86400</v>
      </c>
      <c r="AN69" s="1">
        <v>78018</v>
      </c>
      <c r="AO69" s="1">
        <v>8382</v>
      </c>
      <c r="AP69" s="1">
        <v>47208</v>
      </c>
      <c r="AQ69" s="1">
        <v>47.839602141328243</v>
      </c>
    </row>
    <row r="70" spans="1:43" x14ac:dyDescent="0.45">
      <c r="A70" s="1">
        <v>69</v>
      </c>
      <c r="B70" s="1">
        <v>181</v>
      </c>
      <c r="C70" s="1">
        <v>75</v>
      </c>
      <c r="D70" s="1" t="s">
        <v>64</v>
      </c>
      <c r="E70" s="1" t="s">
        <v>65</v>
      </c>
      <c r="F70" s="1" t="s">
        <v>66</v>
      </c>
      <c r="G70" s="1" t="s">
        <v>46</v>
      </c>
      <c r="H70" s="1" t="s">
        <v>47</v>
      </c>
      <c r="I70" s="1">
        <v>1170</v>
      </c>
      <c r="J70" s="1">
        <v>33499</v>
      </c>
      <c r="K70" s="1">
        <v>1</v>
      </c>
      <c r="L70" s="1">
        <v>74</v>
      </c>
      <c r="M70" s="1">
        <v>1296</v>
      </c>
      <c r="N70" s="1" t="s">
        <v>48</v>
      </c>
      <c r="O70" s="1">
        <v>194014</v>
      </c>
      <c r="P70" s="1">
        <v>89</v>
      </c>
      <c r="Q70" s="1" t="s">
        <v>96</v>
      </c>
      <c r="R70" s="1" t="s">
        <v>50</v>
      </c>
      <c r="S70" s="1">
        <v>0</v>
      </c>
      <c r="T70" s="1">
        <v>0</v>
      </c>
      <c r="U70" s="1">
        <v>551.16899999999998</v>
      </c>
      <c r="V70" s="1">
        <v>24.986999999999998</v>
      </c>
      <c r="W70" s="1">
        <v>0.53</v>
      </c>
      <c r="X70" s="1">
        <v>0.20599999999999999</v>
      </c>
      <c r="Y70" s="1">
        <v>25.193000000000001</v>
      </c>
      <c r="Z70" s="1">
        <v>9.5000000000000001E-2</v>
      </c>
      <c r="AA70" s="1">
        <v>2.2000000000000002</v>
      </c>
      <c r="AB70" s="1">
        <v>2.2000000000000002</v>
      </c>
      <c r="AC70" s="1">
        <v>2.2000000000000002</v>
      </c>
      <c r="AD70" s="1">
        <v>0.20599999999999999</v>
      </c>
      <c r="AE70" s="1">
        <v>9.5000000000000001E-2</v>
      </c>
      <c r="AF70" s="1">
        <v>0.02</v>
      </c>
      <c r="AG70" s="1">
        <v>2.2000000000000002</v>
      </c>
      <c r="AI70" s="1">
        <v>0</v>
      </c>
      <c r="AJ70" s="1">
        <v>0</v>
      </c>
      <c r="AK70" s="1">
        <v>0</v>
      </c>
      <c r="AL70" s="1">
        <v>1</v>
      </c>
      <c r="AM70" s="1">
        <v>86400</v>
      </c>
      <c r="AN70" s="1">
        <v>77294</v>
      </c>
      <c r="AO70" s="1">
        <v>9106</v>
      </c>
      <c r="AP70" s="1">
        <v>46812</v>
      </c>
      <c r="AQ70" s="1">
        <v>1.590368793303959</v>
      </c>
    </row>
    <row r="71" spans="1:43" x14ac:dyDescent="0.45">
      <c r="A71" s="1">
        <v>70</v>
      </c>
      <c r="B71" s="1">
        <v>181</v>
      </c>
      <c r="C71" s="1">
        <v>75</v>
      </c>
      <c r="D71" s="1" t="s">
        <v>64</v>
      </c>
      <c r="E71" s="1" t="s">
        <v>65</v>
      </c>
      <c r="F71" s="1" t="s">
        <v>66</v>
      </c>
      <c r="G71" s="1" t="s">
        <v>46</v>
      </c>
      <c r="H71" s="1" t="s">
        <v>47</v>
      </c>
      <c r="I71" s="1">
        <v>1170</v>
      </c>
      <c r="J71" s="1">
        <v>33499</v>
      </c>
      <c r="K71" s="1">
        <v>1</v>
      </c>
      <c r="L71" s="1">
        <v>74</v>
      </c>
      <c r="M71" s="1">
        <v>1297</v>
      </c>
      <c r="N71" s="1" t="s">
        <v>48</v>
      </c>
      <c r="O71" s="1">
        <v>194021</v>
      </c>
      <c r="P71" s="1">
        <v>89</v>
      </c>
      <c r="Q71" s="1" t="s">
        <v>96</v>
      </c>
      <c r="R71" s="1" t="s">
        <v>50</v>
      </c>
      <c r="S71" s="1">
        <v>0</v>
      </c>
      <c r="T71" s="1">
        <v>0</v>
      </c>
      <c r="U71" s="1">
        <v>595.303</v>
      </c>
      <c r="V71" s="1">
        <v>24.879000000000001</v>
      </c>
      <c r="W71" s="1">
        <v>0.54</v>
      </c>
      <c r="X71" s="1">
        <v>0.23799999999999999</v>
      </c>
      <c r="Y71" s="1">
        <v>25.116</v>
      </c>
      <c r="Z71" s="1">
        <v>0.29399999999999998</v>
      </c>
      <c r="AA71" s="1">
        <v>2.2999999999999998</v>
      </c>
      <c r="AB71" s="1">
        <v>2.2999999999999998</v>
      </c>
      <c r="AC71" s="1">
        <v>2.2999999999999998</v>
      </c>
      <c r="AD71" s="1">
        <v>0.23799999999999999</v>
      </c>
      <c r="AE71" s="1">
        <v>0.29299999999999998</v>
      </c>
      <c r="AF71" s="1">
        <v>7.0000000000000007E-2</v>
      </c>
      <c r="AG71" s="1">
        <v>2.2999999999999998</v>
      </c>
      <c r="AI71" s="1">
        <v>0</v>
      </c>
      <c r="AJ71" s="1">
        <v>0</v>
      </c>
      <c r="AK71" s="1">
        <v>0</v>
      </c>
      <c r="AL71" s="1">
        <v>1</v>
      </c>
      <c r="AM71" s="1">
        <v>86400</v>
      </c>
      <c r="AN71" s="1">
        <v>80146</v>
      </c>
      <c r="AO71" s="1">
        <v>6254</v>
      </c>
      <c r="AP71" s="1">
        <v>46964</v>
      </c>
      <c r="AQ71" s="1">
        <v>2.7063584476982121</v>
      </c>
    </row>
    <row r="72" spans="1:43" x14ac:dyDescent="0.45">
      <c r="A72" s="1">
        <v>71</v>
      </c>
      <c r="B72" s="1">
        <v>181</v>
      </c>
      <c r="C72" s="1">
        <v>75</v>
      </c>
      <c r="D72" s="1" t="s">
        <v>64</v>
      </c>
      <c r="E72" s="1" t="s">
        <v>65</v>
      </c>
      <c r="F72" s="1" t="s">
        <v>66</v>
      </c>
      <c r="G72" s="1" t="s">
        <v>46</v>
      </c>
      <c r="H72" s="1" t="s">
        <v>47</v>
      </c>
      <c r="I72" s="1">
        <v>1170</v>
      </c>
      <c r="J72" s="1">
        <v>33499</v>
      </c>
      <c r="K72" s="1">
        <v>1</v>
      </c>
      <c r="L72" s="1">
        <v>74</v>
      </c>
      <c r="M72" s="1">
        <v>1298</v>
      </c>
      <c r="N72" s="1" t="s">
        <v>48</v>
      </c>
      <c r="O72" s="1">
        <v>194022</v>
      </c>
      <c r="P72" s="1">
        <v>89</v>
      </c>
      <c r="Q72" s="1" t="s">
        <v>96</v>
      </c>
      <c r="R72" s="1" t="s">
        <v>50</v>
      </c>
      <c r="S72" s="1">
        <v>0</v>
      </c>
      <c r="T72" s="1">
        <v>0</v>
      </c>
      <c r="U72" s="1">
        <v>889.76199999999994</v>
      </c>
      <c r="V72" s="1">
        <v>24.957000000000001</v>
      </c>
      <c r="W72" s="1">
        <v>0.53</v>
      </c>
      <c r="X72" s="1">
        <v>0.157</v>
      </c>
      <c r="Y72" s="1">
        <v>25.114000000000001</v>
      </c>
      <c r="Z72" s="1">
        <v>0.19900000000000001</v>
      </c>
      <c r="AA72" s="1">
        <v>-2.6</v>
      </c>
      <c r="AB72" s="1">
        <v>-2.6</v>
      </c>
      <c r="AC72" s="1">
        <v>-2.6</v>
      </c>
      <c r="AD72" s="1">
        <v>0.157</v>
      </c>
      <c r="AE72" s="1">
        <v>0.19800000000000001</v>
      </c>
      <c r="AF72" s="1">
        <v>3.1E-2</v>
      </c>
      <c r="AG72" s="1">
        <v>-2.6</v>
      </c>
      <c r="AI72" s="1">
        <v>0</v>
      </c>
      <c r="AJ72" s="1">
        <v>0</v>
      </c>
      <c r="AK72" s="1">
        <v>0</v>
      </c>
      <c r="AL72" s="1">
        <v>1</v>
      </c>
      <c r="AM72" s="1">
        <v>86400</v>
      </c>
      <c r="AN72" s="1">
        <v>73269</v>
      </c>
      <c r="AO72" s="1">
        <v>13131</v>
      </c>
      <c r="AP72" s="1">
        <v>47320</v>
      </c>
      <c r="AQ72" s="1">
        <v>0.32259802925756131</v>
      </c>
    </row>
    <row r="73" spans="1:43" x14ac:dyDescent="0.45">
      <c r="A73" s="1">
        <v>72</v>
      </c>
      <c r="B73" s="1">
        <v>181</v>
      </c>
      <c r="C73" s="1">
        <v>75</v>
      </c>
      <c r="D73" s="1" t="s">
        <v>64</v>
      </c>
      <c r="E73" s="1" t="s">
        <v>65</v>
      </c>
      <c r="F73" s="1" t="s">
        <v>66</v>
      </c>
      <c r="G73" s="1" t="s">
        <v>46</v>
      </c>
      <c r="H73" s="1" t="s">
        <v>47</v>
      </c>
      <c r="I73" s="1">
        <v>1170</v>
      </c>
      <c r="J73" s="1">
        <v>33499</v>
      </c>
      <c r="K73" s="1">
        <v>1</v>
      </c>
      <c r="L73" s="1">
        <v>74</v>
      </c>
      <c r="M73" s="1">
        <v>1299</v>
      </c>
      <c r="N73" s="1" t="s">
        <v>48</v>
      </c>
      <c r="O73" s="1">
        <v>194023</v>
      </c>
      <c r="P73" s="1">
        <v>89</v>
      </c>
      <c r="Q73" s="1" t="s">
        <v>96</v>
      </c>
      <c r="R73" s="1" t="s">
        <v>50</v>
      </c>
      <c r="S73" s="1">
        <v>0</v>
      </c>
      <c r="T73" s="1">
        <v>0</v>
      </c>
      <c r="U73" s="1">
        <v>495.976</v>
      </c>
      <c r="V73" s="1">
        <v>24.9</v>
      </c>
      <c r="W73" s="1">
        <v>0.54</v>
      </c>
      <c r="X73" s="1">
        <v>0.21299999999999999</v>
      </c>
      <c r="Y73" s="1">
        <v>25.113</v>
      </c>
      <c r="Z73" s="1">
        <v>0.161</v>
      </c>
      <c r="AA73" s="1">
        <v>-2.8</v>
      </c>
      <c r="AB73" s="1">
        <v>-2.8</v>
      </c>
      <c r="AC73" s="1">
        <v>-2.8</v>
      </c>
      <c r="AD73" s="1">
        <v>0.21299999999999999</v>
      </c>
      <c r="AE73" s="1">
        <v>0.16</v>
      </c>
      <c r="AF73" s="1">
        <v>3.4000000000000002E-2</v>
      </c>
      <c r="AG73" s="1">
        <v>-2.8</v>
      </c>
      <c r="AI73" s="1">
        <v>0</v>
      </c>
      <c r="AJ73" s="1">
        <v>0</v>
      </c>
      <c r="AK73" s="1">
        <v>0</v>
      </c>
      <c r="AL73" s="1">
        <v>1</v>
      </c>
      <c r="AM73" s="1">
        <v>86400</v>
      </c>
      <c r="AN73" s="1">
        <v>78567</v>
      </c>
      <c r="AO73" s="1">
        <v>7833</v>
      </c>
      <c r="AP73" s="1">
        <v>47285</v>
      </c>
      <c r="AQ73" s="1">
        <v>26.101421947845822</v>
      </c>
    </row>
    <row r="74" spans="1:43" x14ac:dyDescent="0.45">
      <c r="A74" s="1">
        <v>73</v>
      </c>
      <c r="B74" s="1">
        <v>181</v>
      </c>
      <c r="C74" s="1">
        <v>75</v>
      </c>
      <c r="D74" s="1" t="s">
        <v>64</v>
      </c>
      <c r="E74" s="1" t="s">
        <v>65</v>
      </c>
      <c r="F74" s="1" t="s">
        <v>66</v>
      </c>
      <c r="G74" s="1" t="s">
        <v>46</v>
      </c>
      <c r="H74" s="1" t="s">
        <v>47</v>
      </c>
      <c r="I74" s="1">
        <v>1170</v>
      </c>
      <c r="J74" s="1">
        <v>33499</v>
      </c>
      <c r="K74" s="1">
        <v>1</v>
      </c>
      <c r="L74" s="1">
        <v>74</v>
      </c>
      <c r="M74" s="1">
        <v>1300</v>
      </c>
      <c r="N74" s="1" t="s">
        <v>48</v>
      </c>
      <c r="O74" s="1">
        <v>194024</v>
      </c>
      <c r="P74" s="1">
        <v>89</v>
      </c>
      <c r="Q74" s="1" t="s">
        <v>96</v>
      </c>
      <c r="R74" s="1" t="s">
        <v>50</v>
      </c>
      <c r="S74" s="1">
        <v>0</v>
      </c>
      <c r="T74" s="1">
        <v>0</v>
      </c>
      <c r="U74" s="1">
        <v>236.39</v>
      </c>
      <c r="V74" s="1">
        <v>24.927</v>
      </c>
      <c r="W74" s="1">
        <v>0.53</v>
      </c>
      <c r="X74" s="1">
        <v>0.183</v>
      </c>
      <c r="Y74" s="1">
        <v>25.11</v>
      </c>
      <c r="Z74" s="1">
        <v>0.153</v>
      </c>
      <c r="AA74" s="1">
        <v>-2.2999999999999998</v>
      </c>
      <c r="AB74" s="1">
        <v>-2.2999999999999998</v>
      </c>
      <c r="AC74" s="1">
        <v>-2.2999999999999998</v>
      </c>
      <c r="AD74" s="1">
        <v>0.183</v>
      </c>
      <c r="AE74" s="1">
        <v>0.152</v>
      </c>
      <c r="AF74" s="1">
        <v>2.8000000000000001E-2</v>
      </c>
      <c r="AG74" s="1">
        <v>-2.2999999999999998</v>
      </c>
      <c r="AI74" s="1">
        <v>0</v>
      </c>
      <c r="AJ74" s="1">
        <v>0</v>
      </c>
      <c r="AK74" s="1">
        <v>0</v>
      </c>
      <c r="AL74" s="1">
        <v>1</v>
      </c>
      <c r="AM74" s="1">
        <v>86400</v>
      </c>
      <c r="AN74" s="1">
        <v>76535</v>
      </c>
      <c r="AO74" s="1">
        <v>9865</v>
      </c>
      <c r="AP74" s="1">
        <v>47256</v>
      </c>
      <c r="AQ74" s="1">
        <v>0.1408123542554123</v>
      </c>
    </row>
    <row r="75" spans="1:43" x14ac:dyDescent="0.45">
      <c r="A75" s="1">
        <v>74</v>
      </c>
      <c r="B75" s="1">
        <v>181</v>
      </c>
      <c r="C75" s="1">
        <v>75</v>
      </c>
      <c r="D75" s="1" t="s">
        <v>64</v>
      </c>
      <c r="E75" s="1" t="s">
        <v>65</v>
      </c>
      <c r="F75" s="1" t="s">
        <v>66</v>
      </c>
      <c r="G75" s="1" t="s">
        <v>46</v>
      </c>
      <c r="H75" s="1" t="s">
        <v>47</v>
      </c>
      <c r="I75" s="1">
        <v>1170</v>
      </c>
      <c r="J75" s="1">
        <v>33499</v>
      </c>
      <c r="K75" s="1">
        <v>1</v>
      </c>
      <c r="L75" s="1">
        <v>74</v>
      </c>
      <c r="M75" s="1">
        <v>1302</v>
      </c>
      <c r="N75" s="1" t="s">
        <v>48</v>
      </c>
      <c r="O75" s="1">
        <v>194037</v>
      </c>
      <c r="P75" s="1">
        <v>89</v>
      </c>
      <c r="Q75" s="1" t="s">
        <v>96</v>
      </c>
      <c r="R75" s="1" t="s">
        <v>50</v>
      </c>
      <c r="S75" s="1">
        <v>0</v>
      </c>
      <c r="T75" s="1">
        <v>0</v>
      </c>
      <c r="U75" s="1">
        <v>71.201999999999998</v>
      </c>
      <c r="V75" s="1">
        <v>24.815999999999999</v>
      </c>
      <c r="W75" s="1">
        <v>0.55000000000000004</v>
      </c>
      <c r="X75" s="1">
        <v>0.29799999999999999</v>
      </c>
      <c r="Y75" s="1">
        <v>25.114000000000001</v>
      </c>
      <c r="Z75" s="1">
        <v>9.6000000000000002E-2</v>
      </c>
      <c r="AA75" s="1">
        <v>0.7</v>
      </c>
      <c r="AB75" s="1">
        <v>0.7</v>
      </c>
      <c r="AC75" s="1">
        <v>0.7</v>
      </c>
      <c r="AD75" s="1">
        <v>0.29799999999999999</v>
      </c>
      <c r="AE75" s="1">
        <v>9.6000000000000002E-2</v>
      </c>
      <c r="AF75" s="1">
        <v>2.9000000000000001E-2</v>
      </c>
      <c r="AG75" s="1">
        <v>0.7</v>
      </c>
      <c r="AI75" s="1">
        <v>0</v>
      </c>
      <c r="AJ75" s="1">
        <v>0</v>
      </c>
      <c r="AK75" s="1">
        <v>0</v>
      </c>
      <c r="AL75" s="1">
        <v>1</v>
      </c>
      <c r="AM75" s="1">
        <v>86400</v>
      </c>
      <c r="AN75" s="1">
        <v>80573</v>
      </c>
      <c r="AO75" s="1">
        <v>5827</v>
      </c>
      <c r="AP75" s="1">
        <v>47244</v>
      </c>
      <c r="AQ75" s="1">
        <v>12.96701355991765</v>
      </c>
    </row>
    <row r="76" spans="1:43" x14ac:dyDescent="0.45">
      <c r="A76" s="1">
        <v>75</v>
      </c>
      <c r="B76" s="1">
        <v>181</v>
      </c>
      <c r="C76" s="1">
        <v>75</v>
      </c>
      <c r="D76" s="1" t="s">
        <v>64</v>
      </c>
      <c r="E76" s="1" t="s">
        <v>65</v>
      </c>
      <c r="F76" s="1" t="s">
        <v>66</v>
      </c>
      <c r="G76" s="1" t="s">
        <v>46</v>
      </c>
      <c r="H76" s="1" t="s">
        <v>47</v>
      </c>
      <c r="I76" s="1">
        <v>1170</v>
      </c>
      <c r="J76" s="1">
        <v>33499</v>
      </c>
      <c r="K76" s="1">
        <v>1</v>
      </c>
      <c r="L76" s="1">
        <v>74</v>
      </c>
      <c r="M76" s="1">
        <v>1323</v>
      </c>
      <c r="N76" s="1" t="s">
        <v>48</v>
      </c>
      <c r="O76" s="1">
        <v>194098</v>
      </c>
      <c r="P76" s="1">
        <v>89</v>
      </c>
      <c r="Q76" s="1" t="s">
        <v>96</v>
      </c>
      <c r="R76" s="1" t="s">
        <v>50</v>
      </c>
      <c r="S76" s="1">
        <v>0</v>
      </c>
      <c r="T76" s="1">
        <v>0</v>
      </c>
      <c r="U76" s="1">
        <v>590.79899999999998</v>
      </c>
      <c r="V76" s="1">
        <v>25.291</v>
      </c>
      <c r="W76" s="1">
        <v>0.53</v>
      </c>
      <c r="X76" s="1">
        <v>0.19800000000000001</v>
      </c>
      <c r="Y76" s="1">
        <v>25.488</v>
      </c>
      <c r="Z76" s="1">
        <v>4.7E-2</v>
      </c>
      <c r="AA76" s="1">
        <v>-3</v>
      </c>
      <c r="AB76" s="1">
        <v>-3</v>
      </c>
      <c r="AC76" s="1">
        <v>-3</v>
      </c>
      <c r="AD76" s="1">
        <v>0.19800000000000001</v>
      </c>
      <c r="AE76" s="1">
        <v>4.7E-2</v>
      </c>
      <c r="AF76" s="1">
        <v>8.9999999999999993E-3</v>
      </c>
      <c r="AG76" s="1">
        <v>-3</v>
      </c>
      <c r="AI76" s="1">
        <v>0</v>
      </c>
      <c r="AJ76" s="1">
        <v>0</v>
      </c>
      <c r="AK76" s="1">
        <v>0</v>
      </c>
      <c r="AL76" s="1">
        <v>1</v>
      </c>
      <c r="AM76" s="1">
        <v>86400</v>
      </c>
      <c r="AN76" s="1">
        <v>73806</v>
      </c>
      <c r="AO76" s="1">
        <v>12594</v>
      </c>
      <c r="AP76" s="1">
        <v>43432</v>
      </c>
      <c r="AQ76" s="1">
        <v>2.1861732595933532</v>
      </c>
    </row>
    <row r="77" spans="1:43" x14ac:dyDescent="0.45">
      <c r="A77" s="1">
        <v>76</v>
      </c>
      <c r="B77" s="1">
        <v>181</v>
      </c>
      <c r="C77" s="1">
        <v>75</v>
      </c>
      <c r="D77" s="1" t="s">
        <v>64</v>
      </c>
      <c r="E77" s="1" t="s">
        <v>65</v>
      </c>
      <c r="F77" s="1" t="s">
        <v>66</v>
      </c>
      <c r="G77" s="1" t="s">
        <v>46</v>
      </c>
      <c r="H77" s="1" t="s">
        <v>47</v>
      </c>
      <c r="I77" s="1">
        <v>1170</v>
      </c>
      <c r="J77" s="1">
        <v>33499</v>
      </c>
      <c r="K77" s="1">
        <v>1</v>
      </c>
      <c r="L77" s="1">
        <v>74</v>
      </c>
      <c r="M77" s="1">
        <v>1324</v>
      </c>
      <c r="N77" s="1" t="s">
        <v>48</v>
      </c>
      <c r="O77" s="1">
        <v>194101</v>
      </c>
      <c r="P77" s="1">
        <v>89</v>
      </c>
      <c r="Q77" s="1" t="s">
        <v>96</v>
      </c>
      <c r="R77" s="1" t="s">
        <v>50</v>
      </c>
      <c r="S77" s="1">
        <v>0</v>
      </c>
      <c r="T77" s="1">
        <v>0</v>
      </c>
      <c r="U77" s="1">
        <v>715.21299999999997</v>
      </c>
      <c r="V77" s="1">
        <v>25.327000000000002</v>
      </c>
      <c r="W77" s="1">
        <v>0.53</v>
      </c>
      <c r="X77" s="1">
        <v>0.159</v>
      </c>
      <c r="Y77" s="1">
        <v>25.486000000000001</v>
      </c>
      <c r="Z77" s="1">
        <v>8.1000000000000003E-2</v>
      </c>
      <c r="AA77" s="1">
        <v>3</v>
      </c>
      <c r="AB77" s="1">
        <v>3</v>
      </c>
      <c r="AC77" s="1">
        <v>3</v>
      </c>
      <c r="AD77" s="1">
        <v>0.159</v>
      </c>
      <c r="AE77" s="1">
        <v>8.1000000000000003E-2</v>
      </c>
      <c r="AF77" s="1">
        <v>1.2999999999999999E-2</v>
      </c>
      <c r="AG77" s="1">
        <v>3</v>
      </c>
      <c r="AI77" s="1">
        <v>0</v>
      </c>
      <c r="AJ77" s="1">
        <v>0</v>
      </c>
      <c r="AK77" s="1">
        <v>0</v>
      </c>
      <c r="AL77" s="1">
        <v>1</v>
      </c>
      <c r="AM77" s="1">
        <v>86400</v>
      </c>
      <c r="AN77" s="1">
        <v>75696</v>
      </c>
      <c r="AO77" s="1">
        <v>10704</v>
      </c>
      <c r="AP77" s="1">
        <v>43652</v>
      </c>
      <c r="AQ77" s="1">
        <v>1.705766435611443</v>
      </c>
    </row>
    <row r="78" spans="1:43" x14ac:dyDescent="0.45">
      <c r="A78" s="1">
        <v>77</v>
      </c>
      <c r="B78" s="1">
        <v>181</v>
      </c>
      <c r="C78" s="1">
        <v>75</v>
      </c>
      <c r="D78" s="1" t="s">
        <v>64</v>
      </c>
      <c r="E78" s="1" t="s">
        <v>65</v>
      </c>
      <c r="F78" s="1" t="s">
        <v>66</v>
      </c>
      <c r="G78" s="1" t="s">
        <v>46</v>
      </c>
      <c r="H78" s="1" t="s">
        <v>47</v>
      </c>
      <c r="I78" s="1">
        <v>1170</v>
      </c>
      <c r="J78" s="1">
        <v>33499</v>
      </c>
      <c r="K78" s="1">
        <v>1</v>
      </c>
      <c r="L78" s="1">
        <v>74</v>
      </c>
      <c r="M78" s="1">
        <v>1454</v>
      </c>
      <c r="N78" s="1" t="s">
        <v>48</v>
      </c>
      <c r="O78" s="1">
        <v>198606</v>
      </c>
      <c r="P78" s="1">
        <v>89</v>
      </c>
      <c r="Q78" s="1" t="s">
        <v>96</v>
      </c>
      <c r="R78" s="1" t="s">
        <v>50</v>
      </c>
      <c r="S78" s="1">
        <v>0</v>
      </c>
      <c r="T78" s="1">
        <v>0</v>
      </c>
      <c r="U78" s="1">
        <v>92.590999999999994</v>
      </c>
      <c r="V78" s="1">
        <v>25.254000000000001</v>
      </c>
      <c r="W78" s="1">
        <v>0.52</v>
      </c>
      <c r="X78" s="1">
        <v>0.114</v>
      </c>
      <c r="Y78" s="1">
        <v>25.367000000000001</v>
      </c>
      <c r="Z78" s="1">
        <v>0.10299999999999999</v>
      </c>
      <c r="AA78" s="1">
        <v>0.8</v>
      </c>
      <c r="AB78" s="1">
        <v>0.5</v>
      </c>
      <c r="AC78" s="1">
        <v>0.5</v>
      </c>
      <c r="AD78" s="1">
        <v>0.114</v>
      </c>
      <c r="AE78" s="1">
        <v>7.0999999999999994E-2</v>
      </c>
      <c r="AF78" s="1">
        <v>0.01</v>
      </c>
      <c r="AG78" s="1">
        <v>0.8</v>
      </c>
      <c r="AI78" s="1">
        <v>0</v>
      </c>
      <c r="AJ78" s="1">
        <v>0</v>
      </c>
      <c r="AK78" s="1">
        <v>0</v>
      </c>
      <c r="AL78" s="1">
        <v>1</v>
      </c>
      <c r="AM78" s="1">
        <v>86400</v>
      </c>
      <c r="AN78" s="1">
        <v>79038</v>
      </c>
      <c r="AO78" s="1">
        <v>7362</v>
      </c>
      <c r="AP78" s="1">
        <v>50217</v>
      </c>
      <c r="AQ78" s="1">
        <v>16.327837453438821</v>
      </c>
    </row>
    <row r="79" spans="1:43" x14ac:dyDescent="0.45">
      <c r="A79" s="1">
        <v>78</v>
      </c>
      <c r="B79" s="1">
        <v>181</v>
      </c>
      <c r="C79" s="1">
        <v>75</v>
      </c>
      <c r="D79" s="1" t="s">
        <v>64</v>
      </c>
      <c r="E79" s="1" t="s">
        <v>65</v>
      </c>
      <c r="F79" s="1" t="s">
        <v>66</v>
      </c>
      <c r="G79" s="1" t="s">
        <v>46</v>
      </c>
      <c r="H79" s="1" t="s">
        <v>47</v>
      </c>
      <c r="I79" s="1">
        <v>1170</v>
      </c>
      <c r="J79" s="1">
        <v>33499</v>
      </c>
      <c r="K79" s="1">
        <v>1</v>
      </c>
      <c r="L79" s="1">
        <v>74</v>
      </c>
      <c r="M79" s="1">
        <v>1455</v>
      </c>
      <c r="N79" s="1" t="s">
        <v>48</v>
      </c>
      <c r="O79" s="1">
        <v>198607</v>
      </c>
      <c r="P79" s="1">
        <v>89</v>
      </c>
      <c r="Q79" s="1" t="s">
        <v>96</v>
      </c>
      <c r="R79" s="1" t="s">
        <v>50</v>
      </c>
      <c r="S79" s="1">
        <v>0</v>
      </c>
      <c r="T79" s="1">
        <v>0</v>
      </c>
      <c r="U79" s="1">
        <v>71.430000000000007</v>
      </c>
      <c r="V79" s="1">
        <v>25.236000000000001</v>
      </c>
      <c r="W79" s="1">
        <v>0.52</v>
      </c>
      <c r="X79" s="1">
        <v>0.13200000000000001</v>
      </c>
      <c r="Y79" s="1">
        <v>25.367000000000001</v>
      </c>
      <c r="Z79" s="1">
        <v>0.11</v>
      </c>
      <c r="AA79" s="1">
        <v>-0.7</v>
      </c>
      <c r="AB79" s="1">
        <v>-0.6</v>
      </c>
      <c r="AC79" s="1">
        <v>-0.6</v>
      </c>
      <c r="AD79" s="1">
        <v>0.13200000000000001</v>
      </c>
      <c r="AE79" s="1">
        <v>8.1000000000000003E-2</v>
      </c>
      <c r="AF79" s="1">
        <v>1.0999999999999999E-2</v>
      </c>
      <c r="AG79" s="1">
        <v>-0.7</v>
      </c>
      <c r="AI79" s="1">
        <v>0</v>
      </c>
      <c r="AJ79" s="1">
        <v>0</v>
      </c>
      <c r="AK79" s="1">
        <v>0</v>
      </c>
      <c r="AL79" s="1">
        <v>1</v>
      </c>
      <c r="AM79" s="1">
        <v>86400</v>
      </c>
      <c r="AN79" s="1">
        <v>79992</v>
      </c>
      <c r="AO79" s="1">
        <v>6408</v>
      </c>
      <c r="AP79" s="1">
        <v>49408</v>
      </c>
      <c r="AQ79" s="1">
        <v>1.7753314003685849</v>
      </c>
    </row>
    <row r="80" spans="1:43" x14ac:dyDescent="0.45">
      <c r="A80" s="1">
        <v>79</v>
      </c>
      <c r="B80" s="1">
        <v>181</v>
      </c>
      <c r="C80" s="1">
        <v>75</v>
      </c>
      <c r="D80" s="1" t="s">
        <v>64</v>
      </c>
      <c r="E80" s="1" t="s">
        <v>65</v>
      </c>
      <c r="F80" s="1" t="s">
        <v>66</v>
      </c>
      <c r="G80" s="1" t="s">
        <v>46</v>
      </c>
      <c r="H80" s="1" t="s">
        <v>47</v>
      </c>
      <c r="I80" s="1">
        <v>1170</v>
      </c>
      <c r="J80" s="1">
        <v>33499</v>
      </c>
      <c r="K80" s="1">
        <v>1</v>
      </c>
      <c r="L80" s="1">
        <v>74</v>
      </c>
      <c r="M80" s="1">
        <v>1456</v>
      </c>
      <c r="N80" s="1" t="s">
        <v>48</v>
      </c>
      <c r="O80" s="1">
        <v>198616</v>
      </c>
      <c r="P80" s="1">
        <v>89</v>
      </c>
      <c r="Q80" s="1" t="s">
        <v>96</v>
      </c>
      <c r="R80" s="1" t="s">
        <v>50</v>
      </c>
      <c r="S80" s="1">
        <v>0</v>
      </c>
      <c r="T80" s="1">
        <v>0</v>
      </c>
      <c r="U80" s="1">
        <v>155.554</v>
      </c>
      <c r="V80" s="1">
        <v>25.196999999999999</v>
      </c>
      <c r="W80" s="1">
        <v>0.53</v>
      </c>
      <c r="X80" s="1">
        <v>0.20200000000000001</v>
      </c>
      <c r="Y80" s="1">
        <v>25.398</v>
      </c>
      <c r="Z80" s="1">
        <v>2.3E-2</v>
      </c>
      <c r="AA80" s="1">
        <v>-0.6</v>
      </c>
      <c r="AB80" s="1">
        <v>-0.6</v>
      </c>
      <c r="AC80" s="1">
        <v>-0.6</v>
      </c>
      <c r="AD80" s="1">
        <v>0.20200000000000001</v>
      </c>
      <c r="AE80" s="1">
        <v>2.3E-2</v>
      </c>
      <c r="AF80" s="1">
        <v>5.0000000000000001E-3</v>
      </c>
      <c r="AG80" s="1">
        <v>-0.6</v>
      </c>
      <c r="AI80" s="1">
        <v>0</v>
      </c>
      <c r="AJ80" s="1">
        <v>0</v>
      </c>
      <c r="AK80" s="1">
        <v>0</v>
      </c>
      <c r="AL80" s="1">
        <v>1</v>
      </c>
      <c r="AM80" s="1">
        <v>86400</v>
      </c>
      <c r="AN80" s="1">
        <v>72415</v>
      </c>
      <c r="AO80" s="1">
        <v>13985</v>
      </c>
      <c r="AP80" s="1">
        <v>46818</v>
      </c>
      <c r="AQ80" s="1">
        <v>0.49721296494119721</v>
      </c>
    </row>
    <row r="81" spans="1:43" x14ac:dyDescent="0.45">
      <c r="A81" s="1">
        <v>80</v>
      </c>
      <c r="B81" s="1">
        <v>332</v>
      </c>
      <c r="C81" s="1">
        <v>25</v>
      </c>
      <c r="D81" s="1" t="s">
        <v>70</v>
      </c>
      <c r="E81" s="1" t="s">
        <v>71</v>
      </c>
      <c r="F81" s="1" t="s">
        <v>72</v>
      </c>
      <c r="G81" s="1" t="s">
        <v>46</v>
      </c>
      <c r="H81" s="1" t="s">
        <v>47</v>
      </c>
      <c r="I81" s="1">
        <v>664</v>
      </c>
      <c r="J81" s="1">
        <v>19970</v>
      </c>
      <c r="K81" s="1">
        <v>1</v>
      </c>
      <c r="L81" s="1">
        <v>24</v>
      </c>
      <c r="M81" s="1">
        <v>1264</v>
      </c>
      <c r="N81" s="1" t="s">
        <v>48</v>
      </c>
      <c r="O81" s="1">
        <v>183770</v>
      </c>
      <c r="P81" s="1">
        <v>89</v>
      </c>
      <c r="Q81" s="1" t="s">
        <v>96</v>
      </c>
      <c r="R81" s="1" t="s">
        <v>50</v>
      </c>
      <c r="S81" s="1">
        <v>0</v>
      </c>
      <c r="T81" s="1">
        <v>0</v>
      </c>
      <c r="U81" s="1">
        <v>134.53299999999999</v>
      </c>
      <c r="V81" s="1">
        <v>25.527000000000001</v>
      </c>
      <c r="W81" s="1">
        <v>1.29</v>
      </c>
      <c r="X81" s="1">
        <v>1.748</v>
      </c>
      <c r="Y81" s="1">
        <v>27.274999999999999</v>
      </c>
      <c r="Z81" s="1">
        <v>0.128</v>
      </c>
      <c r="AA81" s="1">
        <v>2.7</v>
      </c>
      <c r="AB81" s="1">
        <v>2.9</v>
      </c>
      <c r="AC81" s="1">
        <v>2.7</v>
      </c>
      <c r="AD81" s="1">
        <v>1.7470000000000001</v>
      </c>
      <c r="AE81" s="1">
        <v>0.128</v>
      </c>
      <c r="AF81" s="1">
        <v>0.224</v>
      </c>
      <c r="AG81" s="1">
        <v>2.7</v>
      </c>
      <c r="AI81" s="1">
        <v>0</v>
      </c>
      <c r="AJ81" s="1">
        <v>0</v>
      </c>
      <c r="AK81" s="1">
        <v>0</v>
      </c>
      <c r="AL81" s="1">
        <v>1</v>
      </c>
      <c r="AM81" s="1">
        <v>86400</v>
      </c>
      <c r="AN81" s="1">
        <v>78394</v>
      </c>
      <c r="AO81" s="1">
        <v>8006</v>
      </c>
      <c r="AP81" s="1">
        <v>43470</v>
      </c>
      <c r="AQ81" s="1">
        <v>14.97557869697212</v>
      </c>
    </row>
    <row r="82" spans="1:43" x14ac:dyDescent="0.45">
      <c r="A82" s="1">
        <v>81</v>
      </c>
      <c r="B82" s="1">
        <v>332</v>
      </c>
      <c r="C82" s="1">
        <v>25</v>
      </c>
      <c r="D82" s="1" t="s">
        <v>70</v>
      </c>
      <c r="E82" s="1" t="s">
        <v>71</v>
      </c>
      <c r="F82" s="1" t="s">
        <v>72</v>
      </c>
      <c r="G82" s="1" t="s">
        <v>46</v>
      </c>
      <c r="H82" s="1" t="s">
        <v>47</v>
      </c>
      <c r="I82" s="1">
        <v>664</v>
      </c>
      <c r="J82" s="1">
        <v>19970</v>
      </c>
      <c r="K82" s="1">
        <v>1</v>
      </c>
      <c r="L82" s="1">
        <v>24</v>
      </c>
      <c r="M82" s="1">
        <v>1266</v>
      </c>
      <c r="N82" s="1" t="s">
        <v>48</v>
      </c>
      <c r="O82" s="1">
        <v>183857</v>
      </c>
      <c r="P82" s="1">
        <v>89</v>
      </c>
      <c r="Q82" s="1" t="s">
        <v>96</v>
      </c>
      <c r="R82" s="1" t="s">
        <v>50</v>
      </c>
      <c r="S82" s="1">
        <v>0</v>
      </c>
      <c r="T82" s="1">
        <v>0</v>
      </c>
      <c r="U82" s="1">
        <v>97.05</v>
      </c>
      <c r="V82" s="1">
        <v>27.024000000000001</v>
      </c>
      <c r="W82" s="1">
        <v>0.52</v>
      </c>
      <c r="X82" s="1">
        <v>0.13900000000000001</v>
      </c>
      <c r="Y82" s="1">
        <v>27.163</v>
      </c>
      <c r="Z82" s="1">
        <v>0.17799999999999999</v>
      </c>
      <c r="AA82" s="1">
        <v>-1.6</v>
      </c>
      <c r="AB82" s="1">
        <v>-1.6</v>
      </c>
      <c r="AC82" s="1">
        <v>-1.6</v>
      </c>
      <c r="AD82" s="1">
        <v>0.13900000000000001</v>
      </c>
      <c r="AE82" s="1">
        <v>0.17699999999999999</v>
      </c>
      <c r="AF82" s="1">
        <v>2.5000000000000001E-2</v>
      </c>
      <c r="AG82" s="1">
        <v>-1.6</v>
      </c>
      <c r="AI82" s="1">
        <v>0</v>
      </c>
      <c r="AJ82" s="1">
        <v>0</v>
      </c>
      <c r="AK82" s="1">
        <v>0</v>
      </c>
      <c r="AL82" s="1">
        <v>1</v>
      </c>
      <c r="AM82" s="1">
        <v>86400</v>
      </c>
      <c r="AN82" s="1">
        <v>58307</v>
      </c>
      <c r="AO82" s="1">
        <v>25499</v>
      </c>
      <c r="AP82" s="1">
        <v>46890</v>
      </c>
      <c r="AQ82" s="1">
        <v>12.13985088347876</v>
      </c>
    </row>
    <row r="83" spans="1:43" x14ac:dyDescent="0.45">
      <c r="A83" s="1">
        <v>82</v>
      </c>
      <c r="B83" s="1">
        <v>333</v>
      </c>
      <c r="C83" s="1">
        <v>24</v>
      </c>
      <c r="D83" s="1" t="s">
        <v>73</v>
      </c>
      <c r="E83" s="1" t="s">
        <v>74</v>
      </c>
      <c r="F83" s="1" t="s">
        <v>75</v>
      </c>
      <c r="G83" s="1" t="s">
        <v>46</v>
      </c>
      <c r="H83" s="1" t="s">
        <v>47</v>
      </c>
      <c r="I83" s="1">
        <v>586</v>
      </c>
      <c r="J83" s="1">
        <v>18129</v>
      </c>
      <c r="K83" s="1">
        <v>1</v>
      </c>
      <c r="L83" s="1">
        <v>23</v>
      </c>
      <c r="M83" s="1">
        <v>1264</v>
      </c>
      <c r="N83" s="1" t="s">
        <v>48</v>
      </c>
      <c r="O83" s="1">
        <v>183770</v>
      </c>
      <c r="P83" s="1">
        <v>89</v>
      </c>
      <c r="Q83" s="1" t="s">
        <v>96</v>
      </c>
      <c r="R83" s="1" t="s">
        <v>50</v>
      </c>
      <c r="S83" s="1">
        <v>0</v>
      </c>
      <c r="T83" s="1">
        <v>0</v>
      </c>
      <c r="U83" s="1">
        <v>134.53299999999999</v>
      </c>
      <c r="V83" s="1">
        <v>25.527000000000001</v>
      </c>
      <c r="W83" s="1">
        <v>1.29</v>
      </c>
      <c r="X83" s="1">
        <v>1.748</v>
      </c>
      <c r="Y83" s="1">
        <v>27.274999999999999</v>
      </c>
      <c r="Z83" s="1">
        <v>0.128</v>
      </c>
      <c r="AA83" s="1">
        <v>2.7</v>
      </c>
      <c r="AB83" s="1">
        <v>2.9</v>
      </c>
      <c r="AC83" s="1">
        <v>2.7</v>
      </c>
      <c r="AD83" s="1">
        <v>1.7470000000000001</v>
      </c>
      <c r="AE83" s="1">
        <v>0.128</v>
      </c>
      <c r="AF83" s="1">
        <v>0.224</v>
      </c>
      <c r="AG83" s="1">
        <v>2.7</v>
      </c>
      <c r="AI83" s="1">
        <v>0</v>
      </c>
      <c r="AJ83" s="1">
        <v>0</v>
      </c>
      <c r="AK83" s="1">
        <v>0</v>
      </c>
      <c r="AL83" s="1">
        <v>1</v>
      </c>
      <c r="AM83" s="1">
        <v>86400</v>
      </c>
      <c r="AN83" s="1">
        <v>78394</v>
      </c>
      <c r="AO83" s="1">
        <v>8006</v>
      </c>
      <c r="AP83" s="1">
        <v>43470</v>
      </c>
      <c r="AQ83" s="1">
        <v>1.107249760698368</v>
      </c>
    </row>
    <row r="84" spans="1:43" x14ac:dyDescent="0.45">
      <c r="A84" s="1">
        <v>83</v>
      </c>
      <c r="B84" s="1">
        <v>334</v>
      </c>
      <c r="C84" s="1">
        <v>25</v>
      </c>
      <c r="D84" s="1" t="s">
        <v>70</v>
      </c>
      <c r="E84" s="1" t="s">
        <v>71</v>
      </c>
      <c r="F84" s="1" t="s">
        <v>72</v>
      </c>
      <c r="G84" s="1" t="s">
        <v>46</v>
      </c>
      <c r="H84" s="1" t="s">
        <v>47</v>
      </c>
      <c r="I84" s="1">
        <v>664</v>
      </c>
      <c r="J84" s="1">
        <v>19970</v>
      </c>
      <c r="K84" s="1">
        <v>1</v>
      </c>
      <c r="L84" s="1">
        <v>24</v>
      </c>
      <c r="M84" s="1">
        <v>1264</v>
      </c>
      <c r="N84" s="1" t="s">
        <v>48</v>
      </c>
      <c r="O84" s="1">
        <v>183770</v>
      </c>
      <c r="P84" s="1">
        <v>89</v>
      </c>
      <c r="Q84" s="1" t="s">
        <v>96</v>
      </c>
      <c r="R84" s="1" t="s">
        <v>50</v>
      </c>
      <c r="S84" s="1">
        <v>0</v>
      </c>
      <c r="T84" s="1">
        <v>0</v>
      </c>
      <c r="U84" s="1">
        <v>134.53299999999999</v>
      </c>
      <c r="V84" s="1">
        <v>25.527000000000001</v>
      </c>
      <c r="W84" s="1">
        <v>1.29</v>
      </c>
      <c r="X84" s="1">
        <v>1.748</v>
      </c>
      <c r="Y84" s="1">
        <v>27.274999999999999</v>
      </c>
      <c r="Z84" s="1">
        <v>0.128</v>
      </c>
      <c r="AA84" s="1">
        <v>2.7</v>
      </c>
      <c r="AB84" s="1">
        <v>2.9</v>
      </c>
      <c r="AC84" s="1">
        <v>2.7</v>
      </c>
      <c r="AD84" s="1">
        <v>1.7470000000000001</v>
      </c>
      <c r="AE84" s="1">
        <v>0.128</v>
      </c>
      <c r="AF84" s="1">
        <v>0.224</v>
      </c>
      <c r="AG84" s="1">
        <v>2.7</v>
      </c>
      <c r="AI84" s="1">
        <v>0</v>
      </c>
      <c r="AJ84" s="1">
        <v>0</v>
      </c>
      <c r="AK84" s="1">
        <v>0</v>
      </c>
      <c r="AL84" s="1">
        <v>1</v>
      </c>
      <c r="AM84" s="1">
        <v>86400</v>
      </c>
      <c r="AN84" s="1">
        <v>78394</v>
      </c>
      <c r="AO84" s="1">
        <v>8006</v>
      </c>
      <c r="AP84" s="1">
        <v>43470</v>
      </c>
      <c r="AQ84" s="1">
        <v>1.092180301669939</v>
      </c>
    </row>
    <row r="85" spans="1:43" x14ac:dyDescent="0.45">
      <c r="A85" s="1">
        <v>84</v>
      </c>
      <c r="B85" s="1">
        <v>351</v>
      </c>
      <c r="C85" s="1">
        <v>63</v>
      </c>
      <c r="D85" s="1" t="s">
        <v>76</v>
      </c>
      <c r="E85" s="1" t="s">
        <v>77</v>
      </c>
      <c r="F85" s="1" t="s">
        <v>78</v>
      </c>
      <c r="G85" s="1" t="s">
        <v>46</v>
      </c>
      <c r="H85" s="1" t="s">
        <v>47</v>
      </c>
      <c r="I85" s="1">
        <v>1247</v>
      </c>
      <c r="J85" s="1">
        <v>27398</v>
      </c>
      <c r="K85" s="1">
        <v>1</v>
      </c>
      <c r="L85" s="1">
        <v>62</v>
      </c>
      <c r="M85" s="1">
        <v>1259</v>
      </c>
      <c r="N85" s="1" t="s">
        <v>48</v>
      </c>
      <c r="O85" s="1">
        <v>181344</v>
      </c>
      <c r="P85" s="1">
        <v>89</v>
      </c>
      <c r="Q85" s="1" t="s">
        <v>96</v>
      </c>
      <c r="R85" s="1" t="s">
        <v>50</v>
      </c>
      <c r="S85" s="1">
        <v>0</v>
      </c>
      <c r="T85" s="1">
        <v>0</v>
      </c>
      <c r="U85" s="1">
        <v>509.673</v>
      </c>
      <c r="V85" s="1">
        <v>23.771999999999998</v>
      </c>
      <c r="W85" s="1">
        <v>0.62</v>
      </c>
      <c r="X85" s="1">
        <v>0.76500000000000001</v>
      </c>
      <c r="Y85" s="1">
        <v>24.536999999999999</v>
      </c>
      <c r="Z85" s="1">
        <v>0.11700000000000001</v>
      </c>
      <c r="AA85" s="1">
        <v>-3</v>
      </c>
      <c r="AB85" s="1">
        <v>-3</v>
      </c>
      <c r="AC85" s="1">
        <v>-3</v>
      </c>
      <c r="AD85" s="1">
        <v>0.76500000000000001</v>
      </c>
      <c r="AE85" s="1">
        <v>0.11700000000000001</v>
      </c>
      <c r="AF85" s="1">
        <v>8.8999999999999996E-2</v>
      </c>
      <c r="AG85" s="1">
        <v>-3</v>
      </c>
      <c r="AI85" s="1">
        <v>0</v>
      </c>
      <c r="AJ85" s="1">
        <v>0</v>
      </c>
      <c r="AK85" s="1">
        <v>0</v>
      </c>
      <c r="AL85" s="1">
        <v>1</v>
      </c>
      <c r="AM85" s="1">
        <v>86400</v>
      </c>
      <c r="AN85" s="1">
        <v>77838</v>
      </c>
      <c r="AO85" s="1">
        <v>8562</v>
      </c>
      <c r="AP85" s="1">
        <v>43389</v>
      </c>
      <c r="AQ85" s="1">
        <v>25.565098127340359</v>
      </c>
    </row>
    <row r="86" spans="1:43" x14ac:dyDescent="0.45">
      <c r="A86" s="1">
        <v>85</v>
      </c>
      <c r="B86" s="1">
        <v>351</v>
      </c>
      <c r="C86" s="1">
        <v>63</v>
      </c>
      <c r="D86" s="1" t="s">
        <v>76</v>
      </c>
      <c r="E86" s="1" t="s">
        <v>77</v>
      </c>
      <c r="F86" s="1" t="s">
        <v>78</v>
      </c>
      <c r="G86" s="1" t="s">
        <v>46</v>
      </c>
      <c r="H86" s="1" t="s">
        <v>47</v>
      </c>
      <c r="I86" s="1">
        <v>1247</v>
      </c>
      <c r="J86" s="1">
        <v>27398</v>
      </c>
      <c r="K86" s="1">
        <v>1</v>
      </c>
      <c r="L86" s="1">
        <v>62</v>
      </c>
      <c r="M86" s="1">
        <v>1268</v>
      </c>
      <c r="N86" s="1" t="s">
        <v>48</v>
      </c>
      <c r="O86" s="1">
        <v>184182</v>
      </c>
      <c r="P86" s="1">
        <v>89</v>
      </c>
      <c r="Q86" s="1" t="s">
        <v>96</v>
      </c>
      <c r="R86" s="1" t="s">
        <v>50</v>
      </c>
      <c r="S86" s="1">
        <v>0</v>
      </c>
      <c r="T86" s="1">
        <v>0</v>
      </c>
      <c r="U86" s="1">
        <v>51.722999999999999</v>
      </c>
      <c r="V86" s="1">
        <v>24.972999999999999</v>
      </c>
      <c r="W86" s="1">
        <v>0.54</v>
      </c>
      <c r="X86" s="1">
        <v>0.22500000000000001</v>
      </c>
      <c r="Y86" s="1">
        <v>25.198</v>
      </c>
      <c r="Z86" s="1">
        <v>9.8000000000000004E-2</v>
      </c>
      <c r="AA86" s="1">
        <v>-2.8</v>
      </c>
      <c r="AB86" s="1">
        <v>-2.8</v>
      </c>
      <c r="AC86" s="1">
        <v>-2.8</v>
      </c>
      <c r="AD86" s="1">
        <v>0.22500000000000001</v>
      </c>
      <c r="AE86" s="1">
        <v>9.8000000000000004E-2</v>
      </c>
      <c r="AF86" s="1">
        <v>2.1999999999999999E-2</v>
      </c>
      <c r="AG86" s="1">
        <v>-2.8</v>
      </c>
      <c r="AI86" s="1">
        <v>0</v>
      </c>
      <c r="AJ86" s="1">
        <v>0</v>
      </c>
      <c r="AK86" s="1">
        <v>0</v>
      </c>
      <c r="AL86" s="1">
        <v>1</v>
      </c>
      <c r="AM86" s="1">
        <v>86400</v>
      </c>
      <c r="AN86" s="1">
        <v>80387</v>
      </c>
      <c r="AO86" s="1">
        <v>6013</v>
      </c>
      <c r="AP86" s="1">
        <v>46987</v>
      </c>
      <c r="AQ86" s="1">
        <v>12.851985611736319</v>
      </c>
    </row>
    <row r="87" spans="1:43" x14ac:dyDescent="0.45">
      <c r="A87" s="1">
        <v>86</v>
      </c>
      <c r="B87" s="1">
        <v>351</v>
      </c>
      <c r="C87" s="1">
        <v>63</v>
      </c>
      <c r="D87" s="1" t="s">
        <v>76</v>
      </c>
      <c r="E87" s="1" t="s">
        <v>77</v>
      </c>
      <c r="F87" s="1" t="s">
        <v>78</v>
      </c>
      <c r="G87" s="1" t="s">
        <v>46</v>
      </c>
      <c r="H87" s="1" t="s">
        <v>47</v>
      </c>
      <c r="I87" s="1">
        <v>1247</v>
      </c>
      <c r="J87" s="1">
        <v>27398</v>
      </c>
      <c r="K87" s="1">
        <v>1</v>
      </c>
      <c r="L87" s="1">
        <v>62</v>
      </c>
      <c r="M87" s="1">
        <v>1269</v>
      </c>
      <c r="N87" s="1" t="s">
        <v>48</v>
      </c>
      <c r="O87" s="1">
        <v>184187</v>
      </c>
      <c r="P87" s="1">
        <v>89</v>
      </c>
      <c r="Q87" s="1" t="s">
        <v>96</v>
      </c>
      <c r="R87" s="1" t="s">
        <v>50</v>
      </c>
      <c r="S87" s="1">
        <v>0</v>
      </c>
      <c r="T87" s="1">
        <v>0</v>
      </c>
      <c r="U87" s="1">
        <v>148.02699999999999</v>
      </c>
      <c r="V87" s="1">
        <v>25.082999999999998</v>
      </c>
      <c r="W87" s="1">
        <v>0.52</v>
      </c>
      <c r="X87" s="1">
        <v>0.129</v>
      </c>
      <c r="Y87" s="1">
        <v>25.212</v>
      </c>
      <c r="Z87" s="1">
        <v>0.222</v>
      </c>
      <c r="AA87" s="1">
        <v>1.8</v>
      </c>
      <c r="AB87" s="1">
        <v>1.8</v>
      </c>
      <c r="AC87" s="1">
        <v>1.8</v>
      </c>
      <c r="AD87" s="1">
        <v>0.129</v>
      </c>
      <c r="AE87" s="1">
        <v>0.221</v>
      </c>
      <c r="AF87" s="1">
        <v>2.9000000000000001E-2</v>
      </c>
      <c r="AG87" s="1">
        <v>1.8</v>
      </c>
      <c r="AI87" s="1">
        <v>0</v>
      </c>
      <c r="AJ87" s="1">
        <v>0</v>
      </c>
      <c r="AK87" s="1">
        <v>0</v>
      </c>
      <c r="AL87" s="1">
        <v>1</v>
      </c>
      <c r="AM87" s="1">
        <v>86400</v>
      </c>
      <c r="AN87" s="1">
        <v>80572</v>
      </c>
      <c r="AO87" s="1">
        <v>5828</v>
      </c>
      <c r="AP87" s="1">
        <v>43594</v>
      </c>
      <c r="AQ87" s="1">
        <v>2.804081138854984</v>
      </c>
    </row>
    <row r="88" spans="1:43" x14ac:dyDescent="0.45">
      <c r="A88" s="1">
        <v>87</v>
      </c>
      <c r="B88" s="1">
        <v>425</v>
      </c>
      <c r="C88" s="1">
        <v>24</v>
      </c>
      <c r="D88" s="1" t="s">
        <v>73</v>
      </c>
      <c r="E88" s="1" t="s">
        <v>74</v>
      </c>
      <c r="F88" s="1" t="s">
        <v>75</v>
      </c>
      <c r="G88" s="1" t="s">
        <v>46</v>
      </c>
      <c r="H88" s="1" t="s">
        <v>47</v>
      </c>
      <c r="I88" s="1">
        <v>586</v>
      </c>
      <c r="J88" s="1">
        <v>18129</v>
      </c>
      <c r="K88" s="1">
        <v>1</v>
      </c>
      <c r="L88" s="1">
        <v>23</v>
      </c>
      <c r="M88" s="1">
        <v>1262</v>
      </c>
      <c r="N88" s="1" t="s">
        <v>48</v>
      </c>
      <c r="O88" s="1">
        <v>183748</v>
      </c>
      <c r="P88" s="1">
        <v>89</v>
      </c>
      <c r="Q88" s="1" t="s">
        <v>96</v>
      </c>
      <c r="R88" s="1" t="s">
        <v>50</v>
      </c>
      <c r="S88" s="1">
        <v>0</v>
      </c>
      <c r="T88" s="1">
        <v>0</v>
      </c>
      <c r="U88" s="1">
        <v>288.11500000000001</v>
      </c>
      <c r="V88" s="1">
        <v>27.244</v>
      </c>
      <c r="W88" s="1">
        <v>0.56000000000000005</v>
      </c>
      <c r="X88" s="1">
        <v>0.372</v>
      </c>
      <c r="Y88" s="1">
        <v>27.616</v>
      </c>
      <c r="Z88" s="1">
        <v>0.161</v>
      </c>
      <c r="AA88" s="1">
        <v>-2.4</v>
      </c>
      <c r="AB88" s="1">
        <v>-2.4</v>
      </c>
      <c r="AC88" s="1">
        <v>-2.4</v>
      </c>
      <c r="AD88" s="1">
        <v>0.372</v>
      </c>
      <c r="AE88" s="1">
        <v>0.161</v>
      </c>
      <c r="AF88" s="1">
        <v>0.06</v>
      </c>
      <c r="AG88" s="1">
        <v>-2.4</v>
      </c>
      <c r="AI88" s="1">
        <v>0</v>
      </c>
      <c r="AJ88" s="1">
        <v>0</v>
      </c>
      <c r="AK88" s="1">
        <v>0</v>
      </c>
      <c r="AL88" s="1">
        <v>1</v>
      </c>
      <c r="AM88" s="1">
        <v>86400</v>
      </c>
      <c r="AN88" s="1">
        <v>79464</v>
      </c>
      <c r="AO88" s="1">
        <v>6936</v>
      </c>
      <c r="AP88" s="1">
        <v>43310</v>
      </c>
      <c r="AQ88" s="1">
        <v>17.13936196617848</v>
      </c>
    </row>
    <row r="89" spans="1:43" x14ac:dyDescent="0.45">
      <c r="A89" s="1">
        <v>88</v>
      </c>
      <c r="B89" s="1">
        <v>425</v>
      </c>
      <c r="C89" s="1">
        <v>24</v>
      </c>
      <c r="D89" s="1" t="s">
        <v>73</v>
      </c>
      <c r="E89" s="1" t="s">
        <v>74</v>
      </c>
      <c r="F89" s="1" t="s">
        <v>75</v>
      </c>
      <c r="G89" s="1" t="s">
        <v>46</v>
      </c>
      <c r="H89" s="1" t="s">
        <v>47</v>
      </c>
      <c r="I89" s="1">
        <v>586</v>
      </c>
      <c r="J89" s="1">
        <v>18129</v>
      </c>
      <c r="K89" s="1">
        <v>1</v>
      </c>
      <c r="L89" s="1">
        <v>23</v>
      </c>
      <c r="M89" s="1">
        <v>1263</v>
      </c>
      <c r="N89" s="1" t="s">
        <v>48</v>
      </c>
      <c r="O89" s="1">
        <v>183760</v>
      </c>
      <c r="P89" s="1">
        <v>89</v>
      </c>
      <c r="Q89" s="1" t="s">
        <v>96</v>
      </c>
      <c r="R89" s="1" t="s">
        <v>50</v>
      </c>
      <c r="S89" s="1">
        <v>0</v>
      </c>
      <c r="T89" s="1">
        <v>0</v>
      </c>
      <c r="U89" s="1">
        <v>463.62599999999998</v>
      </c>
      <c r="V89" s="1">
        <v>27.099</v>
      </c>
      <c r="W89" s="1">
        <v>0.52</v>
      </c>
      <c r="X89" s="1">
        <v>0.106</v>
      </c>
      <c r="Y89" s="1">
        <v>27.204999999999998</v>
      </c>
      <c r="Z89" s="1">
        <v>9.5000000000000001E-2</v>
      </c>
      <c r="AA89" s="1">
        <v>-1.5</v>
      </c>
      <c r="AB89" s="1">
        <v>-1.5</v>
      </c>
      <c r="AC89" s="1">
        <v>-1.5</v>
      </c>
      <c r="AD89" s="1">
        <v>0.106</v>
      </c>
      <c r="AE89" s="1">
        <v>9.5000000000000001E-2</v>
      </c>
      <c r="AF89" s="1">
        <v>0.01</v>
      </c>
      <c r="AG89" s="1">
        <v>-1.5</v>
      </c>
      <c r="AI89" s="1">
        <v>0</v>
      </c>
      <c r="AJ89" s="1">
        <v>0</v>
      </c>
      <c r="AK89" s="1">
        <v>0</v>
      </c>
      <c r="AL89" s="1">
        <v>1</v>
      </c>
      <c r="AM89" s="1">
        <v>86400</v>
      </c>
      <c r="AN89" s="1">
        <v>75286</v>
      </c>
      <c r="AO89" s="1">
        <v>11113</v>
      </c>
      <c r="AP89" s="1">
        <v>46870</v>
      </c>
      <c r="AQ89" s="1">
        <v>22.064773613282629</v>
      </c>
    </row>
    <row r="90" spans="1:43" x14ac:dyDescent="0.45">
      <c r="A90" s="1">
        <v>89</v>
      </c>
      <c r="B90" s="1">
        <v>425</v>
      </c>
      <c r="C90" s="1">
        <v>24</v>
      </c>
      <c r="D90" s="1" t="s">
        <v>73</v>
      </c>
      <c r="E90" s="1" t="s">
        <v>74</v>
      </c>
      <c r="F90" s="1" t="s">
        <v>75</v>
      </c>
      <c r="G90" s="1" t="s">
        <v>46</v>
      </c>
      <c r="H90" s="1" t="s">
        <v>47</v>
      </c>
      <c r="I90" s="1">
        <v>586</v>
      </c>
      <c r="J90" s="1">
        <v>18129</v>
      </c>
      <c r="K90" s="1">
        <v>1</v>
      </c>
      <c r="L90" s="1">
        <v>23</v>
      </c>
      <c r="M90" s="1">
        <v>1264</v>
      </c>
      <c r="N90" s="1" t="s">
        <v>48</v>
      </c>
      <c r="O90" s="1">
        <v>183770</v>
      </c>
      <c r="P90" s="1">
        <v>89</v>
      </c>
      <c r="Q90" s="1" t="s">
        <v>96</v>
      </c>
      <c r="R90" s="1" t="s">
        <v>50</v>
      </c>
      <c r="S90" s="1">
        <v>0</v>
      </c>
      <c r="T90" s="1">
        <v>0</v>
      </c>
      <c r="U90" s="1">
        <v>134.53299999999999</v>
      </c>
      <c r="V90" s="1">
        <v>25.527000000000001</v>
      </c>
      <c r="W90" s="1">
        <v>1.29</v>
      </c>
      <c r="X90" s="1">
        <v>1.748</v>
      </c>
      <c r="Y90" s="1">
        <v>27.274999999999999</v>
      </c>
      <c r="Z90" s="1">
        <v>0.128</v>
      </c>
      <c r="AA90" s="1">
        <v>2.7</v>
      </c>
      <c r="AB90" s="1">
        <v>2.9</v>
      </c>
      <c r="AC90" s="1">
        <v>2.7</v>
      </c>
      <c r="AD90" s="1">
        <v>1.7470000000000001</v>
      </c>
      <c r="AE90" s="1">
        <v>0.128</v>
      </c>
      <c r="AF90" s="1">
        <v>0.224</v>
      </c>
      <c r="AG90" s="1">
        <v>2.7</v>
      </c>
      <c r="AI90" s="1">
        <v>0</v>
      </c>
      <c r="AJ90" s="1">
        <v>0</v>
      </c>
      <c r="AK90" s="1">
        <v>0</v>
      </c>
      <c r="AL90" s="1">
        <v>1</v>
      </c>
      <c r="AM90" s="1">
        <v>86400</v>
      </c>
      <c r="AN90" s="1">
        <v>78394</v>
      </c>
      <c r="AO90" s="1">
        <v>8006</v>
      </c>
      <c r="AP90" s="1">
        <v>43470</v>
      </c>
      <c r="AQ90" s="1">
        <v>15.60055264735368</v>
      </c>
    </row>
    <row r="91" spans="1:43" x14ac:dyDescent="0.45">
      <c r="A91" s="1">
        <v>90</v>
      </c>
      <c r="B91" s="1">
        <v>425</v>
      </c>
      <c r="C91" s="1">
        <v>24</v>
      </c>
      <c r="D91" s="1" t="s">
        <v>73</v>
      </c>
      <c r="E91" s="1" t="s">
        <v>74</v>
      </c>
      <c r="F91" s="1" t="s">
        <v>75</v>
      </c>
      <c r="G91" s="1" t="s">
        <v>46</v>
      </c>
      <c r="H91" s="1" t="s">
        <v>47</v>
      </c>
      <c r="I91" s="1">
        <v>586</v>
      </c>
      <c r="J91" s="1">
        <v>18129</v>
      </c>
      <c r="K91" s="1">
        <v>1</v>
      </c>
      <c r="L91" s="1">
        <v>23</v>
      </c>
      <c r="M91" s="1">
        <v>1265</v>
      </c>
      <c r="N91" s="1" t="s">
        <v>48</v>
      </c>
      <c r="O91" s="1">
        <v>183771</v>
      </c>
      <c r="P91" s="1">
        <v>89</v>
      </c>
      <c r="Q91" s="1" t="s">
        <v>96</v>
      </c>
      <c r="R91" s="1" t="s">
        <v>50</v>
      </c>
      <c r="S91" s="1">
        <v>0</v>
      </c>
      <c r="T91" s="1">
        <v>0</v>
      </c>
      <c r="U91" s="1">
        <v>106.956</v>
      </c>
      <c r="V91" s="1">
        <v>27.111999999999998</v>
      </c>
      <c r="W91" s="1">
        <v>0.53</v>
      </c>
      <c r="X91" s="1">
        <v>0.16300000000000001</v>
      </c>
      <c r="Y91" s="1">
        <v>27.274999999999999</v>
      </c>
      <c r="Z91" s="1">
        <v>0.17699999999999999</v>
      </c>
      <c r="AA91" s="1">
        <v>-1.1000000000000001</v>
      </c>
      <c r="AB91" s="1">
        <v>-1.1000000000000001</v>
      </c>
      <c r="AC91" s="1">
        <v>-1.1000000000000001</v>
      </c>
      <c r="AD91" s="1">
        <v>0.16300000000000001</v>
      </c>
      <c r="AE91" s="1">
        <v>0.17699999999999999</v>
      </c>
      <c r="AF91" s="1">
        <v>2.9000000000000001E-2</v>
      </c>
      <c r="AG91" s="1">
        <v>-1.1000000000000001</v>
      </c>
      <c r="AI91" s="1">
        <v>0</v>
      </c>
      <c r="AJ91" s="1">
        <v>0</v>
      </c>
      <c r="AK91" s="1">
        <v>0</v>
      </c>
      <c r="AL91" s="1">
        <v>1</v>
      </c>
      <c r="AM91" s="1">
        <v>86400</v>
      </c>
      <c r="AN91" s="1">
        <v>78210</v>
      </c>
      <c r="AO91" s="1">
        <v>8190</v>
      </c>
      <c r="AP91" s="1">
        <v>43832</v>
      </c>
      <c r="AQ91" s="1">
        <v>5.9693195119678606</v>
      </c>
    </row>
    <row r="92" spans="1:43" x14ac:dyDescent="0.45">
      <c r="A92" s="1">
        <v>91</v>
      </c>
      <c r="B92" s="1">
        <v>431</v>
      </c>
      <c r="C92" s="1">
        <v>91</v>
      </c>
      <c r="D92" s="1" t="s">
        <v>79</v>
      </c>
      <c r="E92" s="1" t="s">
        <v>80</v>
      </c>
      <c r="F92" s="1" t="s">
        <v>81</v>
      </c>
      <c r="G92" s="1" t="s">
        <v>54</v>
      </c>
      <c r="H92" s="1" t="s">
        <v>47</v>
      </c>
      <c r="I92" s="1">
        <v>764</v>
      </c>
      <c r="J92" s="1">
        <v>21102</v>
      </c>
      <c r="K92" s="1">
        <v>1</v>
      </c>
      <c r="L92" s="1">
        <v>90</v>
      </c>
      <c r="M92" s="1">
        <v>1272</v>
      </c>
      <c r="N92" s="1" t="s">
        <v>48</v>
      </c>
      <c r="O92" s="1">
        <v>184863</v>
      </c>
      <c r="P92" s="1">
        <v>89</v>
      </c>
      <c r="Q92" s="1" t="s">
        <v>96</v>
      </c>
      <c r="R92" s="1" t="s">
        <v>50</v>
      </c>
      <c r="S92" s="1">
        <v>0</v>
      </c>
      <c r="T92" s="1">
        <v>0</v>
      </c>
      <c r="U92" s="1">
        <v>325.68799999999999</v>
      </c>
      <c r="V92" s="1">
        <v>24.777999999999999</v>
      </c>
      <c r="W92" s="1">
        <v>0.53</v>
      </c>
      <c r="X92" s="1">
        <v>0.156</v>
      </c>
      <c r="Y92" s="1">
        <v>24.934000000000001</v>
      </c>
      <c r="Z92" s="1">
        <v>8.3000000000000004E-2</v>
      </c>
      <c r="AA92" s="1">
        <v>1.5</v>
      </c>
      <c r="AB92" s="1">
        <v>1.5</v>
      </c>
      <c r="AC92" s="1">
        <v>1.5</v>
      </c>
      <c r="AD92" s="1">
        <v>0.156</v>
      </c>
      <c r="AE92" s="1">
        <v>8.3000000000000004E-2</v>
      </c>
      <c r="AF92" s="1">
        <v>1.2999999999999999E-2</v>
      </c>
      <c r="AG92" s="1">
        <v>1.5</v>
      </c>
      <c r="AI92" s="1">
        <v>0</v>
      </c>
      <c r="AJ92" s="1">
        <v>0</v>
      </c>
      <c r="AK92" s="1">
        <v>0</v>
      </c>
      <c r="AL92" s="1">
        <v>1</v>
      </c>
      <c r="AM92" s="1">
        <v>86400</v>
      </c>
      <c r="AN92" s="1">
        <v>79918</v>
      </c>
      <c r="AO92" s="1">
        <v>6482</v>
      </c>
      <c r="AP92" s="1">
        <v>46976</v>
      </c>
      <c r="AQ92" s="1">
        <v>1.7066617168632481</v>
      </c>
    </row>
    <row r="93" spans="1:43" x14ac:dyDescent="0.45">
      <c r="A93" s="1">
        <v>92</v>
      </c>
      <c r="B93" s="1">
        <v>439</v>
      </c>
      <c r="C93" s="1">
        <v>94</v>
      </c>
      <c r="D93" s="1" t="s">
        <v>82</v>
      </c>
      <c r="E93" s="1" t="s">
        <v>83</v>
      </c>
      <c r="F93" s="1" t="s">
        <v>84</v>
      </c>
      <c r="G93" s="1" t="s">
        <v>46</v>
      </c>
      <c r="H93" s="1" t="s">
        <v>47</v>
      </c>
      <c r="I93" s="1">
        <v>490</v>
      </c>
      <c r="J93" s="1">
        <v>12595</v>
      </c>
      <c r="K93" s="1">
        <v>1</v>
      </c>
      <c r="L93" s="1">
        <v>93</v>
      </c>
      <c r="M93" s="1">
        <v>1278</v>
      </c>
      <c r="N93" s="1" t="s">
        <v>48</v>
      </c>
      <c r="O93" s="1">
        <v>184940</v>
      </c>
      <c r="P93" s="1">
        <v>89</v>
      </c>
      <c r="Q93" s="1" t="s">
        <v>96</v>
      </c>
      <c r="R93" s="1" t="s">
        <v>50</v>
      </c>
      <c r="S93" s="1">
        <v>0</v>
      </c>
      <c r="T93" s="1">
        <v>0</v>
      </c>
      <c r="U93" s="1">
        <v>261.22399999999999</v>
      </c>
      <c r="V93" s="1">
        <v>23.815999999999999</v>
      </c>
      <c r="W93" s="1">
        <v>0.56999999999999995</v>
      </c>
      <c r="X93" s="1">
        <v>0.42099999999999999</v>
      </c>
      <c r="Y93" s="1">
        <v>24.236999999999998</v>
      </c>
      <c r="Z93" s="1">
        <v>0.26700000000000002</v>
      </c>
      <c r="AA93" s="1">
        <v>-1.9</v>
      </c>
      <c r="AB93" s="1">
        <v>-1.9</v>
      </c>
      <c r="AC93" s="1">
        <v>-1.9</v>
      </c>
      <c r="AD93" s="1">
        <v>0.42099999999999999</v>
      </c>
      <c r="AE93" s="1">
        <v>0.26700000000000002</v>
      </c>
      <c r="AF93" s="1">
        <v>0.112</v>
      </c>
      <c r="AG93" s="1">
        <v>-1.9</v>
      </c>
      <c r="AI93" s="1">
        <v>0</v>
      </c>
      <c r="AJ93" s="1">
        <v>0</v>
      </c>
      <c r="AK93" s="1">
        <v>0</v>
      </c>
      <c r="AL93" s="1">
        <v>1</v>
      </c>
      <c r="AM93" s="1">
        <v>86400</v>
      </c>
      <c r="AN93" s="1">
        <v>80634</v>
      </c>
      <c r="AO93" s="1">
        <v>5766</v>
      </c>
      <c r="AP93" s="1">
        <v>46885</v>
      </c>
      <c r="AQ93" s="1">
        <v>42.510154089918373</v>
      </c>
    </row>
    <row r="94" spans="1:43" x14ac:dyDescent="0.45">
      <c r="A94" s="1">
        <v>93</v>
      </c>
      <c r="B94" s="1">
        <v>439</v>
      </c>
      <c r="C94" s="1">
        <v>94</v>
      </c>
      <c r="D94" s="1" t="s">
        <v>82</v>
      </c>
      <c r="E94" s="1" t="s">
        <v>83</v>
      </c>
      <c r="F94" s="1" t="s">
        <v>84</v>
      </c>
      <c r="G94" s="1" t="s">
        <v>46</v>
      </c>
      <c r="H94" s="1" t="s">
        <v>47</v>
      </c>
      <c r="I94" s="1">
        <v>490</v>
      </c>
      <c r="J94" s="1">
        <v>12595</v>
      </c>
      <c r="K94" s="1">
        <v>1</v>
      </c>
      <c r="L94" s="1">
        <v>93</v>
      </c>
      <c r="M94" s="1">
        <v>1280</v>
      </c>
      <c r="N94" s="1" t="s">
        <v>48</v>
      </c>
      <c r="O94" s="1">
        <v>185010</v>
      </c>
      <c r="P94" s="1">
        <v>89</v>
      </c>
      <c r="Q94" s="1" t="s">
        <v>96</v>
      </c>
      <c r="R94" s="1" t="s">
        <v>50</v>
      </c>
      <c r="S94" s="1">
        <v>0</v>
      </c>
      <c r="T94" s="1">
        <v>0</v>
      </c>
      <c r="U94" s="1">
        <v>53.661000000000001</v>
      </c>
      <c r="V94" s="1">
        <v>23.934999999999999</v>
      </c>
      <c r="W94" s="1">
        <v>0.53</v>
      </c>
      <c r="X94" s="1">
        <v>0.11700000000000001</v>
      </c>
      <c r="Y94" s="1">
        <v>24.052</v>
      </c>
      <c r="Z94" s="1">
        <v>0.95099999999999996</v>
      </c>
      <c r="AA94" s="1">
        <v>-2.9</v>
      </c>
      <c r="AB94" s="1">
        <v>-2.9</v>
      </c>
      <c r="AC94" s="1">
        <v>-2.9</v>
      </c>
      <c r="AD94" s="1">
        <v>0.11700000000000001</v>
      </c>
      <c r="AE94" s="1">
        <v>0.94899999999999995</v>
      </c>
      <c r="AF94" s="1">
        <v>0.111</v>
      </c>
      <c r="AG94" s="1">
        <v>-2.9</v>
      </c>
      <c r="AI94" s="1">
        <v>0</v>
      </c>
      <c r="AJ94" s="1">
        <v>0</v>
      </c>
      <c r="AK94" s="1">
        <v>0</v>
      </c>
      <c r="AL94" s="1">
        <v>1</v>
      </c>
      <c r="AM94" s="1">
        <v>83086</v>
      </c>
      <c r="AN94" s="1">
        <v>68590</v>
      </c>
      <c r="AO94" s="1">
        <v>14493</v>
      </c>
      <c r="AP94" s="1">
        <v>47370</v>
      </c>
      <c r="AQ94" s="1">
        <v>12.012680811710871</v>
      </c>
    </row>
    <row r="95" spans="1:43" x14ac:dyDescent="0.45">
      <c r="A95" s="1">
        <v>94</v>
      </c>
      <c r="B95" s="1">
        <v>439</v>
      </c>
      <c r="C95" s="1">
        <v>94</v>
      </c>
      <c r="D95" s="1" t="s">
        <v>82</v>
      </c>
      <c r="E95" s="1" t="s">
        <v>83</v>
      </c>
      <c r="F95" s="1" t="s">
        <v>84</v>
      </c>
      <c r="G95" s="1" t="s">
        <v>46</v>
      </c>
      <c r="H95" s="1" t="s">
        <v>47</v>
      </c>
      <c r="I95" s="1">
        <v>490</v>
      </c>
      <c r="J95" s="1">
        <v>12595</v>
      </c>
      <c r="K95" s="1">
        <v>1</v>
      </c>
      <c r="L95" s="1">
        <v>93</v>
      </c>
      <c r="M95" s="1">
        <v>1281</v>
      </c>
      <c r="N95" s="1" t="s">
        <v>48</v>
      </c>
      <c r="O95" s="1">
        <v>185014</v>
      </c>
      <c r="P95" s="1">
        <v>89</v>
      </c>
      <c r="Q95" s="1" t="s">
        <v>96</v>
      </c>
      <c r="R95" s="1" t="s">
        <v>50</v>
      </c>
      <c r="S95" s="1">
        <v>0</v>
      </c>
      <c r="T95" s="1">
        <v>0</v>
      </c>
      <c r="U95" s="1">
        <v>475.46899999999999</v>
      </c>
      <c r="V95" s="1">
        <v>23.841000000000001</v>
      </c>
      <c r="W95" s="1">
        <v>0.53</v>
      </c>
      <c r="X95" s="1">
        <v>0.17899999999999999</v>
      </c>
      <c r="Y95" s="1">
        <v>24.018999999999998</v>
      </c>
      <c r="Z95" s="1">
        <v>0.22600000000000001</v>
      </c>
      <c r="AA95" s="1">
        <v>-2.6</v>
      </c>
      <c r="AB95" s="1">
        <v>-2.6</v>
      </c>
      <c r="AC95" s="1">
        <v>-2.6</v>
      </c>
      <c r="AD95" s="1">
        <v>0.17899999999999999</v>
      </c>
      <c r="AE95" s="1">
        <v>0.22600000000000001</v>
      </c>
      <c r="AF95" s="1">
        <v>0.04</v>
      </c>
      <c r="AG95" s="1">
        <v>-2.6</v>
      </c>
      <c r="AI95" s="1">
        <v>0</v>
      </c>
      <c r="AJ95" s="1">
        <v>0</v>
      </c>
      <c r="AK95" s="1">
        <v>0</v>
      </c>
      <c r="AL95" s="1">
        <v>1</v>
      </c>
      <c r="AM95" s="1">
        <v>86400</v>
      </c>
      <c r="AN95" s="1">
        <v>78118</v>
      </c>
      <c r="AO95" s="1">
        <v>8282</v>
      </c>
      <c r="AP95" s="1">
        <v>44433</v>
      </c>
      <c r="AQ95" s="1">
        <v>45.30645802650001</v>
      </c>
    </row>
    <row r="96" spans="1:43" x14ac:dyDescent="0.45">
      <c r="A96" s="1">
        <v>95</v>
      </c>
      <c r="B96" s="1">
        <v>439</v>
      </c>
      <c r="C96" s="1">
        <v>94</v>
      </c>
      <c r="D96" s="1" t="s">
        <v>82</v>
      </c>
      <c r="E96" s="1" t="s">
        <v>83</v>
      </c>
      <c r="F96" s="1" t="s">
        <v>84</v>
      </c>
      <c r="G96" s="1" t="s">
        <v>46</v>
      </c>
      <c r="H96" s="1" t="s">
        <v>47</v>
      </c>
      <c r="I96" s="1">
        <v>490</v>
      </c>
      <c r="J96" s="1">
        <v>12595</v>
      </c>
      <c r="K96" s="1">
        <v>1</v>
      </c>
      <c r="L96" s="1">
        <v>93</v>
      </c>
      <c r="M96" s="1">
        <v>1283</v>
      </c>
      <c r="N96" s="1" t="s">
        <v>48</v>
      </c>
      <c r="O96" s="1">
        <v>185061</v>
      </c>
      <c r="P96" s="1">
        <v>89</v>
      </c>
      <c r="Q96" s="1" t="s">
        <v>96</v>
      </c>
      <c r="R96" s="1" t="s">
        <v>50</v>
      </c>
      <c r="S96" s="1">
        <v>0</v>
      </c>
      <c r="T96" s="1">
        <v>0</v>
      </c>
      <c r="U96" s="1">
        <v>504.226</v>
      </c>
      <c r="V96" s="1">
        <v>23.829000000000001</v>
      </c>
      <c r="W96" s="1">
        <v>0.53</v>
      </c>
      <c r="X96" s="1">
        <v>0.188</v>
      </c>
      <c r="Y96" s="1">
        <v>24.016999999999999</v>
      </c>
      <c r="Z96" s="1">
        <v>0.27800000000000002</v>
      </c>
      <c r="AA96" s="1">
        <v>-2.8</v>
      </c>
      <c r="AB96" s="1">
        <v>-2.8</v>
      </c>
      <c r="AC96" s="1">
        <v>-2.8</v>
      </c>
      <c r="AD96" s="1">
        <v>0.188</v>
      </c>
      <c r="AE96" s="1">
        <v>0.27700000000000002</v>
      </c>
      <c r="AF96" s="1">
        <v>5.1999999999999998E-2</v>
      </c>
      <c r="AG96" s="1">
        <v>-2.8</v>
      </c>
      <c r="AI96" s="1">
        <v>0</v>
      </c>
      <c r="AJ96" s="1">
        <v>0</v>
      </c>
      <c r="AK96" s="1">
        <v>0</v>
      </c>
      <c r="AL96" s="1">
        <v>1</v>
      </c>
      <c r="AM96" s="1">
        <v>86400</v>
      </c>
      <c r="AN96" s="1">
        <v>78617</v>
      </c>
      <c r="AO96" s="1">
        <v>7783</v>
      </c>
      <c r="AP96" s="1">
        <v>46925</v>
      </c>
      <c r="AQ96" s="1">
        <v>0.85267399366333962</v>
      </c>
    </row>
    <row r="97" spans="1:43" x14ac:dyDescent="0.45">
      <c r="A97" s="1">
        <v>96</v>
      </c>
      <c r="B97" s="1">
        <v>439</v>
      </c>
      <c r="C97" s="1">
        <v>94</v>
      </c>
      <c r="D97" s="1" t="s">
        <v>82</v>
      </c>
      <c r="E97" s="1" t="s">
        <v>83</v>
      </c>
      <c r="F97" s="1" t="s">
        <v>84</v>
      </c>
      <c r="G97" s="1" t="s">
        <v>46</v>
      </c>
      <c r="H97" s="1" t="s">
        <v>47</v>
      </c>
      <c r="I97" s="1">
        <v>490</v>
      </c>
      <c r="J97" s="1">
        <v>12595</v>
      </c>
      <c r="K97" s="1">
        <v>1</v>
      </c>
      <c r="L97" s="1">
        <v>93</v>
      </c>
      <c r="M97" s="1">
        <v>1284</v>
      </c>
      <c r="N97" s="1" t="s">
        <v>48</v>
      </c>
      <c r="O97" s="1">
        <v>185062</v>
      </c>
      <c r="P97" s="1">
        <v>89</v>
      </c>
      <c r="Q97" s="1" t="s">
        <v>96</v>
      </c>
      <c r="R97" s="1" t="s">
        <v>50</v>
      </c>
      <c r="S97" s="1">
        <v>0</v>
      </c>
      <c r="T97" s="1">
        <v>0</v>
      </c>
      <c r="U97" s="1">
        <v>817.89</v>
      </c>
      <c r="V97" s="1">
        <v>23.803000000000001</v>
      </c>
      <c r="W97" s="1">
        <v>0.54</v>
      </c>
      <c r="X97" s="1">
        <v>0.215</v>
      </c>
      <c r="Y97" s="1">
        <v>24.018000000000001</v>
      </c>
      <c r="Z97" s="1">
        <v>0.29199999999999998</v>
      </c>
      <c r="AA97" s="1">
        <v>-3</v>
      </c>
      <c r="AB97" s="1">
        <v>-3</v>
      </c>
      <c r="AC97" s="1">
        <v>-3</v>
      </c>
      <c r="AD97" s="1">
        <v>0.215</v>
      </c>
      <c r="AE97" s="1">
        <v>0.29199999999999998</v>
      </c>
      <c r="AF97" s="1">
        <v>6.3E-2</v>
      </c>
      <c r="AG97" s="1">
        <v>-3</v>
      </c>
      <c r="AI97" s="1">
        <v>0</v>
      </c>
      <c r="AJ97" s="1">
        <v>0</v>
      </c>
      <c r="AK97" s="1">
        <v>0</v>
      </c>
      <c r="AL97" s="1">
        <v>1</v>
      </c>
      <c r="AM97" s="1">
        <v>86400</v>
      </c>
      <c r="AN97" s="1">
        <v>80139</v>
      </c>
      <c r="AO97" s="1">
        <v>6261</v>
      </c>
      <c r="AP97" s="1">
        <v>46805</v>
      </c>
      <c r="AQ97" s="1">
        <v>1.100552351128296</v>
      </c>
    </row>
    <row r="98" spans="1:43" x14ac:dyDescent="0.45">
      <c r="A98" s="1">
        <v>97</v>
      </c>
      <c r="B98" s="1">
        <v>439</v>
      </c>
      <c r="C98" s="1">
        <v>94</v>
      </c>
      <c r="D98" s="1" t="s">
        <v>82</v>
      </c>
      <c r="E98" s="1" t="s">
        <v>83</v>
      </c>
      <c r="F98" s="1" t="s">
        <v>84</v>
      </c>
      <c r="G98" s="1" t="s">
        <v>46</v>
      </c>
      <c r="H98" s="1" t="s">
        <v>47</v>
      </c>
      <c r="I98" s="1">
        <v>490</v>
      </c>
      <c r="J98" s="1">
        <v>12595</v>
      </c>
      <c r="K98" s="1">
        <v>1</v>
      </c>
      <c r="L98" s="1">
        <v>93</v>
      </c>
      <c r="M98" s="1">
        <v>1285</v>
      </c>
      <c r="N98" s="1" t="s">
        <v>48</v>
      </c>
      <c r="O98" s="1">
        <v>185063</v>
      </c>
      <c r="P98" s="1">
        <v>89</v>
      </c>
      <c r="Q98" s="1" t="s">
        <v>96</v>
      </c>
      <c r="R98" s="1" t="s">
        <v>50</v>
      </c>
      <c r="S98" s="1">
        <v>0</v>
      </c>
      <c r="T98" s="1">
        <v>0</v>
      </c>
      <c r="U98" s="1">
        <v>330.41199999999998</v>
      </c>
      <c r="V98" s="1">
        <v>23.858000000000001</v>
      </c>
      <c r="W98" s="1">
        <v>0.53</v>
      </c>
      <c r="X98" s="1">
        <v>0.161</v>
      </c>
      <c r="Y98" s="1">
        <v>24.018999999999998</v>
      </c>
      <c r="Z98" s="1">
        <v>0.35699999999999998</v>
      </c>
      <c r="AA98" s="1">
        <v>-3</v>
      </c>
      <c r="AB98" s="1">
        <v>-3</v>
      </c>
      <c r="AC98" s="1">
        <v>-3</v>
      </c>
      <c r="AD98" s="1">
        <v>0.161</v>
      </c>
      <c r="AE98" s="1">
        <v>0.35699999999999998</v>
      </c>
      <c r="AF98" s="1">
        <v>5.8000000000000003E-2</v>
      </c>
      <c r="AG98" s="1">
        <v>-3</v>
      </c>
      <c r="AI98" s="1">
        <v>0</v>
      </c>
      <c r="AJ98" s="1">
        <v>0</v>
      </c>
      <c r="AK98" s="1">
        <v>0</v>
      </c>
      <c r="AL98" s="1">
        <v>1</v>
      </c>
      <c r="AM98" s="1">
        <v>86400</v>
      </c>
      <c r="AN98" s="1">
        <v>77300</v>
      </c>
      <c r="AO98" s="1">
        <v>9100</v>
      </c>
      <c r="AP98" s="1">
        <v>46927</v>
      </c>
      <c r="AQ98" s="1">
        <v>25.41992129785066</v>
      </c>
    </row>
    <row r="99" spans="1:43" x14ac:dyDescent="0.45">
      <c r="A99" s="1">
        <v>98</v>
      </c>
      <c r="B99" s="1">
        <v>439</v>
      </c>
      <c r="C99" s="1">
        <v>94</v>
      </c>
      <c r="D99" s="1" t="s">
        <v>82</v>
      </c>
      <c r="E99" s="1" t="s">
        <v>83</v>
      </c>
      <c r="F99" s="1" t="s">
        <v>84</v>
      </c>
      <c r="G99" s="1" t="s">
        <v>46</v>
      </c>
      <c r="H99" s="1" t="s">
        <v>47</v>
      </c>
      <c r="I99" s="1">
        <v>490</v>
      </c>
      <c r="J99" s="1">
        <v>12595</v>
      </c>
      <c r="K99" s="1">
        <v>1</v>
      </c>
      <c r="L99" s="1">
        <v>93</v>
      </c>
      <c r="M99" s="1">
        <v>1286</v>
      </c>
      <c r="N99" s="1" t="s">
        <v>48</v>
      </c>
      <c r="O99" s="1">
        <v>185064</v>
      </c>
      <c r="P99" s="1">
        <v>89</v>
      </c>
      <c r="Q99" s="1" t="s">
        <v>96</v>
      </c>
      <c r="R99" s="1" t="s">
        <v>50</v>
      </c>
      <c r="S99" s="1">
        <v>0</v>
      </c>
      <c r="T99" s="1">
        <v>0</v>
      </c>
      <c r="U99" s="1">
        <v>177.54</v>
      </c>
      <c r="V99" s="1">
        <v>23.756</v>
      </c>
      <c r="W99" s="1">
        <v>0.55000000000000004</v>
      </c>
      <c r="X99" s="1">
        <v>0.255</v>
      </c>
      <c r="Y99" s="1">
        <v>24.01</v>
      </c>
      <c r="Z99" s="1">
        <v>0.55300000000000005</v>
      </c>
      <c r="AA99" s="1">
        <v>-2.9</v>
      </c>
      <c r="AB99" s="1">
        <v>-2.9</v>
      </c>
      <c r="AC99" s="1">
        <v>-2.9</v>
      </c>
      <c r="AD99" s="1">
        <v>0.255</v>
      </c>
      <c r="AE99" s="1">
        <v>0.55300000000000005</v>
      </c>
      <c r="AF99" s="1">
        <v>0.14099999999999999</v>
      </c>
      <c r="AG99" s="1">
        <v>-2.9</v>
      </c>
      <c r="AI99" s="1">
        <v>0</v>
      </c>
      <c r="AJ99" s="1">
        <v>0</v>
      </c>
      <c r="AK99" s="1">
        <v>0</v>
      </c>
      <c r="AL99" s="1">
        <v>1</v>
      </c>
      <c r="AM99" s="1">
        <v>86400</v>
      </c>
      <c r="AN99" s="1">
        <v>80287</v>
      </c>
      <c r="AO99" s="1">
        <v>6113</v>
      </c>
      <c r="AP99" s="1">
        <v>47305</v>
      </c>
      <c r="AQ99" s="1">
        <v>1.259733542848309</v>
      </c>
    </row>
    <row r="100" spans="1:43" x14ac:dyDescent="0.45">
      <c r="A100" s="1">
        <v>99</v>
      </c>
      <c r="B100" s="1">
        <v>439</v>
      </c>
      <c r="C100" s="1">
        <v>94</v>
      </c>
      <c r="D100" s="1" t="s">
        <v>82</v>
      </c>
      <c r="E100" s="1" t="s">
        <v>83</v>
      </c>
      <c r="F100" s="1" t="s">
        <v>84</v>
      </c>
      <c r="G100" s="1" t="s">
        <v>46</v>
      </c>
      <c r="H100" s="1" t="s">
        <v>47</v>
      </c>
      <c r="I100" s="1">
        <v>490</v>
      </c>
      <c r="J100" s="1">
        <v>12595</v>
      </c>
      <c r="K100" s="1">
        <v>1</v>
      </c>
      <c r="L100" s="1">
        <v>93</v>
      </c>
      <c r="M100" s="1">
        <v>1288</v>
      </c>
      <c r="N100" s="1" t="s">
        <v>48</v>
      </c>
      <c r="O100" s="1">
        <v>185078</v>
      </c>
      <c r="P100" s="1">
        <v>89</v>
      </c>
      <c r="Q100" s="1" t="s">
        <v>96</v>
      </c>
      <c r="R100" s="1" t="s">
        <v>50</v>
      </c>
      <c r="S100" s="1">
        <v>0</v>
      </c>
      <c r="T100" s="1">
        <v>0</v>
      </c>
      <c r="U100" s="1">
        <v>88.46</v>
      </c>
      <c r="V100" s="1">
        <v>24.093</v>
      </c>
      <c r="W100" s="1">
        <v>0.53</v>
      </c>
      <c r="X100" s="1">
        <v>0.13200000000000001</v>
      </c>
      <c r="Y100" s="1">
        <v>24.225000000000001</v>
      </c>
      <c r="Z100" s="1">
        <v>0.85199999999999998</v>
      </c>
      <c r="AA100" s="1">
        <v>-3</v>
      </c>
      <c r="AB100" s="1">
        <v>-3</v>
      </c>
      <c r="AC100" s="1">
        <v>-3</v>
      </c>
      <c r="AD100" s="1">
        <v>0.13200000000000001</v>
      </c>
      <c r="AE100" s="1">
        <v>0.85099999999999998</v>
      </c>
      <c r="AF100" s="1">
        <v>0.112</v>
      </c>
      <c r="AG100" s="1">
        <v>-3</v>
      </c>
      <c r="AI100" s="1">
        <v>0</v>
      </c>
      <c r="AJ100" s="1">
        <v>0</v>
      </c>
      <c r="AK100" s="1">
        <v>0</v>
      </c>
      <c r="AL100" s="1">
        <v>1</v>
      </c>
      <c r="AM100" s="1">
        <v>64946</v>
      </c>
      <c r="AN100" s="1">
        <v>34498</v>
      </c>
      <c r="AO100" s="1">
        <v>29919</v>
      </c>
      <c r="AP100" s="1">
        <v>47046</v>
      </c>
      <c r="AQ100" s="1">
        <v>13.972522456240981</v>
      </c>
    </row>
    <row r="101" spans="1:43" x14ac:dyDescent="0.45">
      <c r="A101" s="1">
        <v>100</v>
      </c>
      <c r="B101" s="1">
        <v>439</v>
      </c>
      <c r="C101" s="1">
        <v>94</v>
      </c>
      <c r="D101" s="1" t="s">
        <v>82</v>
      </c>
      <c r="E101" s="1" t="s">
        <v>83</v>
      </c>
      <c r="F101" s="1" t="s">
        <v>84</v>
      </c>
      <c r="G101" s="1" t="s">
        <v>46</v>
      </c>
      <c r="H101" s="1" t="s">
        <v>47</v>
      </c>
      <c r="I101" s="1">
        <v>490</v>
      </c>
      <c r="J101" s="1">
        <v>12595</v>
      </c>
      <c r="K101" s="1">
        <v>1</v>
      </c>
      <c r="L101" s="1">
        <v>93</v>
      </c>
      <c r="M101" s="1">
        <v>1289</v>
      </c>
      <c r="N101" s="1" t="s">
        <v>48</v>
      </c>
      <c r="O101" s="1">
        <v>185085</v>
      </c>
      <c r="P101" s="1">
        <v>89</v>
      </c>
      <c r="Q101" s="1" t="s">
        <v>96</v>
      </c>
      <c r="R101" s="1" t="s">
        <v>50</v>
      </c>
      <c r="S101" s="1">
        <v>0</v>
      </c>
      <c r="T101" s="1">
        <v>0</v>
      </c>
      <c r="U101" s="1">
        <v>144.268</v>
      </c>
      <c r="V101" s="1">
        <v>24.087</v>
      </c>
      <c r="W101" s="1">
        <v>0.53</v>
      </c>
      <c r="X101" s="1">
        <v>0.151</v>
      </c>
      <c r="Y101" s="1">
        <v>24.238</v>
      </c>
      <c r="Z101" s="1">
        <v>0.19</v>
      </c>
      <c r="AA101" s="1">
        <v>-0.7</v>
      </c>
      <c r="AB101" s="1">
        <v>-0.8</v>
      </c>
      <c r="AC101" s="1">
        <v>-0.8</v>
      </c>
      <c r="AD101" s="1">
        <v>0.151</v>
      </c>
      <c r="AE101" s="1">
        <v>0.17699999999999999</v>
      </c>
      <c r="AF101" s="1">
        <v>2.7E-2</v>
      </c>
      <c r="AG101" s="1">
        <v>-0.7</v>
      </c>
      <c r="AI101" s="1">
        <v>0</v>
      </c>
      <c r="AJ101" s="1">
        <v>0</v>
      </c>
      <c r="AK101" s="1">
        <v>0</v>
      </c>
      <c r="AL101" s="1">
        <v>1</v>
      </c>
      <c r="AM101" s="1">
        <v>86400</v>
      </c>
      <c r="AN101" s="1">
        <v>75554</v>
      </c>
      <c r="AO101" s="1">
        <v>10846</v>
      </c>
      <c r="AP101" s="1">
        <v>47091</v>
      </c>
      <c r="AQ101" s="1">
        <v>20.343411932456</v>
      </c>
    </row>
    <row r="102" spans="1:43" x14ac:dyDescent="0.45">
      <c r="A102" s="1">
        <v>101</v>
      </c>
      <c r="B102" s="1">
        <v>439</v>
      </c>
      <c r="C102" s="1">
        <v>94</v>
      </c>
      <c r="D102" s="1" t="s">
        <v>82</v>
      </c>
      <c r="E102" s="1" t="s">
        <v>83</v>
      </c>
      <c r="F102" s="1" t="s">
        <v>84</v>
      </c>
      <c r="G102" s="1" t="s">
        <v>46</v>
      </c>
      <c r="H102" s="1" t="s">
        <v>47</v>
      </c>
      <c r="I102" s="1">
        <v>490</v>
      </c>
      <c r="J102" s="1">
        <v>12595</v>
      </c>
      <c r="K102" s="1">
        <v>1</v>
      </c>
      <c r="L102" s="1">
        <v>93</v>
      </c>
      <c r="M102" s="1">
        <v>1290</v>
      </c>
      <c r="N102" s="1" t="s">
        <v>48</v>
      </c>
      <c r="O102" s="1">
        <v>185086</v>
      </c>
      <c r="P102" s="1">
        <v>89</v>
      </c>
      <c r="Q102" s="1" t="s">
        <v>96</v>
      </c>
      <c r="R102" s="1" t="s">
        <v>50</v>
      </c>
      <c r="S102" s="1">
        <v>0</v>
      </c>
      <c r="T102" s="1">
        <v>0</v>
      </c>
      <c r="U102" s="1">
        <v>153.83099999999999</v>
      </c>
      <c r="V102" s="1">
        <v>24.013000000000002</v>
      </c>
      <c r="W102" s="1">
        <v>0.54</v>
      </c>
      <c r="X102" s="1">
        <v>0.223</v>
      </c>
      <c r="Y102" s="1">
        <v>24.236999999999998</v>
      </c>
      <c r="Z102" s="1">
        <v>0.109</v>
      </c>
      <c r="AA102" s="1">
        <v>-1.5</v>
      </c>
      <c r="AB102" s="1">
        <v>-1.5</v>
      </c>
      <c r="AC102" s="1">
        <v>-1.5</v>
      </c>
      <c r="AD102" s="1">
        <v>0.223</v>
      </c>
      <c r="AE102" s="1">
        <v>0.109</v>
      </c>
      <c r="AF102" s="1">
        <v>2.4E-2</v>
      </c>
      <c r="AG102" s="1">
        <v>-1.5</v>
      </c>
      <c r="AI102" s="1">
        <v>0</v>
      </c>
      <c r="AJ102" s="1">
        <v>0</v>
      </c>
      <c r="AK102" s="1">
        <v>0</v>
      </c>
      <c r="AL102" s="1">
        <v>1</v>
      </c>
      <c r="AM102" s="1">
        <v>86400</v>
      </c>
      <c r="AN102" s="1">
        <v>77638</v>
      </c>
      <c r="AO102" s="1">
        <v>8762</v>
      </c>
      <c r="AP102" s="1">
        <v>46996</v>
      </c>
      <c r="AQ102" s="1">
        <v>1.639109390592568</v>
      </c>
    </row>
    <row r="103" spans="1:43" x14ac:dyDescent="0.45">
      <c r="A103" s="1">
        <v>102</v>
      </c>
      <c r="B103" s="1">
        <v>446</v>
      </c>
      <c r="C103" s="1">
        <v>97</v>
      </c>
      <c r="D103" s="1" t="s">
        <v>85</v>
      </c>
      <c r="E103" s="1" t="s">
        <v>86</v>
      </c>
      <c r="F103" s="1" t="s">
        <v>87</v>
      </c>
      <c r="G103" s="1" t="s">
        <v>46</v>
      </c>
      <c r="H103" s="1" t="s">
        <v>47</v>
      </c>
      <c r="I103" s="1">
        <v>1089</v>
      </c>
      <c r="J103" s="1">
        <v>26566</v>
      </c>
      <c r="K103" s="1">
        <v>1</v>
      </c>
      <c r="L103" s="1">
        <v>96</v>
      </c>
      <c r="M103" s="1">
        <v>1272</v>
      </c>
      <c r="N103" s="1" t="s">
        <v>48</v>
      </c>
      <c r="O103" s="1">
        <v>184863</v>
      </c>
      <c r="P103" s="1">
        <v>89</v>
      </c>
      <c r="Q103" s="1" t="s">
        <v>96</v>
      </c>
      <c r="R103" s="1" t="s">
        <v>50</v>
      </c>
      <c r="S103" s="1">
        <v>0</v>
      </c>
      <c r="T103" s="1">
        <v>0</v>
      </c>
      <c r="U103" s="1">
        <v>325.68799999999999</v>
      </c>
      <c r="V103" s="1">
        <v>24.777999999999999</v>
      </c>
      <c r="W103" s="1">
        <v>0.53</v>
      </c>
      <c r="X103" s="1">
        <v>0.156</v>
      </c>
      <c r="Y103" s="1">
        <v>24.934000000000001</v>
      </c>
      <c r="Z103" s="1">
        <v>8.3000000000000004E-2</v>
      </c>
      <c r="AA103" s="1">
        <v>1.5</v>
      </c>
      <c r="AB103" s="1">
        <v>1.5</v>
      </c>
      <c r="AC103" s="1">
        <v>1.5</v>
      </c>
      <c r="AD103" s="1">
        <v>0.156</v>
      </c>
      <c r="AE103" s="1">
        <v>8.3000000000000004E-2</v>
      </c>
      <c r="AF103" s="1">
        <v>1.2999999999999999E-2</v>
      </c>
      <c r="AG103" s="1">
        <v>1.5</v>
      </c>
      <c r="AI103" s="1">
        <v>0</v>
      </c>
      <c r="AJ103" s="1">
        <v>0</v>
      </c>
      <c r="AK103" s="1">
        <v>0</v>
      </c>
      <c r="AL103" s="1">
        <v>1</v>
      </c>
      <c r="AM103" s="1">
        <v>86400</v>
      </c>
      <c r="AN103" s="1">
        <v>79918</v>
      </c>
      <c r="AO103" s="1">
        <v>6482</v>
      </c>
      <c r="AP103" s="1">
        <v>46976</v>
      </c>
      <c r="AQ103" s="1">
        <v>15.74861294678051</v>
      </c>
    </row>
    <row r="104" spans="1:43" x14ac:dyDescent="0.45">
      <c r="A104" s="1">
        <v>103</v>
      </c>
      <c r="B104" s="1">
        <v>446</v>
      </c>
      <c r="C104" s="1">
        <v>97</v>
      </c>
      <c r="D104" s="1" t="s">
        <v>85</v>
      </c>
      <c r="E104" s="1" t="s">
        <v>86</v>
      </c>
      <c r="F104" s="1" t="s">
        <v>87</v>
      </c>
      <c r="G104" s="1" t="s">
        <v>46</v>
      </c>
      <c r="H104" s="1" t="s">
        <v>47</v>
      </c>
      <c r="I104" s="1">
        <v>1089</v>
      </c>
      <c r="J104" s="1">
        <v>26566</v>
      </c>
      <c r="K104" s="1">
        <v>1</v>
      </c>
      <c r="L104" s="1">
        <v>96</v>
      </c>
      <c r="M104" s="1">
        <v>1273</v>
      </c>
      <c r="N104" s="1" t="s">
        <v>48</v>
      </c>
      <c r="O104" s="1">
        <v>184866</v>
      </c>
      <c r="P104" s="1">
        <v>89</v>
      </c>
      <c r="Q104" s="1" t="s">
        <v>96</v>
      </c>
      <c r="R104" s="1" t="s">
        <v>50</v>
      </c>
      <c r="S104" s="1">
        <v>0</v>
      </c>
      <c r="T104" s="1">
        <v>0</v>
      </c>
      <c r="U104" s="1">
        <v>867.36900000000003</v>
      </c>
      <c r="V104" s="1">
        <v>24.741</v>
      </c>
      <c r="W104" s="1">
        <v>0.53</v>
      </c>
      <c r="X104" s="1">
        <v>0.19400000000000001</v>
      </c>
      <c r="Y104" s="1">
        <v>24.934999999999999</v>
      </c>
      <c r="Z104" s="1">
        <v>0.123</v>
      </c>
      <c r="AA104" s="1">
        <v>2.8</v>
      </c>
      <c r="AB104" s="1">
        <v>2.8</v>
      </c>
      <c r="AC104" s="1">
        <v>2.8</v>
      </c>
      <c r="AD104" s="1">
        <v>0.19400000000000001</v>
      </c>
      <c r="AE104" s="1">
        <v>0.122</v>
      </c>
      <c r="AF104" s="1">
        <v>2.4E-2</v>
      </c>
      <c r="AG104" s="1">
        <v>2.8</v>
      </c>
      <c r="AI104" s="1">
        <v>0</v>
      </c>
      <c r="AJ104" s="1">
        <v>0</v>
      </c>
      <c r="AK104" s="1">
        <v>0</v>
      </c>
      <c r="AL104" s="1">
        <v>1</v>
      </c>
      <c r="AM104" s="1">
        <v>86400</v>
      </c>
      <c r="AN104" s="1">
        <v>70510</v>
      </c>
      <c r="AO104" s="1">
        <v>15890</v>
      </c>
      <c r="AP104" s="1">
        <v>43723</v>
      </c>
      <c r="AQ104" s="1">
        <v>1.37213259683311</v>
      </c>
    </row>
    <row r="105" spans="1:43" x14ac:dyDescent="0.45">
      <c r="A105" s="1">
        <v>104</v>
      </c>
      <c r="B105" s="1">
        <v>446</v>
      </c>
      <c r="C105" s="1">
        <v>97</v>
      </c>
      <c r="D105" s="1" t="s">
        <v>85</v>
      </c>
      <c r="E105" s="1" t="s">
        <v>86</v>
      </c>
      <c r="F105" s="1" t="s">
        <v>87</v>
      </c>
      <c r="G105" s="1" t="s">
        <v>46</v>
      </c>
      <c r="H105" s="1" t="s">
        <v>47</v>
      </c>
      <c r="I105" s="1">
        <v>1089</v>
      </c>
      <c r="J105" s="1">
        <v>26566</v>
      </c>
      <c r="K105" s="1">
        <v>1</v>
      </c>
      <c r="L105" s="1">
        <v>96</v>
      </c>
      <c r="M105" s="1">
        <v>1274</v>
      </c>
      <c r="N105" s="1" t="s">
        <v>48</v>
      </c>
      <c r="O105" s="1">
        <v>184873</v>
      </c>
      <c r="P105" s="1">
        <v>89</v>
      </c>
      <c r="Q105" s="1" t="s">
        <v>96</v>
      </c>
      <c r="R105" s="1" t="s">
        <v>50</v>
      </c>
      <c r="S105" s="1">
        <v>0</v>
      </c>
      <c r="T105" s="1">
        <v>0</v>
      </c>
      <c r="U105" s="1">
        <v>89.039000000000001</v>
      </c>
      <c r="V105" s="1">
        <v>24.5</v>
      </c>
      <c r="W105" s="1">
        <v>0.56999999999999995</v>
      </c>
      <c r="X105" s="1">
        <v>0.435</v>
      </c>
      <c r="Y105" s="1">
        <v>24.934000000000001</v>
      </c>
      <c r="Z105" s="1">
        <v>3.3000000000000002E-2</v>
      </c>
      <c r="AA105" s="1">
        <v>-0.9</v>
      </c>
      <c r="AB105" s="1">
        <v>-1.7</v>
      </c>
      <c r="AC105" s="1">
        <v>-1.7</v>
      </c>
      <c r="AD105" s="1">
        <v>0.435</v>
      </c>
      <c r="AE105" s="1">
        <v>1.2E-2</v>
      </c>
      <c r="AF105" s="1">
        <v>1.4E-2</v>
      </c>
      <c r="AG105" s="1">
        <v>-0.9</v>
      </c>
      <c r="AI105" s="1">
        <v>0</v>
      </c>
      <c r="AJ105" s="1">
        <v>0</v>
      </c>
      <c r="AK105" s="1">
        <v>0</v>
      </c>
      <c r="AL105" s="1">
        <v>1</v>
      </c>
      <c r="AM105" s="1">
        <v>86400</v>
      </c>
      <c r="AN105" s="1">
        <v>78725</v>
      </c>
      <c r="AO105" s="1">
        <v>7675</v>
      </c>
      <c r="AP105" s="1">
        <v>43584</v>
      </c>
      <c r="AQ105" s="1">
        <v>23.23517241928969</v>
      </c>
    </row>
    <row r="106" spans="1:43" x14ac:dyDescent="0.45">
      <c r="A106" s="1">
        <v>105</v>
      </c>
      <c r="B106" s="1">
        <v>446</v>
      </c>
      <c r="C106" s="1">
        <v>97</v>
      </c>
      <c r="D106" s="1" t="s">
        <v>85</v>
      </c>
      <c r="E106" s="1" t="s">
        <v>86</v>
      </c>
      <c r="F106" s="1" t="s">
        <v>87</v>
      </c>
      <c r="G106" s="1" t="s">
        <v>46</v>
      </c>
      <c r="H106" s="1" t="s">
        <v>47</v>
      </c>
      <c r="I106" s="1">
        <v>1089</v>
      </c>
      <c r="J106" s="1">
        <v>26566</v>
      </c>
      <c r="K106" s="1">
        <v>1</v>
      </c>
      <c r="L106" s="1">
        <v>96</v>
      </c>
      <c r="M106" s="1">
        <v>1275</v>
      </c>
      <c r="N106" s="1" t="s">
        <v>48</v>
      </c>
      <c r="O106" s="1">
        <v>184874</v>
      </c>
      <c r="P106" s="1">
        <v>89</v>
      </c>
      <c r="Q106" s="1" t="s">
        <v>96</v>
      </c>
      <c r="R106" s="1" t="s">
        <v>50</v>
      </c>
      <c r="S106" s="1">
        <v>0</v>
      </c>
      <c r="T106" s="1">
        <v>0</v>
      </c>
      <c r="U106" s="1">
        <v>429.66300000000001</v>
      </c>
      <c r="V106" s="1">
        <v>24.591999999999999</v>
      </c>
      <c r="W106" s="1">
        <v>0.55000000000000004</v>
      </c>
      <c r="X106" s="1">
        <v>0.34200000000000003</v>
      </c>
      <c r="Y106" s="1">
        <v>24.934000000000001</v>
      </c>
      <c r="Z106" s="1">
        <v>0.05</v>
      </c>
      <c r="AA106" s="1">
        <v>-2.6</v>
      </c>
      <c r="AB106" s="1">
        <v>-2.6</v>
      </c>
      <c r="AC106" s="1">
        <v>-2.6</v>
      </c>
      <c r="AD106" s="1">
        <v>0.34200000000000003</v>
      </c>
      <c r="AE106" s="1">
        <v>0.05</v>
      </c>
      <c r="AF106" s="1">
        <v>1.7000000000000001E-2</v>
      </c>
      <c r="AG106" s="1">
        <v>-2.6</v>
      </c>
      <c r="AI106" s="1">
        <v>0</v>
      </c>
      <c r="AJ106" s="1">
        <v>0</v>
      </c>
      <c r="AK106" s="1">
        <v>0</v>
      </c>
      <c r="AL106" s="1">
        <v>1</v>
      </c>
      <c r="AM106" s="1">
        <v>86400</v>
      </c>
      <c r="AN106" s="1">
        <v>76305</v>
      </c>
      <c r="AO106" s="1">
        <v>10095</v>
      </c>
      <c r="AP106" s="1">
        <v>43618</v>
      </c>
      <c r="AQ106" s="1">
        <v>36.228889069663921</v>
      </c>
    </row>
    <row r="107" spans="1:43" x14ac:dyDescent="0.45">
      <c r="A107" s="1">
        <v>106</v>
      </c>
      <c r="B107" s="1">
        <v>446</v>
      </c>
      <c r="C107" s="1">
        <v>97</v>
      </c>
      <c r="D107" s="1" t="s">
        <v>85</v>
      </c>
      <c r="E107" s="1" t="s">
        <v>86</v>
      </c>
      <c r="F107" s="1" t="s">
        <v>87</v>
      </c>
      <c r="G107" s="1" t="s">
        <v>46</v>
      </c>
      <c r="H107" s="1" t="s">
        <v>47</v>
      </c>
      <c r="I107" s="1">
        <v>1089</v>
      </c>
      <c r="J107" s="1">
        <v>26566</v>
      </c>
      <c r="K107" s="1">
        <v>1</v>
      </c>
      <c r="L107" s="1">
        <v>96</v>
      </c>
      <c r="M107" s="1">
        <v>1276</v>
      </c>
      <c r="N107" s="1" t="s">
        <v>48</v>
      </c>
      <c r="O107" s="1">
        <v>184875</v>
      </c>
      <c r="P107" s="1">
        <v>89</v>
      </c>
      <c r="Q107" s="1" t="s">
        <v>96</v>
      </c>
      <c r="R107" s="1" t="s">
        <v>50</v>
      </c>
      <c r="S107" s="1">
        <v>0</v>
      </c>
      <c r="T107" s="1">
        <v>0</v>
      </c>
      <c r="U107" s="1">
        <v>213.364</v>
      </c>
      <c r="V107" s="1">
        <v>24.367999999999999</v>
      </c>
      <c r="W107" s="1">
        <v>0.59</v>
      </c>
      <c r="X107" s="1">
        <v>0.56699999999999995</v>
      </c>
      <c r="Y107" s="1">
        <v>24.934999999999999</v>
      </c>
      <c r="Z107" s="1">
        <v>3.2000000000000001E-2</v>
      </c>
      <c r="AA107" s="1">
        <v>-0.9</v>
      </c>
      <c r="AB107" s="1">
        <v>2.7</v>
      </c>
      <c r="AC107" s="1">
        <v>2.7</v>
      </c>
      <c r="AD107" s="1">
        <v>0.56699999999999995</v>
      </c>
      <c r="AE107" s="1">
        <v>2.5000000000000001E-2</v>
      </c>
      <c r="AF107" s="1">
        <v>1.4E-2</v>
      </c>
      <c r="AG107" s="1">
        <v>-0.9</v>
      </c>
      <c r="AI107" s="1">
        <v>0</v>
      </c>
      <c r="AJ107" s="1">
        <v>0</v>
      </c>
      <c r="AK107" s="1">
        <v>0</v>
      </c>
      <c r="AL107" s="1">
        <v>1</v>
      </c>
      <c r="AM107" s="1">
        <v>86400</v>
      </c>
      <c r="AN107" s="1">
        <v>80758</v>
      </c>
      <c r="AO107" s="1">
        <v>5642</v>
      </c>
      <c r="AP107" s="1">
        <v>44062</v>
      </c>
      <c r="AQ107" s="1">
        <v>2.3289428131713419</v>
      </c>
    </row>
    <row r="108" spans="1:43" x14ac:dyDescent="0.45">
      <c r="A108" s="1">
        <v>107</v>
      </c>
      <c r="B108" s="1">
        <v>446</v>
      </c>
      <c r="C108" s="1">
        <v>97</v>
      </c>
      <c r="D108" s="1" t="s">
        <v>85</v>
      </c>
      <c r="E108" s="1" t="s">
        <v>86</v>
      </c>
      <c r="F108" s="1" t="s">
        <v>87</v>
      </c>
      <c r="G108" s="1" t="s">
        <v>46</v>
      </c>
      <c r="H108" s="1" t="s">
        <v>47</v>
      </c>
      <c r="I108" s="1">
        <v>1089</v>
      </c>
      <c r="J108" s="1">
        <v>26566</v>
      </c>
      <c r="K108" s="1">
        <v>1</v>
      </c>
      <c r="L108" s="1">
        <v>96</v>
      </c>
      <c r="M108" s="1">
        <v>1277</v>
      </c>
      <c r="N108" s="1" t="s">
        <v>48</v>
      </c>
      <c r="O108" s="1">
        <v>184876</v>
      </c>
      <c r="P108" s="1">
        <v>89</v>
      </c>
      <c r="Q108" s="1" t="s">
        <v>96</v>
      </c>
      <c r="R108" s="1" t="s">
        <v>50</v>
      </c>
      <c r="S108" s="1">
        <v>0</v>
      </c>
      <c r="T108" s="1">
        <v>0</v>
      </c>
      <c r="U108" s="1">
        <v>217.46</v>
      </c>
      <c r="V108" s="1">
        <v>24.515000000000001</v>
      </c>
      <c r="W108" s="1">
        <v>0.56999999999999995</v>
      </c>
      <c r="X108" s="1">
        <v>0.41899999999999998</v>
      </c>
      <c r="Y108" s="1">
        <v>24.934000000000001</v>
      </c>
      <c r="Z108" s="1">
        <v>4.1000000000000002E-2</v>
      </c>
      <c r="AA108" s="1">
        <v>0.7</v>
      </c>
      <c r="AB108" s="1">
        <v>0.7</v>
      </c>
      <c r="AC108" s="1">
        <v>0.7</v>
      </c>
      <c r="AD108" s="1">
        <v>0.41899999999999998</v>
      </c>
      <c r="AE108" s="1">
        <v>0.04</v>
      </c>
      <c r="AF108" s="1">
        <v>1.7000000000000001E-2</v>
      </c>
      <c r="AG108" s="1">
        <v>0.7</v>
      </c>
      <c r="AI108" s="1">
        <v>0</v>
      </c>
      <c r="AJ108" s="1">
        <v>0</v>
      </c>
      <c r="AK108" s="1">
        <v>0</v>
      </c>
      <c r="AL108" s="1">
        <v>1</v>
      </c>
      <c r="AM108" s="1">
        <v>86400</v>
      </c>
      <c r="AN108" s="1">
        <v>78328</v>
      </c>
      <c r="AO108" s="1">
        <v>8072</v>
      </c>
      <c r="AP108" s="1">
        <v>46813</v>
      </c>
      <c r="AQ108" s="1">
        <v>19.045530927795099</v>
      </c>
    </row>
    <row r="109" spans="1:43" x14ac:dyDescent="0.45">
      <c r="A109" s="1">
        <v>108</v>
      </c>
      <c r="B109" s="1">
        <v>446</v>
      </c>
      <c r="C109" s="1">
        <v>97</v>
      </c>
      <c r="D109" s="1" t="s">
        <v>85</v>
      </c>
      <c r="E109" s="1" t="s">
        <v>86</v>
      </c>
      <c r="F109" s="1" t="s">
        <v>87</v>
      </c>
      <c r="G109" s="1" t="s">
        <v>46</v>
      </c>
      <c r="H109" s="1" t="s">
        <v>47</v>
      </c>
      <c r="I109" s="1">
        <v>1089</v>
      </c>
      <c r="J109" s="1">
        <v>26566</v>
      </c>
      <c r="K109" s="1">
        <v>1</v>
      </c>
      <c r="L109" s="1">
        <v>96</v>
      </c>
      <c r="M109" s="1">
        <v>1279</v>
      </c>
      <c r="N109" s="1" t="s">
        <v>48</v>
      </c>
      <c r="O109" s="1">
        <v>184955</v>
      </c>
      <c r="P109" s="1">
        <v>89</v>
      </c>
      <c r="Q109" s="1" t="s">
        <v>96</v>
      </c>
      <c r="R109" s="1" t="s">
        <v>50</v>
      </c>
      <c r="S109" s="1">
        <v>0</v>
      </c>
      <c r="T109" s="1">
        <v>0</v>
      </c>
      <c r="U109" s="1">
        <v>142.041</v>
      </c>
      <c r="V109" s="1">
        <v>25.390999999999998</v>
      </c>
      <c r="W109" s="1">
        <v>0.52</v>
      </c>
      <c r="X109" s="1">
        <v>0.104</v>
      </c>
      <c r="Y109" s="1">
        <v>25.495000000000001</v>
      </c>
      <c r="Z109" s="1">
        <v>0.16700000000000001</v>
      </c>
      <c r="AA109" s="1">
        <v>-1.1000000000000001</v>
      </c>
      <c r="AB109" s="1">
        <v>-1.1000000000000001</v>
      </c>
      <c r="AC109" s="1">
        <v>-1.1000000000000001</v>
      </c>
      <c r="AD109" s="1">
        <v>0.104</v>
      </c>
      <c r="AE109" s="1">
        <v>0.16600000000000001</v>
      </c>
      <c r="AF109" s="1">
        <v>1.7000000000000001E-2</v>
      </c>
      <c r="AG109" s="1">
        <v>-1.1000000000000001</v>
      </c>
      <c r="AI109" s="1">
        <v>0</v>
      </c>
      <c r="AJ109" s="1">
        <v>0</v>
      </c>
      <c r="AK109" s="1">
        <v>0</v>
      </c>
      <c r="AL109" s="1">
        <v>1</v>
      </c>
      <c r="AM109" s="1">
        <v>82065</v>
      </c>
      <c r="AN109" s="1">
        <v>58898</v>
      </c>
      <c r="AO109" s="1">
        <v>18044</v>
      </c>
      <c r="AP109" s="1">
        <v>46928</v>
      </c>
      <c r="AQ109" s="1">
        <v>19.92750351117078</v>
      </c>
    </row>
    <row r="110" spans="1:43" x14ac:dyDescent="0.45">
      <c r="A110" s="1">
        <v>109</v>
      </c>
      <c r="B110" s="1">
        <v>454</v>
      </c>
      <c r="C110" s="1">
        <v>23</v>
      </c>
      <c r="D110" s="1" t="s">
        <v>88</v>
      </c>
      <c r="E110" s="1" t="s">
        <v>89</v>
      </c>
      <c r="F110" s="1" t="s">
        <v>90</v>
      </c>
      <c r="G110" s="1" t="s">
        <v>91</v>
      </c>
      <c r="H110" s="1" t="s">
        <v>47</v>
      </c>
      <c r="I110" s="1">
        <v>330</v>
      </c>
      <c r="J110" s="1">
        <v>5916</v>
      </c>
      <c r="K110" s="1">
        <v>1</v>
      </c>
      <c r="L110" s="1">
        <v>22</v>
      </c>
      <c r="M110" s="1">
        <v>1246</v>
      </c>
      <c r="N110" s="1" t="s">
        <v>48</v>
      </c>
      <c r="O110" s="1">
        <v>175496</v>
      </c>
      <c r="P110" s="1">
        <v>89</v>
      </c>
      <c r="Q110" s="1" t="s">
        <v>96</v>
      </c>
      <c r="R110" s="1" t="s">
        <v>50</v>
      </c>
      <c r="S110" s="1">
        <v>0</v>
      </c>
      <c r="T110" s="1">
        <v>0</v>
      </c>
      <c r="U110" s="1">
        <v>338.95299999999997</v>
      </c>
      <c r="V110" s="1">
        <v>24.632999999999999</v>
      </c>
      <c r="W110" s="1">
        <v>0.52</v>
      </c>
      <c r="X110" s="1">
        <v>0.106</v>
      </c>
      <c r="Y110" s="1">
        <v>24.739000000000001</v>
      </c>
      <c r="Z110" s="1">
        <v>4.7E-2</v>
      </c>
      <c r="AA110" s="1">
        <v>2</v>
      </c>
      <c r="AB110" s="1">
        <v>2</v>
      </c>
      <c r="AC110" s="1">
        <v>2</v>
      </c>
      <c r="AD110" s="1">
        <v>0.106</v>
      </c>
      <c r="AE110" s="1">
        <v>4.7E-2</v>
      </c>
      <c r="AF110" s="1">
        <v>5.0000000000000001E-3</v>
      </c>
      <c r="AG110" s="1">
        <v>2</v>
      </c>
      <c r="AI110" s="1">
        <v>0</v>
      </c>
      <c r="AJ110" s="1">
        <v>0</v>
      </c>
      <c r="AK110" s="1">
        <v>0</v>
      </c>
      <c r="AL110" s="1">
        <v>1</v>
      </c>
      <c r="AM110" s="1">
        <v>86400</v>
      </c>
      <c r="AN110" s="1">
        <v>74126</v>
      </c>
      <c r="AO110" s="1">
        <v>12274</v>
      </c>
      <c r="AP110" s="1">
        <v>43390</v>
      </c>
      <c r="AQ110" s="1">
        <v>2.5436351825059029</v>
      </c>
    </row>
    <row r="111" spans="1:43" x14ac:dyDescent="0.45">
      <c r="A111" s="1">
        <v>110</v>
      </c>
      <c r="B111" s="1">
        <v>454</v>
      </c>
      <c r="C111" s="1">
        <v>23</v>
      </c>
      <c r="D111" s="1" t="s">
        <v>88</v>
      </c>
      <c r="E111" s="1" t="s">
        <v>89</v>
      </c>
      <c r="F111" s="1" t="s">
        <v>90</v>
      </c>
      <c r="G111" s="1" t="s">
        <v>91</v>
      </c>
      <c r="H111" s="1" t="s">
        <v>47</v>
      </c>
      <c r="I111" s="1">
        <v>330</v>
      </c>
      <c r="J111" s="1">
        <v>5916</v>
      </c>
      <c r="K111" s="1">
        <v>1</v>
      </c>
      <c r="L111" s="1">
        <v>22</v>
      </c>
      <c r="M111" s="1">
        <v>1247</v>
      </c>
      <c r="N111" s="1" t="s">
        <v>48</v>
      </c>
      <c r="O111" s="1">
        <v>175913</v>
      </c>
      <c r="P111" s="1">
        <v>89</v>
      </c>
      <c r="Q111" s="1" t="s">
        <v>96</v>
      </c>
      <c r="R111" s="1" t="s">
        <v>50</v>
      </c>
      <c r="S111" s="1">
        <v>0</v>
      </c>
      <c r="T111" s="1">
        <v>0</v>
      </c>
      <c r="U111" s="1">
        <v>73.203000000000003</v>
      </c>
      <c r="V111" s="1">
        <v>25.163</v>
      </c>
      <c r="W111" s="1">
        <v>0.55000000000000004</v>
      </c>
      <c r="X111" s="1">
        <v>0.32</v>
      </c>
      <c r="Y111" s="1">
        <v>25.484000000000002</v>
      </c>
      <c r="Z111" s="1">
        <v>4.2000000000000003E-2</v>
      </c>
      <c r="AA111" s="1">
        <v>-1.5</v>
      </c>
      <c r="AB111" s="1">
        <v>-1.5</v>
      </c>
      <c r="AC111" s="1">
        <v>-1.5</v>
      </c>
      <c r="AD111" s="1">
        <v>0.32</v>
      </c>
      <c r="AE111" s="1">
        <v>4.2000000000000003E-2</v>
      </c>
      <c r="AF111" s="1">
        <v>1.4E-2</v>
      </c>
      <c r="AG111" s="1">
        <v>-1.5</v>
      </c>
      <c r="AI111" s="1">
        <v>0</v>
      </c>
      <c r="AJ111" s="1">
        <v>0</v>
      </c>
      <c r="AK111" s="1">
        <v>0</v>
      </c>
      <c r="AL111" s="1">
        <v>1</v>
      </c>
      <c r="AM111" s="1">
        <v>86400</v>
      </c>
      <c r="AN111" s="1">
        <v>78541</v>
      </c>
      <c r="AO111" s="1">
        <v>7859</v>
      </c>
      <c r="AP111" s="1">
        <v>46860</v>
      </c>
      <c r="AQ111" s="1">
        <v>12.51607896382912</v>
      </c>
    </row>
    <row r="112" spans="1:43" x14ac:dyDescent="0.45">
      <c r="A112" s="1">
        <v>111</v>
      </c>
      <c r="B112" s="1">
        <v>454</v>
      </c>
      <c r="C112" s="1">
        <v>23</v>
      </c>
      <c r="D112" s="1" t="s">
        <v>88</v>
      </c>
      <c r="E112" s="1" t="s">
        <v>89</v>
      </c>
      <c r="F112" s="1" t="s">
        <v>90</v>
      </c>
      <c r="G112" s="1" t="s">
        <v>91</v>
      </c>
      <c r="H112" s="1" t="s">
        <v>47</v>
      </c>
      <c r="I112" s="1">
        <v>330</v>
      </c>
      <c r="J112" s="1">
        <v>5916</v>
      </c>
      <c r="K112" s="1">
        <v>1</v>
      </c>
      <c r="L112" s="1">
        <v>22</v>
      </c>
      <c r="M112" s="1">
        <v>1248</v>
      </c>
      <c r="N112" s="1" t="s">
        <v>48</v>
      </c>
      <c r="O112" s="1">
        <v>175914</v>
      </c>
      <c r="P112" s="1">
        <v>89</v>
      </c>
      <c r="Q112" s="1" t="s">
        <v>96</v>
      </c>
      <c r="R112" s="1" t="s">
        <v>50</v>
      </c>
      <c r="S112" s="1">
        <v>0</v>
      </c>
      <c r="T112" s="1">
        <v>0</v>
      </c>
      <c r="U112" s="1">
        <v>92.867000000000004</v>
      </c>
      <c r="V112" s="1">
        <v>25.131</v>
      </c>
      <c r="W112" s="1">
        <v>0.56000000000000005</v>
      </c>
      <c r="X112" s="1">
        <v>0.35299999999999998</v>
      </c>
      <c r="Y112" s="1">
        <v>25.484000000000002</v>
      </c>
      <c r="Z112" s="1">
        <v>4.8000000000000001E-2</v>
      </c>
      <c r="AA112" s="1">
        <v>1.1000000000000001</v>
      </c>
      <c r="AB112" s="1">
        <v>1.1000000000000001</v>
      </c>
      <c r="AC112" s="1">
        <v>1.1000000000000001</v>
      </c>
      <c r="AD112" s="1">
        <v>0.35299999999999998</v>
      </c>
      <c r="AE112" s="1">
        <v>4.8000000000000001E-2</v>
      </c>
      <c r="AF112" s="1">
        <v>1.7000000000000001E-2</v>
      </c>
      <c r="AG112" s="1">
        <v>1.1000000000000001</v>
      </c>
      <c r="AI112" s="1">
        <v>0</v>
      </c>
      <c r="AJ112" s="1">
        <v>0</v>
      </c>
      <c r="AK112" s="1">
        <v>0</v>
      </c>
      <c r="AL112" s="1">
        <v>1</v>
      </c>
      <c r="AM112" s="1">
        <v>86400</v>
      </c>
      <c r="AN112" s="1">
        <v>80233</v>
      </c>
      <c r="AO112" s="1">
        <v>6167</v>
      </c>
      <c r="AP112" s="1">
        <v>46896</v>
      </c>
      <c r="AQ112" s="1">
        <v>3.3747962790819219</v>
      </c>
    </row>
    <row r="113" spans="1:43" x14ac:dyDescent="0.45">
      <c r="A113" s="1">
        <v>112</v>
      </c>
      <c r="B113" s="1">
        <v>470</v>
      </c>
      <c r="C113" s="1">
        <v>97</v>
      </c>
      <c r="D113" s="1" t="s">
        <v>85</v>
      </c>
      <c r="E113" s="1" t="s">
        <v>86</v>
      </c>
      <c r="F113" s="1" t="s">
        <v>87</v>
      </c>
      <c r="G113" s="1" t="s">
        <v>46</v>
      </c>
      <c r="H113" s="1" t="s">
        <v>47</v>
      </c>
      <c r="I113" s="1">
        <v>1089</v>
      </c>
      <c r="J113" s="1">
        <v>26566</v>
      </c>
      <c r="K113" s="1">
        <v>1</v>
      </c>
      <c r="L113" s="1">
        <v>96</v>
      </c>
      <c r="M113" s="1">
        <v>1156</v>
      </c>
      <c r="N113" s="1" t="s">
        <v>48</v>
      </c>
      <c r="O113" s="1">
        <v>132942</v>
      </c>
      <c r="P113" s="1">
        <v>89</v>
      </c>
      <c r="Q113" s="1" t="s">
        <v>96</v>
      </c>
      <c r="R113" s="1" t="s">
        <v>50</v>
      </c>
      <c r="S113" s="1">
        <v>0</v>
      </c>
      <c r="T113" s="1">
        <v>0</v>
      </c>
      <c r="U113" s="1">
        <v>88.98</v>
      </c>
      <c r="V113" s="1">
        <v>25.22</v>
      </c>
      <c r="W113" s="1">
        <v>0.53</v>
      </c>
      <c r="X113" s="1">
        <v>0.14899999999999999</v>
      </c>
      <c r="Y113" s="1">
        <v>25.37</v>
      </c>
      <c r="Z113" s="1">
        <v>0.16800000000000001</v>
      </c>
      <c r="AA113" s="1">
        <v>-0.7</v>
      </c>
      <c r="AB113" s="1">
        <v>-0.7</v>
      </c>
      <c r="AC113" s="1">
        <v>-0.7</v>
      </c>
      <c r="AD113" s="1">
        <v>0.14899999999999999</v>
      </c>
      <c r="AE113" s="1">
        <v>0.16800000000000001</v>
      </c>
      <c r="AF113" s="1">
        <v>2.5000000000000001E-2</v>
      </c>
      <c r="AG113" s="1">
        <v>-0.7</v>
      </c>
      <c r="AI113" s="1">
        <v>0</v>
      </c>
      <c r="AJ113" s="1">
        <v>0</v>
      </c>
      <c r="AK113" s="1">
        <v>0</v>
      </c>
      <c r="AL113" s="1">
        <v>1</v>
      </c>
      <c r="AM113" s="1">
        <v>86400</v>
      </c>
      <c r="AN113" s="1">
        <v>80331</v>
      </c>
      <c r="AO113" s="1">
        <v>6069</v>
      </c>
      <c r="AP113" s="1">
        <v>47040</v>
      </c>
      <c r="AQ113" s="1">
        <v>13.500253100054801</v>
      </c>
    </row>
    <row r="114" spans="1:43" x14ac:dyDescent="0.45">
      <c r="A114" s="1">
        <v>113</v>
      </c>
      <c r="B114" s="1">
        <v>494</v>
      </c>
      <c r="C114" s="1">
        <v>67</v>
      </c>
      <c r="D114" s="1" t="s">
        <v>92</v>
      </c>
      <c r="E114" s="1" t="s">
        <v>93</v>
      </c>
      <c r="F114" s="1" t="s">
        <v>94</v>
      </c>
      <c r="G114" s="1" t="s">
        <v>46</v>
      </c>
      <c r="H114" s="1" t="s">
        <v>47</v>
      </c>
      <c r="I114" s="1">
        <v>1579</v>
      </c>
      <c r="J114" s="1">
        <v>67764</v>
      </c>
      <c r="K114" s="1">
        <v>1</v>
      </c>
      <c r="L114" s="1">
        <v>66</v>
      </c>
      <c r="M114" s="1">
        <v>1152</v>
      </c>
      <c r="N114" s="1" t="s">
        <v>48</v>
      </c>
      <c r="O114" s="1">
        <v>131020</v>
      </c>
      <c r="P114" s="1">
        <v>89</v>
      </c>
      <c r="Q114" s="1" t="s">
        <v>96</v>
      </c>
      <c r="R114" s="1" t="s">
        <v>50</v>
      </c>
      <c r="S114" s="1">
        <v>0</v>
      </c>
      <c r="T114" s="1">
        <v>0</v>
      </c>
      <c r="U114" s="1">
        <v>94.191999999999993</v>
      </c>
      <c r="V114" s="1">
        <v>25.324000000000002</v>
      </c>
      <c r="W114" s="1">
        <v>1.1299999999999999</v>
      </c>
      <c r="X114" s="1">
        <v>0.86299999999999999</v>
      </c>
      <c r="Y114" s="1">
        <v>26.187000000000001</v>
      </c>
      <c r="Z114" s="1">
        <v>4.1000000000000002E-2</v>
      </c>
      <c r="AA114" s="1">
        <v>0.9</v>
      </c>
      <c r="AB114" s="1">
        <v>0.9</v>
      </c>
      <c r="AC114" s="1">
        <v>0.9</v>
      </c>
      <c r="AD114" s="1">
        <v>0.86299999999999999</v>
      </c>
      <c r="AE114" s="1">
        <v>4.1000000000000002E-2</v>
      </c>
      <c r="AF114" s="1">
        <v>3.5000000000000003E-2</v>
      </c>
      <c r="AG114" s="1">
        <v>0.9</v>
      </c>
      <c r="AI114" s="1">
        <v>0</v>
      </c>
      <c r="AJ114" s="1">
        <v>0</v>
      </c>
      <c r="AK114" s="1">
        <v>0</v>
      </c>
      <c r="AL114" s="1">
        <v>1</v>
      </c>
      <c r="AM114" s="1">
        <v>86400</v>
      </c>
      <c r="AN114" s="1">
        <v>80106</v>
      </c>
      <c r="AO114" s="1">
        <v>6294</v>
      </c>
      <c r="AP114" s="1">
        <v>43648</v>
      </c>
      <c r="AQ114" s="1">
        <v>22.945877289242109</v>
      </c>
    </row>
    <row r="115" spans="1:43" x14ac:dyDescent="0.45">
      <c r="A115" s="1">
        <v>114</v>
      </c>
      <c r="B115" s="1">
        <v>494</v>
      </c>
      <c r="C115" s="1">
        <v>67</v>
      </c>
      <c r="D115" s="1" t="s">
        <v>92</v>
      </c>
      <c r="E115" s="1" t="s">
        <v>93</v>
      </c>
      <c r="F115" s="1" t="s">
        <v>94</v>
      </c>
      <c r="G115" s="1" t="s">
        <v>46</v>
      </c>
      <c r="H115" s="1" t="s">
        <v>47</v>
      </c>
      <c r="I115" s="1">
        <v>1579</v>
      </c>
      <c r="J115" s="1">
        <v>67764</v>
      </c>
      <c r="K115" s="1">
        <v>1</v>
      </c>
      <c r="L115" s="1">
        <v>66</v>
      </c>
      <c r="M115" s="1">
        <v>1153</v>
      </c>
      <c r="N115" s="1" t="s">
        <v>48</v>
      </c>
      <c r="O115" s="1">
        <v>131021</v>
      </c>
      <c r="P115" s="1">
        <v>89</v>
      </c>
      <c r="Q115" s="1" t="s">
        <v>96</v>
      </c>
      <c r="R115" s="1" t="s">
        <v>50</v>
      </c>
      <c r="S115" s="1">
        <v>0</v>
      </c>
      <c r="T115" s="1">
        <v>0</v>
      </c>
      <c r="U115" s="1">
        <v>89.78</v>
      </c>
      <c r="V115" s="1">
        <v>25.841999999999999</v>
      </c>
      <c r="W115" s="1">
        <v>0.55000000000000004</v>
      </c>
      <c r="X115" s="1">
        <v>0.34599999999999997</v>
      </c>
      <c r="Y115" s="1">
        <v>26.187000000000001</v>
      </c>
      <c r="Z115" s="1">
        <v>0.04</v>
      </c>
      <c r="AA115" s="1">
        <v>-1</v>
      </c>
      <c r="AB115" s="1">
        <v>-2.8</v>
      </c>
      <c r="AC115" s="1">
        <v>-2.8</v>
      </c>
      <c r="AD115" s="1">
        <v>0.34599999999999997</v>
      </c>
      <c r="AE115" s="1">
        <v>3.2000000000000001E-2</v>
      </c>
      <c r="AF115" s="1">
        <v>1.2E-2</v>
      </c>
      <c r="AI115" s="1">
        <v>0</v>
      </c>
      <c r="AJ115" s="1">
        <v>0</v>
      </c>
      <c r="AK115" s="1">
        <v>0</v>
      </c>
      <c r="AL115" s="1">
        <v>1</v>
      </c>
      <c r="AM115" s="1">
        <v>86400</v>
      </c>
      <c r="AN115" s="1">
        <v>66027</v>
      </c>
      <c r="AO115" s="1">
        <v>20373</v>
      </c>
      <c r="AP115" s="1">
        <v>43577</v>
      </c>
      <c r="AQ115" s="1">
        <v>6.4043930915015341</v>
      </c>
    </row>
    <row r="116" spans="1:43" x14ac:dyDescent="0.45">
      <c r="A116" s="1">
        <v>115</v>
      </c>
      <c r="B116" s="1">
        <v>494</v>
      </c>
      <c r="C116" s="1">
        <v>67</v>
      </c>
      <c r="D116" s="1" t="s">
        <v>92</v>
      </c>
      <c r="E116" s="1" t="s">
        <v>93</v>
      </c>
      <c r="F116" s="1" t="s">
        <v>94</v>
      </c>
      <c r="G116" s="1" t="s">
        <v>46</v>
      </c>
      <c r="H116" s="1" t="s">
        <v>47</v>
      </c>
      <c r="I116" s="1">
        <v>1579</v>
      </c>
      <c r="J116" s="1">
        <v>67764</v>
      </c>
      <c r="K116" s="1">
        <v>1</v>
      </c>
      <c r="L116" s="1">
        <v>66</v>
      </c>
      <c r="M116" s="1">
        <v>1154</v>
      </c>
      <c r="N116" s="1" t="s">
        <v>48</v>
      </c>
      <c r="O116" s="1">
        <v>131025</v>
      </c>
      <c r="P116" s="1">
        <v>89</v>
      </c>
      <c r="Q116" s="1" t="s">
        <v>96</v>
      </c>
      <c r="R116" s="1" t="s">
        <v>50</v>
      </c>
      <c r="S116" s="1">
        <v>0</v>
      </c>
      <c r="T116" s="1">
        <v>0</v>
      </c>
      <c r="U116" s="1">
        <v>51.036999999999999</v>
      </c>
      <c r="V116" s="1">
        <v>25.751999999999999</v>
      </c>
      <c r="W116" s="1">
        <v>0.56999999999999995</v>
      </c>
      <c r="X116" s="1">
        <v>0.435</v>
      </c>
      <c r="Y116" s="1">
        <v>26.187000000000001</v>
      </c>
      <c r="Z116" s="1">
        <v>0.17899999999999999</v>
      </c>
      <c r="AA116" s="1">
        <v>-1.6</v>
      </c>
      <c r="AB116" s="1">
        <v>-1.6</v>
      </c>
      <c r="AC116" s="1">
        <v>-1.6</v>
      </c>
      <c r="AD116" s="1">
        <v>0.435</v>
      </c>
      <c r="AE116" s="1">
        <v>0.17899999999999999</v>
      </c>
      <c r="AF116" s="1">
        <v>7.8E-2</v>
      </c>
      <c r="AG116" s="1">
        <v>-1.6</v>
      </c>
      <c r="AI116" s="1">
        <v>0</v>
      </c>
      <c r="AJ116" s="1">
        <v>0</v>
      </c>
      <c r="AK116" s="1">
        <v>0</v>
      </c>
      <c r="AL116" s="1">
        <v>1</v>
      </c>
      <c r="AM116" s="1">
        <v>86400</v>
      </c>
      <c r="AN116" s="1">
        <v>69082</v>
      </c>
      <c r="AO116" s="1">
        <v>17318</v>
      </c>
      <c r="AP116" s="1">
        <v>47135</v>
      </c>
      <c r="AQ116" s="1">
        <v>12.58488408496922</v>
      </c>
    </row>
  </sheetData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214B2-6B9D-40C5-A70E-B9B50AB6FACF}">
  <sheetPr codeName="Sheet3"/>
  <dimension ref="A1:AQ139"/>
  <sheetViews>
    <sheetView topLeftCell="Z19" workbookViewId="0">
      <selection activeCell="B31" sqref="A31:XFD43"/>
    </sheetView>
  </sheetViews>
  <sheetFormatPr defaultColWidth="9.1328125" defaultRowHeight="14.25" customHeight="1" x14ac:dyDescent="0.45"/>
  <cols>
    <col min="1" max="1" width="9.1328125" style="1" customWidth="1"/>
    <col min="2" max="4" width="9.1328125" style="1"/>
    <col min="5" max="5" width="29.9296875" style="1" bestFit="1" customWidth="1"/>
    <col min="6" max="16384" width="9.1328125" style="1"/>
  </cols>
  <sheetData>
    <row r="1" spans="1:43" ht="16.149999999999999" thickBot="1" x14ac:dyDescent="0.5500000000000000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97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</row>
    <row r="2" spans="1:43" x14ac:dyDescent="0.45">
      <c r="A2" s="1">
        <v>1</v>
      </c>
      <c r="B2" s="1">
        <v>1</v>
      </c>
      <c r="C2" s="1">
        <v>90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  <c r="I2" s="1">
        <v>535</v>
      </c>
      <c r="J2" s="1">
        <v>12723</v>
      </c>
      <c r="K2" s="1">
        <v>1</v>
      </c>
      <c r="L2" s="1">
        <v>89</v>
      </c>
      <c r="M2" s="1">
        <v>1192</v>
      </c>
      <c r="N2" s="1" t="s">
        <v>48</v>
      </c>
      <c r="O2" s="1">
        <v>20364</v>
      </c>
      <c r="P2" s="1">
        <v>90</v>
      </c>
      <c r="Q2" s="1" t="s">
        <v>98</v>
      </c>
      <c r="R2" s="1" t="s">
        <v>50</v>
      </c>
      <c r="S2" s="1">
        <v>0</v>
      </c>
      <c r="T2" s="1">
        <v>0</v>
      </c>
      <c r="U2" s="1">
        <v>205.73699999999999</v>
      </c>
      <c r="V2" s="1">
        <v>24.99</v>
      </c>
      <c r="W2" s="1">
        <v>0.52</v>
      </c>
      <c r="X2" s="1">
        <v>0.13600000000000001</v>
      </c>
      <c r="Y2" s="1">
        <v>25.126000000000001</v>
      </c>
      <c r="Z2" s="1">
        <v>4.2999999999999997E-2</v>
      </c>
      <c r="AA2" s="1">
        <v>-2.7</v>
      </c>
      <c r="AB2" s="1">
        <v>-2.7</v>
      </c>
      <c r="AC2" s="1">
        <v>-2.7</v>
      </c>
      <c r="AD2" s="1">
        <v>0.13600000000000001</v>
      </c>
      <c r="AE2" s="1">
        <v>4.2999999999999997E-2</v>
      </c>
      <c r="AF2" s="1">
        <v>6.0000000000000001E-3</v>
      </c>
      <c r="AG2" s="1">
        <v>-2.7</v>
      </c>
      <c r="AI2" s="1">
        <v>0</v>
      </c>
      <c r="AJ2" s="1">
        <v>0</v>
      </c>
      <c r="AK2" s="1">
        <v>0</v>
      </c>
      <c r="AL2" s="1">
        <v>1</v>
      </c>
      <c r="AM2" s="1">
        <v>86400</v>
      </c>
      <c r="AN2" s="1">
        <v>73092</v>
      </c>
      <c r="AO2" s="1">
        <v>13308</v>
      </c>
      <c r="AP2" s="1">
        <v>43403</v>
      </c>
      <c r="AQ2" s="1">
        <v>1.6932807555292719</v>
      </c>
    </row>
    <row r="3" spans="1:43" x14ac:dyDescent="0.45">
      <c r="A3" s="1">
        <v>2</v>
      </c>
      <c r="B3" s="1">
        <v>1</v>
      </c>
      <c r="C3" s="1">
        <v>90</v>
      </c>
      <c r="D3" s="1" t="s">
        <v>43</v>
      </c>
      <c r="E3" s="1" t="s">
        <v>44</v>
      </c>
      <c r="F3" s="1" t="s">
        <v>45</v>
      </c>
      <c r="G3" s="1" t="s">
        <v>46</v>
      </c>
      <c r="H3" s="1" t="s">
        <v>47</v>
      </c>
      <c r="I3" s="1">
        <v>535</v>
      </c>
      <c r="J3" s="1">
        <v>12723</v>
      </c>
      <c r="K3" s="1">
        <v>1</v>
      </c>
      <c r="L3" s="1">
        <v>89</v>
      </c>
      <c r="M3" s="1">
        <v>1193</v>
      </c>
      <c r="N3" s="1" t="s">
        <v>48</v>
      </c>
      <c r="O3" s="1">
        <v>20405</v>
      </c>
      <c r="P3" s="1">
        <v>90</v>
      </c>
      <c r="Q3" s="1" t="s">
        <v>98</v>
      </c>
      <c r="R3" s="1" t="s">
        <v>50</v>
      </c>
      <c r="S3" s="1">
        <v>0</v>
      </c>
      <c r="T3" s="1">
        <v>0</v>
      </c>
      <c r="U3" s="1">
        <v>63.332999999999998</v>
      </c>
      <c r="V3" s="1">
        <v>24.972999999999999</v>
      </c>
      <c r="W3" s="1">
        <v>0.52</v>
      </c>
      <c r="X3" s="1">
        <v>0.153</v>
      </c>
      <c r="Y3" s="1">
        <v>25.126000000000001</v>
      </c>
      <c r="Z3" s="1">
        <v>4.2000000000000003E-2</v>
      </c>
      <c r="AA3" s="1">
        <v>-2.9</v>
      </c>
      <c r="AB3" s="1">
        <v>-2.9</v>
      </c>
      <c r="AC3" s="1">
        <v>-2.9</v>
      </c>
      <c r="AD3" s="1">
        <v>0.153</v>
      </c>
      <c r="AE3" s="1">
        <v>4.2000000000000003E-2</v>
      </c>
      <c r="AF3" s="1">
        <v>6.0000000000000001E-3</v>
      </c>
      <c r="AG3" s="1">
        <v>-2.9</v>
      </c>
      <c r="AI3" s="1">
        <v>0</v>
      </c>
      <c r="AJ3" s="1">
        <v>0</v>
      </c>
      <c r="AK3" s="1">
        <v>0</v>
      </c>
      <c r="AL3" s="1">
        <v>1</v>
      </c>
      <c r="AM3" s="1">
        <v>86400</v>
      </c>
      <c r="AN3" s="1">
        <v>74476</v>
      </c>
      <c r="AO3" s="1">
        <v>11924</v>
      </c>
      <c r="AP3" s="1">
        <v>46906</v>
      </c>
      <c r="AQ3" s="1">
        <v>4.7032532732046244</v>
      </c>
    </row>
    <row r="4" spans="1:43" x14ac:dyDescent="0.45">
      <c r="A4" s="1">
        <v>3</v>
      </c>
      <c r="B4" s="1">
        <v>1</v>
      </c>
      <c r="C4" s="1">
        <v>90</v>
      </c>
      <c r="D4" s="1" t="s">
        <v>43</v>
      </c>
      <c r="E4" s="1" t="s">
        <v>44</v>
      </c>
      <c r="F4" s="1" t="s">
        <v>45</v>
      </c>
      <c r="G4" s="1" t="s">
        <v>46</v>
      </c>
      <c r="H4" s="1" t="s">
        <v>47</v>
      </c>
      <c r="I4" s="1">
        <v>535</v>
      </c>
      <c r="J4" s="1">
        <v>12723</v>
      </c>
      <c r="K4" s="1">
        <v>1</v>
      </c>
      <c r="L4" s="1">
        <v>89</v>
      </c>
      <c r="M4" s="1">
        <v>1194</v>
      </c>
      <c r="N4" s="1" t="s">
        <v>48</v>
      </c>
      <c r="O4" s="1">
        <v>20406</v>
      </c>
      <c r="P4" s="1">
        <v>90</v>
      </c>
      <c r="Q4" s="1" t="s">
        <v>98</v>
      </c>
      <c r="R4" s="1" t="s">
        <v>50</v>
      </c>
      <c r="S4" s="1">
        <v>0</v>
      </c>
      <c r="T4" s="1">
        <v>0</v>
      </c>
      <c r="U4" s="1">
        <v>69.885999999999996</v>
      </c>
      <c r="V4" s="1">
        <v>24.724</v>
      </c>
      <c r="W4" s="1">
        <v>0.56000000000000005</v>
      </c>
      <c r="X4" s="1">
        <v>0.40200000000000002</v>
      </c>
      <c r="Y4" s="1">
        <v>25.126000000000001</v>
      </c>
      <c r="Z4" s="1">
        <v>4.4999999999999998E-2</v>
      </c>
      <c r="AA4" s="1">
        <v>-2.7</v>
      </c>
      <c r="AB4" s="1">
        <v>-2.7</v>
      </c>
      <c r="AC4" s="1">
        <v>-2.7</v>
      </c>
      <c r="AD4" s="1">
        <v>0.40200000000000002</v>
      </c>
      <c r="AE4" s="1">
        <v>4.4999999999999998E-2</v>
      </c>
      <c r="AF4" s="1">
        <v>1.7999999999999999E-2</v>
      </c>
      <c r="AG4" s="1">
        <v>-2.7</v>
      </c>
      <c r="AI4" s="1">
        <v>0</v>
      </c>
      <c r="AJ4" s="1">
        <v>0</v>
      </c>
      <c r="AK4" s="1">
        <v>0</v>
      </c>
      <c r="AL4" s="1">
        <v>1</v>
      </c>
      <c r="AM4" s="1">
        <v>86400</v>
      </c>
      <c r="AN4" s="1">
        <v>80679</v>
      </c>
      <c r="AO4" s="1">
        <v>5721</v>
      </c>
      <c r="AP4" s="1">
        <v>43392</v>
      </c>
      <c r="AQ4" s="1">
        <v>14.25374788192698</v>
      </c>
    </row>
    <row r="5" spans="1:43" x14ac:dyDescent="0.45">
      <c r="A5" s="1">
        <v>4</v>
      </c>
      <c r="B5" s="1">
        <v>1</v>
      </c>
      <c r="C5" s="1">
        <v>90</v>
      </c>
      <c r="D5" s="1" t="s">
        <v>43</v>
      </c>
      <c r="E5" s="1" t="s">
        <v>44</v>
      </c>
      <c r="F5" s="1" t="s">
        <v>45</v>
      </c>
      <c r="G5" s="1" t="s">
        <v>46</v>
      </c>
      <c r="H5" s="1" t="s">
        <v>47</v>
      </c>
      <c r="I5" s="1">
        <v>535</v>
      </c>
      <c r="J5" s="1">
        <v>12723</v>
      </c>
      <c r="K5" s="1">
        <v>1</v>
      </c>
      <c r="L5" s="1">
        <v>89</v>
      </c>
      <c r="M5" s="1">
        <v>1195</v>
      </c>
      <c r="N5" s="1" t="s">
        <v>48</v>
      </c>
      <c r="O5" s="1">
        <v>20409</v>
      </c>
      <c r="P5" s="1">
        <v>90</v>
      </c>
      <c r="Q5" s="1" t="s">
        <v>98</v>
      </c>
      <c r="R5" s="1" t="s">
        <v>50</v>
      </c>
      <c r="S5" s="1">
        <v>0</v>
      </c>
      <c r="T5" s="1">
        <v>0</v>
      </c>
      <c r="U5" s="1">
        <v>197.97900000000001</v>
      </c>
      <c r="V5" s="1">
        <v>24.911999999999999</v>
      </c>
      <c r="W5" s="1">
        <v>0.54</v>
      </c>
      <c r="X5" s="1">
        <v>0.215</v>
      </c>
      <c r="Y5" s="1">
        <v>25.126000000000001</v>
      </c>
      <c r="Z5" s="1">
        <v>0.16500000000000001</v>
      </c>
      <c r="AA5" s="1">
        <v>-2.2999999999999998</v>
      </c>
      <c r="AB5" s="1">
        <v>-2.2999999999999998</v>
      </c>
      <c r="AC5" s="1">
        <v>-2.2999999999999998</v>
      </c>
      <c r="AD5" s="1">
        <v>0.215</v>
      </c>
      <c r="AE5" s="1">
        <v>0.16500000000000001</v>
      </c>
      <c r="AF5" s="1">
        <v>3.5000000000000003E-2</v>
      </c>
      <c r="AG5" s="1">
        <v>-2.2999999999999998</v>
      </c>
      <c r="AI5" s="1">
        <v>0</v>
      </c>
      <c r="AJ5" s="1">
        <v>0</v>
      </c>
      <c r="AK5" s="1">
        <v>0</v>
      </c>
      <c r="AL5" s="1">
        <v>1</v>
      </c>
      <c r="AM5" s="1">
        <v>86400</v>
      </c>
      <c r="AN5" s="1">
        <v>79406</v>
      </c>
      <c r="AO5" s="1">
        <v>6994</v>
      </c>
      <c r="AP5" s="1">
        <v>43399</v>
      </c>
      <c r="AQ5" s="1">
        <v>15.34256373566652</v>
      </c>
    </row>
    <row r="6" spans="1:43" x14ac:dyDescent="0.45">
      <c r="A6" s="1">
        <v>5</v>
      </c>
      <c r="B6" s="1">
        <v>1</v>
      </c>
      <c r="C6" s="1">
        <v>90</v>
      </c>
      <c r="D6" s="1" t="s">
        <v>43</v>
      </c>
      <c r="E6" s="1" t="s">
        <v>44</v>
      </c>
      <c r="F6" s="1" t="s">
        <v>45</v>
      </c>
      <c r="G6" s="1" t="s">
        <v>46</v>
      </c>
      <c r="H6" s="1" t="s">
        <v>47</v>
      </c>
      <c r="I6" s="1">
        <v>535</v>
      </c>
      <c r="J6" s="1">
        <v>12723</v>
      </c>
      <c r="K6" s="1">
        <v>1</v>
      </c>
      <c r="L6" s="1">
        <v>89</v>
      </c>
      <c r="M6" s="1">
        <v>1196</v>
      </c>
      <c r="N6" s="1" t="s">
        <v>48</v>
      </c>
      <c r="O6" s="1">
        <v>20411</v>
      </c>
      <c r="P6" s="1">
        <v>90</v>
      </c>
      <c r="Q6" s="1" t="s">
        <v>98</v>
      </c>
      <c r="R6" s="1" t="s">
        <v>50</v>
      </c>
      <c r="S6" s="1">
        <v>0</v>
      </c>
      <c r="T6" s="1">
        <v>0</v>
      </c>
      <c r="U6" s="1">
        <v>128.02099999999999</v>
      </c>
      <c r="V6" s="1">
        <v>24.83</v>
      </c>
      <c r="W6" s="1">
        <v>0.55000000000000004</v>
      </c>
      <c r="X6" s="1">
        <v>0.29399999999999998</v>
      </c>
      <c r="Y6" s="1">
        <v>25.123000000000001</v>
      </c>
      <c r="Z6" s="1">
        <v>0.14499999999999999</v>
      </c>
      <c r="AA6" s="1">
        <v>-1.4</v>
      </c>
      <c r="AB6" s="1">
        <v>-1.4</v>
      </c>
      <c r="AC6" s="1">
        <v>-1.4</v>
      </c>
      <c r="AD6" s="1">
        <v>0.29399999999999998</v>
      </c>
      <c r="AE6" s="1">
        <v>0.14499999999999999</v>
      </c>
      <c r="AF6" s="1">
        <v>4.2000000000000003E-2</v>
      </c>
      <c r="AG6" s="1">
        <v>-1.4</v>
      </c>
      <c r="AI6" s="1">
        <v>0</v>
      </c>
      <c r="AJ6" s="1">
        <v>0</v>
      </c>
      <c r="AK6" s="1">
        <v>0</v>
      </c>
      <c r="AL6" s="1">
        <v>1</v>
      </c>
      <c r="AM6" s="1">
        <v>86400</v>
      </c>
      <c r="AN6" s="1">
        <v>79817</v>
      </c>
      <c r="AO6" s="1">
        <v>6583</v>
      </c>
      <c r="AP6" s="1">
        <v>43361</v>
      </c>
      <c r="AQ6" s="1">
        <v>28.711608171234531</v>
      </c>
    </row>
    <row r="7" spans="1:43" x14ac:dyDescent="0.45">
      <c r="A7" s="1">
        <v>6</v>
      </c>
      <c r="B7" s="1">
        <v>26</v>
      </c>
      <c r="C7" s="1">
        <v>126</v>
      </c>
      <c r="D7" s="1" t="s">
        <v>51</v>
      </c>
      <c r="E7" s="1" t="s">
        <v>52</v>
      </c>
      <c r="F7" s="1" t="s">
        <v>53</v>
      </c>
      <c r="G7" s="1" t="s">
        <v>54</v>
      </c>
      <c r="H7" s="1" t="s">
        <v>47</v>
      </c>
      <c r="I7" s="1">
        <v>1113</v>
      </c>
      <c r="J7" s="1">
        <v>60690</v>
      </c>
      <c r="K7" s="1">
        <v>1</v>
      </c>
      <c r="L7" s="1">
        <v>125</v>
      </c>
      <c r="M7" s="1">
        <v>552</v>
      </c>
      <c r="N7" s="1" t="s">
        <v>48</v>
      </c>
      <c r="O7" s="1">
        <v>13931</v>
      </c>
      <c r="P7" s="1">
        <v>90</v>
      </c>
      <c r="Q7" s="1" t="s">
        <v>98</v>
      </c>
      <c r="R7" s="1" t="s">
        <v>50</v>
      </c>
      <c r="S7" s="1">
        <v>0</v>
      </c>
      <c r="T7" s="1">
        <v>0</v>
      </c>
      <c r="U7" s="1">
        <v>114.378</v>
      </c>
      <c r="V7" s="1">
        <v>26.774000000000001</v>
      </c>
      <c r="W7" s="1">
        <v>0.62</v>
      </c>
      <c r="X7" s="1">
        <v>0.55600000000000005</v>
      </c>
      <c r="Y7" s="1">
        <v>27.329000000000001</v>
      </c>
      <c r="Z7" s="1">
        <v>0.69199999999999995</v>
      </c>
      <c r="AA7" s="1">
        <v>0.8</v>
      </c>
      <c r="AB7" s="1">
        <v>0.8</v>
      </c>
      <c r="AC7" s="1">
        <v>0.8</v>
      </c>
      <c r="AD7" s="1">
        <v>0.55600000000000005</v>
      </c>
      <c r="AE7" s="1">
        <v>0.69099999999999995</v>
      </c>
      <c r="AF7" s="1">
        <v>0.38400000000000001</v>
      </c>
      <c r="AG7" s="1">
        <v>0.8</v>
      </c>
      <c r="AI7" s="1">
        <v>0</v>
      </c>
      <c r="AJ7" s="1">
        <v>0</v>
      </c>
      <c r="AK7" s="1">
        <v>0</v>
      </c>
      <c r="AL7" s="1">
        <v>1</v>
      </c>
      <c r="AM7" s="1">
        <v>86400</v>
      </c>
      <c r="AN7" s="1">
        <v>80469</v>
      </c>
      <c r="AO7" s="1">
        <v>5931</v>
      </c>
      <c r="AP7" s="1">
        <v>43776</v>
      </c>
      <c r="AQ7" s="1">
        <v>14.726650808541009</v>
      </c>
    </row>
    <row r="8" spans="1:43" x14ac:dyDescent="0.45">
      <c r="A8" s="1">
        <v>7</v>
      </c>
      <c r="B8" s="1">
        <v>26</v>
      </c>
      <c r="C8" s="1">
        <v>126</v>
      </c>
      <c r="D8" s="1" t="s">
        <v>51</v>
      </c>
      <c r="E8" s="1" t="s">
        <v>52</v>
      </c>
      <c r="F8" s="1" t="s">
        <v>53</v>
      </c>
      <c r="G8" s="1" t="s">
        <v>54</v>
      </c>
      <c r="H8" s="1" t="s">
        <v>47</v>
      </c>
      <c r="I8" s="1">
        <v>1113</v>
      </c>
      <c r="J8" s="1">
        <v>60690</v>
      </c>
      <c r="K8" s="1">
        <v>1</v>
      </c>
      <c r="L8" s="1">
        <v>125</v>
      </c>
      <c r="M8" s="1">
        <v>553</v>
      </c>
      <c r="N8" s="1" t="s">
        <v>48</v>
      </c>
      <c r="O8" s="1">
        <v>13937</v>
      </c>
      <c r="P8" s="1">
        <v>90</v>
      </c>
      <c r="Q8" s="1" t="s">
        <v>98</v>
      </c>
      <c r="R8" s="1" t="s">
        <v>50</v>
      </c>
      <c r="S8" s="1">
        <v>0</v>
      </c>
      <c r="T8" s="1">
        <v>0</v>
      </c>
      <c r="U8" s="1">
        <v>96.623000000000005</v>
      </c>
      <c r="V8" s="1">
        <v>25.923999999999999</v>
      </c>
      <c r="W8" s="1">
        <v>1.22</v>
      </c>
      <c r="X8" s="1">
        <v>0.98299999999999998</v>
      </c>
      <c r="Y8" s="1">
        <v>26.905999999999999</v>
      </c>
      <c r="Z8" s="1">
        <v>0.78200000000000003</v>
      </c>
      <c r="AA8" s="1">
        <v>0.4</v>
      </c>
      <c r="AB8" s="1">
        <v>0.4</v>
      </c>
      <c r="AC8" s="1">
        <v>0.4</v>
      </c>
      <c r="AD8" s="1">
        <v>0.98299999999999998</v>
      </c>
      <c r="AE8" s="1">
        <v>0.78200000000000003</v>
      </c>
      <c r="AF8" s="1">
        <v>0.76900000000000002</v>
      </c>
      <c r="AG8" s="1">
        <v>0.4</v>
      </c>
      <c r="AI8" s="1">
        <v>0</v>
      </c>
      <c r="AJ8" s="1">
        <v>0</v>
      </c>
      <c r="AK8" s="1">
        <v>0</v>
      </c>
      <c r="AL8" s="1">
        <v>1</v>
      </c>
      <c r="AM8" s="1">
        <v>86400</v>
      </c>
      <c r="AN8" s="1">
        <v>80688</v>
      </c>
      <c r="AO8" s="1">
        <v>5712</v>
      </c>
      <c r="AP8" s="1">
        <v>47570</v>
      </c>
      <c r="AQ8" s="1">
        <v>13.826346560234111</v>
      </c>
    </row>
    <row r="9" spans="1:43" x14ac:dyDescent="0.45">
      <c r="A9" s="1">
        <v>8</v>
      </c>
      <c r="B9" s="1">
        <v>26</v>
      </c>
      <c r="C9" s="1">
        <v>126</v>
      </c>
      <c r="D9" s="1" t="s">
        <v>51</v>
      </c>
      <c r="E9" s="1" t="s">
        <v>52</v>
      </c>
      <c r="F9" s="1" t="s">
        <v>53</v>
      </c>
      <c r="G9" s="1" t="s">
        <v>54</v>
      </c>
      <c r="H9" s="1" t="s">
        <v>47</v>
      </c>
      <c r="I9" s="1">
        <v>1113</v>
      </c>
      <c r="J9" s="1">
        <v>60690</v>
      </c>
      <c r="K9" s="1">
        <v>1</v>
      </c>
      <c r="L9" s="1">
        <v>125</v>
      </c>
      <c r="M9" s="1">
        <v>554</v>
      </c>
      <c r="N9" s="1" t="s">
        <v>48</v>
      </c>
      <c r="O9" s="1">
        <v>13939</v>
      </c>
      <c r="P9" s="1">
        <v>90</v>
      </c>
      <c r="Q9" s="1" t="s">
        <v>98</v>
      </c>
      <c r="R9" s="1" t="s">
        <v>50</v>
      </c>
      <c r="S9" s="1">
        <v>0</v>
      </c>
      <c r="T9" s="1">
        <v>0</v>
      </c>
      <c r="U9" s="1">
        <v>50.188000000000002</v>
      </c>
      <c r="V9" s="1">
        <v>26.661999999999999</v>
      </c>
      <c r="W9" s="1">
        <v>0.56000000000000005</v>
      </c>
      <c r="X9" s="1">
        <v>0.248</v>
      </c>
      <c r="Y9" s="1">
        <v>26.908999999999999</v>
      </c>
      <c r="Z9" s="1">
        <v>0.80200000000000005</v>
      </c>
      <c r="AA9" s="1">
        <v>0.4</v>
      </c>
      <c r="AB9" s="1">
        <v>0.4</v>
      </c>
      <c r="AC9" s="1">
        <v>0.4</v>
      </c>
      <c r="AD9" s="1">
        <v>0.248</v>
      </c>
      <c r="AE9" s="1">
        <v>0.80200000000000005</v>
      </c>
      <c r="AF9" s="1">
        <v>0.19900000000000001</v>
      </c>
      <c r="AG9" s="1">
        <v>0.4</v>
      </c>
      <c r="AI9" s="1">
        <v>0</v>
      </c>
      <c r="AJ9" s="1">
        <v>0</v>
      </c>
      <c r="AK9" s="1">
        <v>0</v>
      </c>
      <c r="AL9" s="1">
        <v>1</v>
      </c>
      <c r="AM9" s="1">
        <v>86400</v>
      </c>
      <c r="AN9" s="1">
        <v>68595</v>
      </c>
      <c r="AO9" s="1">
        <v>17805</v>
      </c>
      <c r="AP9" s="1">
        <v>43867</v>
      </c>
      <c r="AQ9" s="1">
        <v>2.0159687930275378</v>
      </c>
    </row>
    <row r="10" spans="1:43" x14ac:dyDescent="0.45">
      <c r="A10" s="1">
        <v>9</v>
      </c>
      <c r="B10" s="1">
        <v>26</v>
      </c>
      <c r="C10" s="1">
        <v>126</v>
      </c>
      <c r="D10" s="1" t="s">
        <v>51</v>
      </c>
      <c r="E10" s="1" t="s">
        <v>52</v>
      </c>
      <c r="F10" s="1" t="s">
        <v>53</v>
      </c>
      <c r="G10" s="1" t="s">
        <v>54</v>
      </c>
      <c r="H10" s="1" t="s">
        <v>47</v>
      </c>
      <c r="I10" s="1">
        <v>1113</v>
      </c>
      <c r="J10" s="1">
        <v>60690</v>
      </c>
      <c r="K10" s="1">
        <v>1</v>
      </c>
      <c r="L10" s="1">
        <v>125</v>
      </c>
      <c r="M10" s="1">
        <v>555</v>
      </c>
      <c r="N10" s="1" t="s">
        <v>48</v>
      </c>
      <c r="O10" s="1">
        <v>13942</v>
      </c>
      <c r="P10" s="1">
        <v>90</v>
      </c>
      <c r="Q10" s="1" t="s">
        <v>98</v>
      </c>
      <c r="R10" s="1" t="s">
        <v>50</v>
      </c>
      <c r="S10" s="1">
        <v>0</v>
      </c>
      <c r="T10" s="1">
        <v>0</v>
      </c>
      <c r="U10" s="1">
        <v>103.935</v>
      </c>
      <c r="V10" s="1">
        <v>26.231999999999999</v>
      </c>
      <c r="W10" s="1">
        <v>0.54</v>
      </c>
      <c r="X10" s="1">
        <v>0.152</v>
      </c>
      <c r="Y10" s="1">
        <v>26.384</v>
      </c>
      <c r="Z10" s="1">
        <v>0.99299999999999999</v>
      </c>
      <c r="AA10" s="1">
        <v>0.7</v>
      </c>
      <c r="AB10" s="1">
        <v>0.7</v>
      </c>
      <c r="AC10" s="1">
        <v>0.7</v>
      </c>
      <c r="AD10" s="1">
        <v>0.152</v>
      </c>
      <c r="AE10" s="1">
        <v>0.99199999999999999</v>
      </c>
      <c r="AF10" s="1">
        <v>0.151</v>
      </c>
      <c r="AG10" s="1">
        <v>0.7</v>
      </c>
      <c r="AI10" s="1">
        <v>0</v>
      </c>
      <c r="AJ10" s="1">
        <v>0</v>
      </c>
      <c r="AK10" s="1">
        <v>0</v>
      </c>
      <c r="AL10" s="1">
        <v>1</v>
      </c>
      <c r="AM10" s="1">
        <v>86400</v>
      </c>
      <c r="AN10" s="1">
        <v>80567</v>
      </c>
      <c r="AO10" s="1">
        <v>5833</v>
      </c>
      <c r="AP10" s="1">
        <v>43866</v>
      </c>
      <c r="AQ10" s="1">
        <v>13.86191296548439</v>
      </c>
    </row>
    <row r="11" spans="1:43" x14ac:dyDescent="0.45">
      <c r="A11" s="1">
        <v>10</v>
      </c>
      <c r="B11" s="1">
        <v>26</v>
      </c>
      <c r="C11" s="1">
        <v>126</v>
      </c>
      <c r="D11" s="1" t="s">
        <v>51</v>
      </c>
      <c r="E11" s="1" t="s">
        <v>52</v>
      </c>
      <c r="F11" s="1" t="s">
        <v>53</v>
      </c>
      <c r="G11" s="1" t="s">
        <v>54</v>
      </c>
      <c r="H11" s="1" t="s">
        <v>47</v>
      </c>
      <c r="I11" s="1">
        <v>1113</v>
      </c>
      <c r="J11" s="1">
        <v>60690</v>
      </c>
      <c r="K11" s="1">
        <v>1</v>
      </c>
      <c r="L11" s="1">
        <v>125</v>
      </c>
      <c r="M11" s="1">
        <v>556</v>
      </c>
      <c r="N11" s="1" t="s">
        <v>48</v>
      </c>
      <c r="O11" s="1">
        <v>13947</v>
      </c>
      <c r="P11" s="1">
        <v>90</v>
      </c>
      <c r="Q11" s="1" t="s">
        <v>98</v>
      </c>
      <c r="R11" s="1" t="s">
        <v>50</v>
      </c>
      <c r="S11" s="1">
        <v>0</v>
      </c>
      <c r="T11" s="1">
        <v>0</v>
      </c>
      <c r="U11" s="1">
        <v>65.254999999999995</v>
      </c>
      <c r="V11" s="1">
        <v>25.541</v>
      </c>
      <c r="W11" s="1">
        <v>0.53</v>
      </c>
      <c r="X11" s="1">
        <v>0.14499999999999999</v>
      </c>
      <c r="Y11" s="1">
        <v>25.686</v>
      </c>
      <c r="Z11" s="1">
        <v>0.85399999999999998</v>
      </c>
      <c r="AA11" s="1">
        <v>1</v>
      </c>
      <c r="AB11" s="1">
        <v>1</v>
      </c>
      <c r="AC11" s="1">
        <v>1</v>
      </c>
      <c r="AD11" s="1">
        <v>0.14499999999999999</v>
      </c>
      <c r="AE11" s="1">
        <v>0.85299999999999998</v>
      </c>
      <c r="AF11" s="1">
        <v>0.124</v>
      </c>
      <c r="AG11" s="1">
        <v>1</v>
      </c>
      <c r="AI11" s="1">
        <v>0</v>
      </c>
      <c r="AJ11" s="1">
        <v>0</v>
      </c>
      <c r="AK11" s="1">
        <v>0</v>
      </c>
      <c r="AL11" s="1">
        <v>1</v>
      </c>
      <c r="AM11" s="1">
        <v>86400</v>
      </c>
      <c r="AN11" s="1">
        <v>81041</v>
      </c>
      <c r="AO11" s="1">
        <v>5359</v>
      </c>
      <c r="AP11" s="1">
        <v>45253</v>
      </c>
      <c r="AQ11" s="1">
        <v>8.1583103042716871</v>
      </c>
    </row>
    <row r="12" spans="1:43" x14ac:dyDescent="0.45">
      <c r="A12" s="1">
        <v>11</v>
      </c>
      <c r="B12" s="1">
        <v>26</v>
      </c>
      <c r="C12" s="1">
        <v>126</v>
      </c>
      <c r="D12" s="1" t="s">
        <v>51</v>
      </c>
      <c r="E12" s="1" t="s">
        <v>52</v>
      </c>
      <c r="F12" s="1" t="s">
        <v>53</v>
      </c>
      <c r="G12" s="1" t="s">
        <v>54</v>
      </c>
      <c r="H12" s="1" t="s">
        <v>47</v>
      </c>
      <c r="I12" s="1">
        <v>1113</v>
      </c>
      <c r="J12" s="1">
        <v>60690</v>
      </c>
      <c r="K12" s="1">
        <v>1</v>
      </c>
      <c r="L12" s="1">
        <v>125</v>
      </c>
      <c r="M12" s="1">
        <v>558</v>
      </c>
      <c r="N12" s="1" t="s">
        <v>48</v>
      </c>
      <c r="O12" s="1">
        <v>13980</v>
      </c>
      <c r="P12" s="1">
        <v>90</v>
      </c>
      <c r="Q12" s="1" t="s">
        <v>98</v>
      </c>
      <c r="R12" s="1" t="s">
        <v>50</v>
      </c>
      <c r="S12" s="1">
        <v>0</v>
      </c>
      <c r="T12" s="1">
        <v>0</v>
      </c>
      <c r="U12" s="1">
        <v>129.672</v>
      </c>
      <c r="V12" s="1">
        <v>26.687000000000001</v>
      </c>
      <c r="W12" s="1">
        <v>1.23</v>
      </c>
      <c r="X12" s="1">
        <v>1.236</v>
      </c>
      <c r="Y12" s="1">
        <v>27.922999999999998</v>
      </c>
      <c r="Z12" s="1">
        <v>0.36399999999999999</v>
      </c>
      <c r="AA12" s="1">
        <v>1.7</v>
      </c>
      <c r="AB12" s="1">
        <v>1.7</v>
      </c>
      <c r="AC12" s="1">
        <v>1.7</v>
      </c>
      <c r="AD12" s="1">
        <v>1.236</v>
      </c>
      <c r="AE12" s="1">
        <v>0.36399999999999999</v>
      </c>
      <c r="AF12" s="1">
        <v>0.45</v>
      </c>
      <c r="AG12" s="1">
        <v>1.7</v>
      </c>
      <c r="AI12" s="1">
        <v>0</v>
      </c>
      <c r="AJ12" s="1">
        <v>0</v>
      </c>
      <c r="AK12" s="1">
        <v>0</v>
      </c>
      <c r="AL12" s="1">
        <v>1</v>
      </c>
      <c r="AM12" s="1">
        <v>86400</v>
      </c>
      <c r="AN12" s="1">
        <v>80900</v>
      </c>
      <c r="AO12" s="1">
        <v>5500</v>
      </c>
      <c r="AP12" s="1">
        <v>46965</v>
      </c>
      <c r="AQ12" s="1">
        <v>16.446085103472111</v>
      </c>
    </row>
    <row r="13" spans="1:43" x14ac:dyDescent="0.45">
      <c r="A13" s="1">
        <v>12</v>
      </c>
      <c r="B13" s="1">
        <v>26</v>
      </c>
      <c r="C13" s="1">
        <v>126</v>
      </c>
      <c r="D13" s="1" t="s">
        <v>51</v>
      </c>
      <c r="E13" s="1" t="s">
        <v>52</v>
      </c>
      <c r="F13" s="1" t="s">
        <v>53</v>
      </c>
      <c r="G13" s="1" t="s">
        <v>54</v>
      </c>
      <c r="H13" s="1" t="s">
        <v>47</v>
      </c>
      <c r="I13" s="1">
        <v>1113</v>
      </c>
      <c r="J13" s="1">
        <v>60690</v>
      </c>
      <c r="K13" s="1">
        <v>1</v>
      </c>
      <c r="L13" s="1">
        <v>125</v>
      </c>
      <c r="M13" s="1">
        <v>559</v>
      </c>
      <c r="N13" s="1" t="s">
        <v>48</v>
      </c>
      <c r="O13" s="1">
        <v>13981</v>
      </c>
      <c r="P13" s="1">
        <v>90</v>
      </c>
      <c r="Q13" s="1" t="s">
        <v>98</v>
      </c>
      <c r="R13" s="1" t="s">
        <v>50</v>
      </c>
      <c r="S13" s="1">
        <v>0</v>
      </c>
      <c r="T13" s="1">
        <v>0</v>
      </c>
      <c r="U13" s="1">
        <v>101.494</v>
      </c>
      <c r="V13" s="1">
        <v>27.503</v>
      </c>
      <c r="W13" s="1">
        <v>0.56999999999999995</v>
      </c>
      <c r="X13" s="1">
        <v>0.42</v>
      </c>
      <c r="Y13" s="1">
        <v>27.922999999999998</v>
      </c>
      <c r="Z13" s="1">
        <v>6.5000000000000002E-2</v>
      </c>
      <c r="AA13" s="1">
        <v>-2.4</v>
      </c>
      <c r="AB13" s="1">
        <v>1</v>
      </c>
      <c r="AC13" s="1">
        <v>1</v>
      </c>
      <c r="AD13" s="1">
        <v>0.42</v>
      </c>
      <c r="AE13" s="1">
        <v>5.7000000000000002E-2</v>
      </c>
      <c r="AF13" s="1">
        <v>2.4E-2</v>
      </c>
      <c r="AI13" s="1">
        <v>0</v>
      </c>
      <c r="AJ13" s="1">
        <v>0</v>
      </c>
      <c r="AK13" s="1">
        <v>0</v>
      </c>
      <c r="AL13" s="1">
        <v>1</v>
      </c>
      <c r="AM13" s="1">
        <v>86400</v>
      </c>
      <c r="AN13" s="1">
        <v>67108</v>
      </c>
      <c r="AO13" s="1">
        <v>19292</v>
      </c>
      <c r="AP13" s="1">
        <v>46836</v>
      </c>
      <c r="AQ13" s="1">
        <v>2.550246115372929</v>
      </c>
    </row>
    <row r="14" spans="1:43" x14ac:dyDescent="0.45">
      <c r="A14" s="1">
        <v>13</v>
      </c>
      <c r="B14" s="1">
        <v>26</v>
      </c>
      <c r="C14" s="1">
        <v>126</v>
      </c>
      <c r="D14" s="1" t="s">
        <v>51</v>
      </c>
      <c r="E14" s="1" t="s">
        <v>52</v>
      </c>
      <c r="F14" s="1" t="s">
        <v>53</v>
      </c>
      <c r="G14" s="1" t="s">
        <v>54</v>
      </c>
      <c r="H14" s="1" t="s">
        <v>47</v>
      </c>
      <c r="I14" s="1">
        <v>1113</v>
      </c>
      <c r="J14" s="1">
        <v>60690</v>
      </c>
      <c r="K14" s="1">
        <v>1</v>
      </c>
      <c r="L14" s="1">
        <v>125</v>
      </c>
      <c r="M14" s="1">
        <v>560</v>
      </c>
      <c r="N14" s="1" t="s">
        <v>48</v>
      </c>
      <c r="O14" s="1">
        <v>13983</v>
      </c>
      <c r="P14" s="1">
        <v>90</v>
      </c>
      <c r="Q14" s="1" t="s">
        <v>98</v>
      </c>
      <c r="R14" s="1" t="s">
        <v>50</v>
      </c>
      <c r="S14" s="1">
        <v>0</v>
      </c>
      <c r="T14" s="1">
        <v>0</v>
      </c>
      <c r="U14" s="1">
        <v>120.179</v>
      </c>
      <c r="V14" s="1">
        <v>26.143000000000001</v>
      </c>
      <c r="W14" s="1">
        <v>1.27</v>
      </c>
      <c r="X14" s="1">
        <v>1.78</v>
      </c>
      <c r="Y14" s="1">
        <v>27.922999999999998</v>
      </c>
      <c r="Z14" s="1">
        <v>1.2999999999999999E-2</v>
      </c>
      <c r="AA14" s="1">
        <v>0.5</v>
      </c>
      <c r="AB14" s="1">
        <v>0.5</v>
      </c>
      <c r="AC14" s="1">
        <v>0.5</v>
      </c>
      <c r="AD14" s="1">
        <v>1.78</v>
      </c>
      <c r="AE14" s="1">
        <v>1.2999999999999999E-2</v>
      </c>
      <c r="AF14" s="1">
        <v>2.4E-2</v>
      </c>
      <c r="AG14" s="1">
        <v>0.5</v>
      </c>
      <c r="AI14" s="1">
        <v>0</v>
      </c>
      <c r="AJ14" s="1">
        <v>0</v>
      </c>
      <c r="AK14" s="1">
        <v>0</v>
      </c>
      <c r="AL14" s="1">
        <v>1</v>
      </c>
      <c r="AM14" s="1">
        <v>86400</v>
      </c>
      <c r="AN14" s="1">
        <v>81101</v>
      </c>
      <c r="AO14" s="1">
        <v>5299</v>
      </c>
      <c r="AP14" s="1">
        <v>43720</v>
      </c>
      <c r="AQ14" s="1">
        <v>18.214009098420071</v>
      </c>
    </row>
    <row r="15" spans="1:43" x14ac:dyDescent="0.45">
      <c r="A15" s="1">
        <v>14</v>
      </c>
      <c r="B15" s="1">
        <v>26</v>
      </c>
      <c r="C15" s="1">
        <v>126</v>
      </c>
      <c r="D15" s="1" t="s">
        <v>51</v>
      </c>
      <c r="E15" s="1" t="s">
        <v>52</v>
      </c>
      <c r="F15" s="1" t="s">
        <v>53</v>
      </c>
      <c r="G15" s="1" t="s">
        <v>54</v>
      </c>
      <c r="H15" s="1" t="s">
        <v>47</v>
      </c>
      <c r="I15" s="1">
        <v>1113</v>
      </c>
      <c r="J15" s="1">
        <v>60690</v>
      </c>
      <c r="K15" s="1">
        <v>1</v>
      </c>
      <c r="L15" s="1">
        <v>125</v>
      </c>
      <c r="M15" s="1">
        <v>561</v>
      </c>
      <c r="N15" s="1" t="s">
        <v>48</v>
      </c>
      <c r="O15" s="1">
        <v>13984</v>
      </c>
      <c r="P15" s="1">
        <v>90</v>
      </c>
      <c r="Q15" s="1" t="s">
        <v>98</v>
      </c>
      <c r="R15" s="1" t="s">
        <v>50</v>
      </c>
      <c r="S15" s="1">
        <v>0</v>
      </c>
      <c r="T15" s="1">
        <v>0</v>
      </c>
      <c r="U15" s="1">
        <v>56.768999999999998</v>
      </c>
      <c r="V15" s="1">
        <v>26.436</v>
      </c>
      <c r="W15" s="1">
        <v>1.24</v>
      </c>
      <c r="X15" s="1">
        <v>1.486</v>
      </c>
      <c r="Y15" s="1">
        <v>27.922999999999998</v>
      </c>
      <c r="Z15" s="1">
        <v>6.4000000000000001E-2</v>
      </c>
      <c r="AA15" s="1">
        <v>2</v>
      </c>
      <c r="AB15" s="1">
        <v>2</v>
      </c>
      <c r="AC15" s="1">
        <v>2</v>
      </c>
      <c r="AD15" s="1">
        <v>1.486</v>
      </c>
      <c r="AE15" s="1">
        <v>6.4000000000000001E-2</v>
      </c>
      <c r="AF15" s="1">
        <v>9.5000000000000001E-2</v>
      </c>
      <c r="AG15" s="1">
        <v>2</v>
      </c>
      <c r="AI15" s="1">
        <v>0</v>
      </c>
      <c r="AJ15" s="1">
        <v>0</v>
      </c>
      <c r="AK15" s="1">
        <v>0</v>
      </c>
      <c r="AL15" s="1">
        <v>1</v>
      </c>
      <c r="AM15" s="1">
        <v>86400</v>
      </c>
      <c r="AN15" s="1">
        <v>78870</v>
      </c>
      <c r="AO15" s="1">
        <v>7530</v>
      </c>
      <c r="AP15" s="1">
        <v>45197</v>
      </c>
      <c r="AQ15" s="1">
        <v>8.1239243294216497</v>
      </c>
    </row>
    <row r="16" spans="1:43" x14ac:dyDescent="0.45">
      <c r="A16" s="1">
        <v>15</v>
      </c>
      <c r="B16" s="1">
        <v>26</v>
      </c>
      <c r="C16" s="1">
        <v>126</v>
      </c>
      <c r="D16" s="1" t="s">
        <v>51</v>
      </c>
      <c r="E16" s="1" t="s">
        <v>52</v>
      </c>
      <c r="F16" s="1" t="s">
        <v>53</v>
      </c>
      <c r="G16" s="1" t="s">
        <v>54</v>
      </c>
      <c r="H16" s="1" t="s">
        <v>47</v>
      </c>
      <c r="I16" s="1">
        <v>1113</v>
      </c>
      <c r="J16" s="1">
        <v>60690</v>
      </c>
      <c r="K16" s="1">
        <v>1</v>
      </c>
      <c r="L16" s="1">
        <v>125</v>
      </c>
      <c r="M16" s="1">
        <v>562</v>
      </c>
      <c r="N16" s="1" t="s">
        <v>48</v>
      </c>
      <c r="O16" s="1">
        <v>13985</v>
      </c>
      <c r="P16" s="1">
        <v>90</v>
      </c>
      <c r="Q16" s="1" t="s">
        <v>98</v>
      </c>
      <c r="R16" s="1" t="s">
        <v>50</v>
      </c>
      <c r="S16" s="1">
        <v>0</v>
      </c>
      <c r="T16" s="1">
        <v>0</v>
      </c>
      <c r="U16" s="1">
        <v>123.34399999999999</v>
      </c>
      <c r="V16" s="1">
        <v>26.719000000000001</v>
      </c>
      <c r="W16" s="1">
        <v>1.21</v>
      </c>
      <c r="X16" s="1">
        <v>1.204</v>
      </c>
      <c r="Y16" s="1">
        <v>27.922999999999998</v>
      </c>
      <c r="Z16" s="1">
        <v>0.23499999999999999</v>
      </c>
      <c r="AA16" s="1">
        <v>1</v>
      </c>
      <c r="AB16" s="1">
        <v>1</v>
      </c>
      <c r="AC16" s="1">
        <v>1</v>
      </c>
      <c r="AD16" s="1">
        <v>1.204</v>
      </c>
      <c r="AE16" s="1">
        <v>0.23400000000000001</v>
      </c>
      <c r="AF16" s="1">
        <v>0.28199999999999997</v>
      </c>
      <c r="AG16" s="1">
        <v>1</v>
      </c>
      <c r="AI16" s="1">
        <v>0</v>
      </c>
      <c r="AJ16" s="1">
        <v>0</v>
      </c>
      <c r="AK16" s="1">
        <v>0</v>
      </c>
      <c r="AL16" s="1">
        <v>1</v>
      </c>
      <c r="AM16" s="1">
        <v>86400</v>
      </c>
      <c r="AN16" s="1">
        <v>75897</v>
      </c>
      <c r="AO16" s="1">
        <v>10503</v>
      </c>
      <c r="AP16" s="1">
        <v>46878</v>
      </c>
      <c r="AQ16" s="1">
        <v>19.124216548558131</v>
      </c>
    </row>
    <row r="17" spans="1:43" x14ac:dyDescent="0.45">
      <c r="A17" s="1">
        <v>16</v>
      </c>
      <c r="B17" s="1">
        <v>26</v>
      </c>
      <c r="C17" s="1">
        <v>126</v>
      </c>
      <c r="D17" s="1" t="s">
        <v>51</v>
      </c>
      <c r="E17" s="1" t="s">
        <v>52</v>
      </c>
      <c r="F17" s="1" t="s">
        <v>53</v>
      </c>
      <c r="G17" s="1" t="s">
        <v>54</v>
      </c>
      <c r="H17" s="1" t="s">
        <v>47</v>
      </c>
      <c r="I17" s="1">
        <v>1113</v>
      </c>
      <c r="J17" s="1">
        <v>60690</v>
      </c>
      <c r="K17" s="1">
        <v>1</v>
      </c>
      <c r="L17" s="1">
        <v>125</v>
      </c>
      <c r="M17" s="1">
        <v>563</v>
      </c>
      <c r="N17" s="1" t="s">
        <v>48</v>
      </c>
      <c r="O17" s="1">
        <v>13991</v>
      </c>
      <c r="P17" s="1">
        <v>90</v>
      </c>
      <c r="Q17" s="1" t="s">
        <v>98</v>
      </c>
      <c r="R17" s="1" t="s">
        <v>50</v>
      </c>
      <c r="S17" s="1">
        <v>0</v>
      </c>
      <c r="T17" s="1">
        <v>0</v>
      </c>
      <c r="U17" s="1">
        <v>207.12200000000001</v>
      </c>
      <c r="V17" s="1">
        <v>27.35</v>
      </c>
      <c r="W17" s="1">
        <v>0.62</v>
      </c>
      <c r="X17" s="1">
        <v>0.73799999999999999</v>
      </c>
      <c r="Y17" s="1">
        <v>28.087</v>
      </c>
      <c r="Z17" s="1">
        <v>0.17100000000000001</v>
      </c>
      <c r="AA17" s="1">
        <v>1.2</v>
      </c>
      <c r="AB17" s="1">
        <v>1.2</v>
      </c>
      <c r="AC17" s="1">
        <v>1.2</v>
      </c>
      <c r="AD17" s="1">
        <v>0.73799999999999999</v>
      </c>
      <c r="AE17" s="1">
        <v>0.17100000000000001</v>
      </c>
      <c r="AF17" s="1">
        <v>0.126</v>
      </c>
      <c r="AG17" s="1">
        <v>1.2</v>
      </c>
      <c r="AI17" s="1">
        <v>0</v>
      </c>
      <c r="AJ17" s="1">
        <v>0</v>
      </c>
      <c r="AK17" s="1">
        <v>0</v>
      </c>
      <c r="AL17" s="1">
        <v>1</v>
      </c>
      <c r="AM17" s="1">
        <v>86400</v>
      </c>
      <c r="AN17" s="1">
        <v>79657</v>
      </c>
      <c r="AO17" s="1">
        <v>6743</v>
      </c>
      <c r="AP17" s="1">
        <v>43838</v>
      </c>
      <c r="AQ17" s="1">
        <v>19.211231599200559</v>
      </c>
    </row>
    <row r="18" spans="1:43" x14ac:dyDescent="0.45">
      <c r="A18" s="1">
        <v>17</v>
      </c>
      <c r="B18" s="1">
        <v>26</v>
      </c>
      <c r="C18" s="1">
        <v>126</v>
      </c>
      <c r="D18" s="1" t="s">
        <v>51</v>
      </c>
      <c r="E18" s="1" t="s">
        <v>52</v>
      </c>
      <c r="F18" s="1" t="s">
        <v>53</v>
      </c>
      <c r="G18" s="1" t="s">
        <v>54</v>
      </c>
      <c r="H18" s="1" t="s">
        <v>47</v>
      </c>
      <c r="I18" s="1">
        <v>1113</v>
      </c>
      <c r="J18" s="1">
        <v>60690</v>
      </c>
      <c r="K18" s="1">
        <v>1</v>
      </c>
      <c r="L18" s="1">
        <v>125</v>
      </c>
      <c r="M18" s="1">
        <v>565</v>
      </c>
      <c r="N18" s="1" t="s">
        <v>48</v>
      </c>
      <c r="O18" s="1">
        <v>13995</v>
      </c>
      <c r="P18" s="1">
        <v>90</v>
      </c>
      <c r="Q18" s="1" t="s">
        <v>98</v>
      </c>
      <c r="R18" s="1" t="s">
        <v>50</v>
      </c>
      <c r="S18" s="1">
        <v>0</v>
      </c>
      <c r="T18" s="1">
        <v>0</v>
      </c>
      <c r="U18" s="1">
        <v>115.254</v>
      </c>
      <c r="V18" s="1">
        <v>27.329000000000001</v>
      </c>
      <c r="W18" s="1">
        <v>0.56999999999999995</v>
      </c>
      <c r="X18" s="1">
        <v>0.40699999999999997</v>
      </c>
      <c r="Y18" s="1">
        <v>27.734999999999999</v>
      </c>
      <c r="Z18" s="1">
        <v>0.26600000000000001</v>
      </c>
      <c r="AA18" s="1">
        <v>-2.2999999999999998</v>
      </c>
      <c r="AB18" s="1">
        <v>-2.2999999999999998</v>
      </c>
      <c r="AC18" s="1">
        <v>-2.2999999999999998</v>
      </c>
      <c r="AD18" s="1">
        <v>0.40699999999999997</v>
      </c>
      <c r="AE18" s="1">
        <v>0.26600000000000001</v>
      </c>
      <c r="AF18" s="1">
        <v>0.108</v>
      </c>
      <c r="AG18" s="1">
        <v>-2.2999999999999998</v>
      </c>
      <c r="AI18" s="1">
        <v>0</v>
      </c>
      <c r="AJ18" s="1">
        <v>0</v>
      </c>
      <c r="AK18" s="1">
        <v>0</v>
      </c>
      <c r="AL18" s="1">
        <v>1</v>
      </c>
      <c r="AM18" s="1">
        <v>86400</v>
      </c>
      <c r="AN18" s="1">
        <v>70191</v>
      </c>
      <c r="AO18" s="1">
        <v>16209</v>
      </c>
      <c r="AP18" s="1">
        <v>47070</v>
      </c>
      <c r="AQ18" s="1">
        <v>6.441037423361375</v>
      </c>
    </row>
    <row r="19" spans="1:43" x14ac:dyDescent="0.45">
      <c r="A19" s="1">
        <v>18</v>
      </c>
      <c r="B19" s="1">
        <v>26</v>
      </c>
      <c r="C19" s="1">
        <v>126</v>
      </c>
      <c r="D19" s="1" t="s">
        <v>51</v>
      </c>
      <c r="E19" s="1" t="s">
        <v>52</v>
      </c>
      <c r="F19" s="1" t="s">
        <v>53</v>
      </c>
      <c r="G19" s="1" t="s">
        <v>54</v>
      </c>
      <c r="H19" s="1" t="s">
        <v>47</v>
      </c>
      <c r="I19" s="1">
        <v>1113</v>
      </c>
      <c r="J19" s="1">
        <v>60690</v>
      </c>
      <c r="K19" s="1">
        <v>1</v>
      </c>
      <c r="L19" s="1">
        <v>125</v>
      </c>
      <c r="M19" s="1">
        <v>567</v>
      </c>
      <c r="N19" s="1" t="s">
        <v>48</v>
      </c>
      <c r="O19" s="1">
        <v>13998</v>
      </c>
      <c r="P19" s="1">
        <v>90</v>
      </c>
      <c r="Q19" s="1" t="s">
        <v>98</v>
      </c>
      <c r="R19" s="1" t="s">
        <v>50</v>
      </c>
      <c r="S19" s="1">
        <v>0</v>
      </c>
      <c r="T19" s="1">
        <v>0</v>
      </c>
      <c r="U19" s="1">
        <v>119.096</v>
      </c>
      <c r="V19" s="1">
        <v>27.666</v>
      </c>
      <c r="W19" s="1">
        <v>0.52</v>
      </c>
      <c r="X19" s="1">
        <v>0.11700000000000001</v>
      </c>
      <c r="Y19" s="1">
        <v>27.782</v>
      </c>
      <c r="Z19" s="1">
        <v>0.41299999999999998</v>
      </c>
      <c r="AA19" s="1">
        <v>1.1000000000000001</v>
      </c>
      <c r="AB19" s="1">
        <v>1.1000000000000001</v>
      </c>
      <c r="AC19" s="1">
        <v>1.1000000000000001</v>
      </c>
      <c r="AD19" s="1">
        <v>0.11700000000000001</v>
      </c>
      <c r="AE19" s="1">
        <v>0.41199999999999998</v>
      </c>
      <c r="AF19" s="1">
        <v>4.8000000000000001E-2</v>
      </c>
      <c r="AG19" s="1">
        <v>1.1000000000000001</v>
      </c>
      <c r="AI19" s="1">
        <v>0</v>
      </c>
      <c r="AJ19" s="1">
        <v>0</v>
      </c>
      <c r="AK19" s="1">
        <v>0</v>
      </c>
      <c r="AL19" s="1">
        <v>1</v>
      </c>
      <c r="AM19" s="1">
        <v>86400</v>
      </c>
      <c r="AN19" s="1">
        <v>79371</v>
      </c>
      <c r="AO19" s="1">
        <v>7029</v>
      </c>
      <c r="AP19" s="1">
        <v>47204</v>
      </c>
      <c r="AQ19" s="1">
        <v>10.97122603180012</v>
      </c>
    </row>
    <row r="20" spans="1:43" x14ac:dyDescent="0.45">
      <c r="A20" s="1">
        <v>19</v>
      </c>
      <c r="B20" s="1">
        <v>26</v>
      </c>
      <c r="C20" s="1">
        <v>126</v>
      </c>
      <c r="D20" s="1" t="s">
        <v>51</v>
      </c>
      <c r="E20" s="1" t="s">
        <v>52</v>
      </c>
      <c r="F20" s="1" t="s">
        <v>53</v>
      </c>
      <c r="G20" s="1" t="s">
        <v>54</v>
      </c>
      <c r="H20" s="1" t="s">
        <v>47</v>
      </c>
      <c r="I20" s="1">
        <v>1113</v>
      </c>
      <c r="J20" s="1">
        <v>60690</v>
      </c>
      <c r="K20" s="1">
        <v>1</v>
      </c>
      <c r="L20" s="1">
        <v>125</v>
      </c>
      <c r="M20" s="1">
        <v>568</v>
      </c>
      <c r="N20" s="1" t="s">
        <v>48</v>
      </c>
      <c r="O20" s="1">
        <v>14003</v>
      </c>
      <c r="P20" s="1">
        <v>90</v>
      </c>
      <c r="Q20" s="1" t="s">
        <v>98</v>
      </c>
      <c r="R20" s="1" t="s">
        <v>50</v>
      </c>
      <c r="S20" s="1">
        <v>0</v>
      </c>
      <c r="T20" s="1">
        <v>0</v>
      </c>
      <c r="U20" s="1">
        <v>228.09399999999999</v>
      </c>
      <c r="V20" s="1">
        <v>27.916</v>
      </c>
      <c r="W20" s="1">
        <v>0.53</v>
      </c>
      <c r="X20" s="1">
        <v>0.189</v>
      </c>
      <c r="Y20" s="1">
        <v>28.103999999999999</v>
      </c>
      <c r="Z20" s="1">
        <v>0.308</v>
      </c>
      <c r="AA20" s="1">
        <v>1.1000000000000001</v>
      </c>
      <c r="AB20" s="1">
        <v>1.1000000000000001</v>
      </c>
      <c r="AC20" s="1">
        <v>1.1000000000000001</v>
      </c>
      <c r="AD20" s="1">
        <v>0.189</v>
      </c>
      <c r="AE20" s="1">
        <v>0.308</v>
      </c>
      <c r="AF20" s="1">
        <v>5.8000000000000003E-2</v>
      </c>
      <c r="AG20" s="1">
        <v>1.1000000000000001</v>
      </c>
      <c r="AI20" s="1">
        <v>0</v>
      </c>
      <c r="AJ20" s="1">
        <v>0</v>
      </c>
      <c r="AK20" s="1">
        <v>0</v>
      </c>
      <c r="AL20" s="1">
        <v>1</v>
      </c>
      <c r="AM20" s="1">
        <v>86400</v>
      </c>
      <c r="AN20" s="1">
        <v>79823</v>
      </c>
      <c r="AO20" s="1">
        <v>6577</v>
      </c>
      <c r="AP20" s="1">
        <v>43483</v>
      </c>
      <c r="AQ20" s="1">
        <v>19.374882702662571</v>
      </c>
    </row>
    <row r="21" spans="1:43" x14ac:dyDescent="0.45">
      <c r="A21" s="1">
        <v>20</v>
      </c>
      <c r="B21" s="1">
        <v>26</v>
      </c>
      <c r="C21" s="1">
        <v>126</v>
      </c>
      <c r="D21" s="1" t="s">
        <v>51</v>
      </c>
      <c r="E21" s="1" t="s">
        <v>52</v>
      </c>
      <c r="F21" s="1" t="s">
        <v>53</v>
      </c>
      <c r="G21" s="1" t="s">
        <v>54</v>
      </c>
      <c r="H21" s="1" t="s">
        <v>47</v>
      </c>
      <c r="I21" s="1">
        <v>1113</v>
      </c>
      <c r="J21" s="1">
        <v>60690</v>
      </c>
      <c r="K21" s="1">
        <v>1</v>
      </c>
      <c r="L21" s="1">
        <v>125</v>
      </c>
      <c r="M21" s="1">
        <v>570</v>
      </c>
      <c r="N21" s="1" t="s">
        <v>48</v>
      </c>
      <c r="O21" s="1">
        <v>14028</v>
      </c>
      <c r="P21" s="1">
        <v>90</v>
      </c>
      <c r="Q21" s="1" t="s">
        <v>98</v>
      </c>
      <c r="R21" s="1" t="s">
        <v>50</v>
      </c>
      <c r="S21" s="1">
        <v>0</v>
      </c>
      <c r="T21" s="1">
        <v>0</v>
      </c>
      <c r="U21" s="1">
        <v>53.363999999999997</v>
      </c>
      <c r="V21" s="1">
        <v>26.815000000000001</v>
      </c>
      <c r="W21" s="1">
        <v>1.1499999999999999</v>
      </c>
      <c r="X21" s="1">
        <v>0.92200000000000004</v>
      </c>
      <c r="Y21" s="1">
        <v>27.736999999999998</v>
      </c>
      <c r="Z21" s="1">
        <v>5.8999999999999997E-2</v>
      </c>
      <c r="AA21" s="1">
        <v>-0.7</v>
      </c>
      <c r="AB21" s="1">
        <v>-0.6</v>
      </c>
      <c r="AC21" s="1">
        <v>-0.6</v>
      </c>
      <c r="AD21" s="1">
        <v>0.92200000000000004</v>
      </c>
      <c r="AE21" s="1">
        <v>5.7000000000000002E-2</v>
      </c>
      <c r="AF21" s="1">
        <v>5.2999999999999999E-2</v>
      </c>
      <c r="AG21" s="1">
        <v>-0.7</v>
      </c>
      <c r="AI21" s="1">
        <v>0</v>
      </c>
      <c r="AJ21" s="1">
        <v>0</v>
      </c>
      <c r="AK21" s="1">
        <v>0</v>
      </c>
      <c r="AL21" s="1">
        <v>1</v>
      </c>
      <c r="AM21" s="1">
        <v>86400</v>
      </c>
      <c r="AN21" s="1">
        <v>79463</v>
      </c>
      <c r="AO21" s="1">
        <v>6937</v>
      </c>
      <c r="AP21" s="1">
        <v>47047</v>
      </c>
      <c r="AQ21" s="1">
        <v>8.9482359510857084</v>
      </c>
    </row>
    <row r="22" spans="1:43" x14ac:dyDescent="0.45">
      <c r="A22" s="1">
        <v>21</v>
      </c>
      <c r="B22" s="1">
        <v>26</v>
      </c>
      <c r="C22" s="1">
        <v>126</v>
      </c>
      <c r="D22" s="1" t="s">
        <v>51</v>
      </c>
      <c r="E22" s="1" t="s">
        <v>52</v>
      </c>
      <c r="F22" s="1" t="s">
        <v>53</v>
      </c>
      <c r="G22" s="1" t="s">
        <v>54</v>
      </c>
      <c r="H22" s="1" t="s">
        <v>47</v>
      </c>
      <c r="I22" s="1">
        <v>1113</v>
      </c>
      <c r="J22" s="1">
        <v>60690</v>
      </c>
      <c r="K22" s="1">
        <v>1</v>
      </c>
      <c r="L22" s="1">
        <v>125</v>
      </c>
      <c r="M22" s="1">
        <v>571</v>
      </c>
      <c r="N22" s="1" t="s">
        <v>48</v>
      </c>
      <c r="O22" s="1">
        <v>14029</v>
      </c>
      <c r="P22" s="1">
        <v>90</v>
      </c>
      <c r="Q22" s="1" t="s">
        <v>98</v>
      </c>
      <c r="R22" s="1" t="s">
        <v>50</v>
      </c>
      <c r="S22" s="1">
        <v>0</v>
      </c>
      <c r="T22" s="1">
        <v>0</v>
      </c>
      <c r="U22" s="1">
        <v>87.582999999999998</v>
      </c>
      <c r="V22" s="1">
        <v>26.785</v>
      </c>
      <c r="W22" s="1">
        <v>1.1499999999999999</v>
      </c>
      <c r="X22" s="1">
        <v>0.95</v>
      </c>
      <c r="Y22" s="1">
        <v>27.734999999999999</v>
      </c>
      <c r="Z22" s="1">
        <v>7.0000000000000007E-2</v>
      </c>
      <c r="AA22" s="1">
        <v>-0.9</v>
      </c>
      <c r="AB22" s="1">
        <v>2.2000000000000002</v>
      </c>
      <c r="AC22" s="1">
        <v>2.2000000000000002</v>
      </c>
      <c r="AD22" s="1">
        <v>0.95</v>
      </c>
      <c r="AE22" s="1">
        <v>6.4000000000000001E-2</v>
      </c>
      <c r="AF22" s="1">
        <v>6.0999999999999999E-2</v>
      </c>
      <c r="AG22" s="1">
        <v>-0.9</v>
      </c>
      <c r="AI22" s="1">
        <v>0</v>
      </c>
      <c r="AJ22" s="1">
        <v>0</v>
      </c>
      <c r="AK22" s="1">
        <v>0</v>
      </c>
      <c r="AL22" s="1">
        <v>1</v>
      </c>
      <c r="AM22" s="1">
        <v>86400</v>
      </c>
      <c r="AN22" s="1">
        <v>80687</v>
      </c>
      <c r="AO22" s="1">
        <v>5713</v>
      </c>
      <c r="AP22" s="1">
        <v>47369</v>
      </c>
      <c r="AQ22" s="1">
        <v>5.2917711164931864</v>
      </c>
    </row>
    <row r="23" spans="1:43" x14ac:dyDescent="0.45">
      <c r="A23" s="1">
        <v>22</v>
      </c>
      <c r="B23" s="1">
        <v>26</v>
      </c>
      <c r="C23" s="1">
        <v>126</v>
      </c>
      <c r="D23" s="1" t="s">
        <v>51</v>
      </c>
      <c r="E23" s="1" t="s">
        <v>52</v>
      </c>
      <c r="F23" s="1" t="s">
        <v>53</v>
      </c>
      <c r="G23" s="1" t="s">
        <v>54</v>
      </c>
      <c r="H23" s="1" t="s">
        <v>47</v>
      </c>
      <c r="I23" s="1">
        <v>1113</v>
      </c>
      <c r="J23" s="1">
        <v>60690</v>
      </c>
      <c r="K23" s="1">
        <v>1</v>
      </c>
      <c r="L23" s="1">
        <v>125</v>
      </c>
      <c r="M23" s="1">
        <v>929</v>
      </c>
      <c r="N23" s="1" t="s">
        <v>48</v>
      </c>
      <c r="O23" s="1">
        <v>14674</v>
      </c>
      <c r="P23" s="1">
        <v>90</v>
      </c>
      <c r="Q23" s="1" t="s">
        <v>98</v>
      </c>
      <c r="R23" s="1" t="s">
        <v>50</v>
      </c>
      <c r="S23" s="1">
        <v>0</v>
      </c>
      <c r="T23" s="1">
        <v>0</v>
      </c>
      <c r="U23" s="1">
        <v>161.94</v>
      </c>
      <c r="V23" s="1">
        <v>27.719000000000001</v>
      </c>
      <c r="W23" s="1">
        <v>0.56999999999999995</v>
      </c>
      <c r="X23" s="1">
        <v>0.35099999999999998</v>
      </c>
      <c r="Y23" s="1">
        <v>28.07</v>
      </c>
      <c r="Z23" s="1">
        <v>0.35299999999999998</v>
      </c>
      <c r="AA23" s="1">
        <v>-2.4</v>
      </c>
      <c r="AB23" s="1">
        <v>-2.4</v>
      </c>
      <c r="AC23" s="1">
        <v>-2.4</v>
      </c>
      <c r="AD23" s="1">
        <v>0.35099999999999998</v>
      </c>
      <c r="AE23" s="1">
        <v>0.35299999999999998</v>
      </c>
      <c r="AF23" s="1">
        <v>0.124</v>
      </c>
      <c r="AG23" s="1">
        <v>-2.4</v>
      </c>
      <c r="AI23" s="1">
        <v>0</v>
      </c>
      <c r="AJ23" s="1">
        <v>0</v>
      </c>
      <c r="AK23" s="1">
        <v>0</v>
      </c>
      <c r="AL23" s="1">
        <v>1</v>
      </c>
      <c r="AM23" s="1">
        <v>86400</v>
      </c>
      <c r="AN23" s="1">
        <v>79220</v>
      </c>
      <c r="AO23" s="1">
        <v>7180</v>
      </c>
      <c r="AP23" s="1">
        <v>43556</v>
      </c>
      <c r="AQ23" s="1">
        <v>18.43219016539382</v>
      </c>
    </row>
    <row r="24" spans="1:43" x14ac:dyDescent="0.45">
      <c r="A24" s="1">
        <v>23</v>
      </c>
      <c r="B24" s="1">
        <v>26</v>
      </c>
      <c r="C24" s="1">
        <v>126</v>
      </c>
      <c r="D24" s="1" t="s">
        <v>51</v>
      </c>
      <c r="E24" s="1" t="s">
        <v>52</v>
      </c>
      <c r="F24" s="1" t="s">
        <v>53</v>
      </c>
      <c r="G24" s="1" t="s">
        <v>54</v>
      </c>
      <c r="H24" s="1" t="s">
        <v>47</v>
      </c>
      <c r="I24" s="1">
        <v>1113</v>
      </c>
      <c r="J24" s="1">
        <v>60690</v>
      </c>
      <c r="K24" s="1">
        <v>1</v>
      </c>
      <c r="L24" s="1">
        <v>125</v>
      </c>
      <c r="M24" s="1">
        <v>932</v>
      </c>
      <c r="N24" s="1" t="s">
        <v>48</v>
      </c>
      <c r="O24" s="1">
        <v>14686</v>
      </c>
      <c r="P24" s="1">
        <v>90</v>
      </c>
      <c r="Q24" s="1" t="s">
        <v>98</v>
      </c>
      <c r="R24" s="1" t="s">
        <v>50</v>
      </c>
      <c r="S24" s="1">
        <v>0</v>
      </c>
      <c r="T24" s="1">
        <v>0</v>
      </c>
      <c r="U24" s="1">
        <v>116.11799999999999</v>
      </c>
      <c r="V24" s="1">
        <v>26.023</v>
      </c>
      <c r="W24" s="1">
        <v>0.53</v>
      </c>
      <c r="X24" s="1">
        <v>0.108</v>
      </c>
      <c r="Y24" s="1">
        <v>26.131</v>
      </c>
      <c r="Z24" s="1">
        <v>1.758</v>
      </c>
      <c r="AA24" s="1">
        <v>-0.1</v>
      </c>
      <c r="AB24" s="1">
        <v>-0.1</v>
      </c>
      <c r="AC24" s="1">
        <v>-0.1</v>
      </c>
      <c r="AD24" s="1">
        <v>0.108</v>
      </c>
      <c r="AE24" s="1">
        <v>1.756</v>
      </c>
      <c r="AF24" s="1">
        <v>0.19</v>
      </c>
      <c r="AG24" s="1">
        <v>-0.1</v>
      </c>
      <c r="AI24" s="1">
        <v>0</v>
      </c>
      <c r="AJ24" s="1">
        <v>0</v>
      </c>
      <c r="AK24" s="1">
        <v>0</v>
      </c>
      <c r="AL24" s="1">
        <v>1</v>
      </c>
      <c r="AM24" s="1">
        <v>51982</v>
      </c>
      <c r="AN24" s="1">
        <v>8625</v>
      </c>
      <c r="AO24" s="1">
        <v>43357</v>
      </c>
      <c r="AP24" s="1">
        <v>48023</v>
      </c>
      <c r="AQ24" s="1">
        <v>12.08164785479444</v>
      </c>
    </row>
    <row r="25" spans="1:43" x14ac:dyDescent="0.45">
      <c r="A25" s="1">
        <v>24</v>
      </c>
      <c r="B25" s="1">
        <v>26</v>
      </c>
      <c r="C25" s="1">
        <v>126</v>
      </c>
      <c r="D25" s="1" t="s">
        <v>51</v>
      </c>
      <c r="E25" s="1" t="s">
        <v>52</v>
      </c>
      <c r="F25" s="1" t="s">
        <v>53</v>
      </c>
      <c r="G25" s="1" t="s">
        <v>54</v>
      </c>
      <c r="H25" s="1" t="s">
        <v>47</v>
      </c>
      <c r="I25" s="1">
        <v>1113</v>
      </c>
      <c r="J25" s="1">
        <v>60690</v>
      </c>
      <c r="K25" s="1">
        <v>1</v>
      </c>
      <c r="L25" s="1">
        <v>125</v>
      </c>
      <c r="M25" s="1">
        <v>1110</v>
      </c>
      <c r="N25" s="1" t="s">
        <v>48</v>
      </c>
      <c r="O25" s="1">
        <v>15184</v>
      </c>
      <c r="P25" s="1">
        <v>90</v>
      </c>
      <c r="Q25" s="1" t="s">
        <v>98</v>
      </c>
      <c r="R25" s="1" t="s">
        <v>50</v>
      </c>
      <c r="S25" s="1">
        <v>0</v>
      </c>
      <c r="T25" s="1">
        <v>0</v>
      </c>
      <c r="U25" s="1">
        <v>94.39</v>
      </c>
      <c r="V25" s="1">
        <v>24.486000000000001</v>
      </c>
      <c r="W25" s="1">
        <v>0.54</v>
      </c>
      <c r="X25" s="1">
        <v>0.123</v>
      </c>
      <c r="Y25" s="1">
        <v>24.608000000000001</v>
      </c>
      <c r="Z25" s="1">
        <v>1.909</v>
      </c>
      <c r="AA25" s="1">
        <v>-0.7</v>
      </c>
      <c r="AB25" s="1">
        <v>-0.7</v>
      </c>
      <c r="AC25" s="1">
        <v>-0.7</v>
      </c>
      <c r="AD25" s="1">
        <v>0.123</v>
      </c>
      <c r="AE25" s="1">
        <v>1.907</v>
      </c>
      <c r="AF25" s="1">
        <v>0.23400000000000001</v>
      </c>
      <c r="AG25" s="1">
        <v>-0.7</v>
      </c>
      <c r="AI25" s="1">
        <v>0</v>
      </c>
      <c r="AJ25" s="1">
        <v>0</v>
      </c>
      <c r="AK25" s="1">
        <v>0</v>
      </c>
      <c r="AL25" s="1">
        <v>1</v>
      </c>
      <c r="AM25" s="1">
        <v>52062</v>
      </c>
      <c r="AN25" s="1">
        <v>8752</v>
      </c>
      <c r="AO25" s="1">
        <v>43310</v>
      </c>
      <c r="AP25" s="1">
        <v>47690</v>
      </c>
      <c r="AQ25" s="1">
        <v>12.83758631169958</v>
      </c>
    </row>
    <row r="26" spans="1:43" x14ac:dyDescent="0.45">
      <c r="A26" s="1">
        <v>25</v>
      </c>
      <c r="B26" s="1">
        <v>26</v>
      </c>
      <c r="C26" s="1">
        <v>126</v>
      </c>
      <c r="D26" s="1" t="s">
        <v>51</v>
      </c>
      <c r="E26" s="1" t="s">
        <v>52</v>
      </c>
      <c r="F26" s="1" t="s">
        <v>53</v>
      </c>
      <c r="G26" s="1" t="s">
        <v>54</v>
      </c>
      <c r="H26" s="1" t="s">
        <v>47</v>
      </c>
      <c r="I26" s="1">
        <v>1113</v>
      </c>
      <c r="J26" s="1">
        <v>60690</v>
      </c>
      <c r="K26" s="1">
        <v>1</v>
      </c>
      <c r="L26" s="1">
        <v>125</v>
      </c>
      <c r="M26" s="1">
        <v>1117</v>
      </c>
      <c r="N26" s="1" t="s">
        <v>48</v>
      </c>
      <c r="O26" s="1">
        <v>15204</v>
      </c>
      <c r="P26" s="1">
        <v>90</v>
      </c>
      <c r="Q26" s="1" t="s">
        <v>98</v>
      </c>
      <c r="R26" s="1" t="s">
        <v>50</v>
      </c>
      <c r="S26" s="1">
        <v>0</v>
      </c>
      <c r="T26" s="1">
        <v>0</v>
      </c>
      <c r="U26" s="1">
        <v>79.594999999999999</v>
      </c>
      <c r="V26" s="1">
        <v>24.753</v>
      </c>
      <c r="W26" s="1">
        <v>0.54</v>
      </c>
      <c r="X26" s="1">
        <v>0.129</v>
      </c>
      <c r="Y26" s="1">
        <v>24.881</v>
      </c>
      <c r="Z26" s="1">
        <v>1.823</v>
      </c>
      <c r="AA26" s="1">
        <v>-0.5</v>
      </c>
      <c r="AB26" s="1">
        <v>-0.5</v>
      </c>
      <c r="AC26" s="1">
        <v>-0.5</v>
      </c>
      <c r="AD26" s="1">
        <v>0.129</v>
      </c>
      <c r="AE26" s="1">
        <v>1.821</v>
      </c>
      <c r="AF26" s="1">
        <v>0.23400000000000001</v>
      </c>
      <c r="AG26" s="1">
        <v>-0.5</v>
      </c>
      <c r="AI26" s="1">
        <v>0</v>
      </c>
      <c r="AJ26" s="1">
        <v>0</v>
      </c>
      <c r="AK26" s="1">
        <v>0</v>
      </c>
      <c r="AL26" s="1">
        <v>1</v>
      </c>
      <c r="AM26" s="1">
        <v>51724</v>
      </c>
      <c r="AN26" s="1">
        <v>8290</v>
      </c>
      <c r="AO26" s="1">
        <v>43434</v>
      </c>
      <c r="AP26" s="1">
        <v>47894</v>
      </c>
      <c r="AQ26" s="1">
        <v>19.459536924004158</v>
      </c>
    </row>
    <row r="27" spans="1:43" x14ac:dyDescent="0.45">
      <c r="A27" s="1">
        <v>26</v>
      </c>
      <c r="B27" s="1">
        <v>26</v>
      </c>
      <c r="C27" s="1">
        <v>126</v>
      </c>
      <c r="D27" s="1" t="s">
        <v>51</v>
      </c>
      <c r="E27" s="1" t="s">
        <v>52</v>
      </c>
      <c r="F27" s="1" t="s">
        <v>53</v>
      </c>
      <c r="G27" s="1" t="s">
        <v>54</v>
      </c>
      <c r="H27" s="1" t="s">
        <v>47</v>
      </c>
      <c r="I27" s="1">
        <v>1113</v>
      </c>
      <c r="J27" s="1">
        <v>60690</v>
      </c>
      <c r="K27" s="1">
        <v>1</v>
      </c>
      <c r="L27" s="1">
        <v>125</v>
      </c>
      <c r="M27" s="1">
        <v>1118</v>
      </c>
      <c r="N27" s="1" t="s">
        <v>48</v>
      </c>
      <c r="O27" s="1">
        <v>15209</v>
      </c>
      <c r="P27" s="1">
        <v>90</v>
      </c>
      <c r="Q27" s="1" t="s">
        <v>98</v>
      </c>
      <c r="R27" s="1" t="s">
        <v>50</v>
      </c>
      <c r="S27" s="1">
        <v>0</v>
      </c>
      <c r="T27" s="1">
        <v>0</v>
      </c>
      <c r="U27" s="1">
        <v>81.462000000000003</v>
      </c>
      <c r="V27" s="1">
        <v>25.463000000000001</v>
      </c>
      <c r="W27" s="1">
        <v>0.54</v>
      </c>
      <c r="X27" s="1">
        <v>0.13700000000000001</v>
      </c>
      <c r="Y27" s="1">
        <v>25.6</v>
      </c>
      <c r="Z27" s="1">
        <v>1.883</v>
      </c>
      <c r="AA27" s="1">
        <v>-0.3</v>
      </c>
      <c r="AB27" s="1">
        <v>-0.3</v>
      </c>
      <c r="AC27" s="1">
        <v>-0.3</v>
      </c>
      <c r="AD27" s="1">
        <v>0.13700000000000001</v>
      </c>
      <c r="AE27" s="1">
        <v>1.881</v>
      </c>
      <c r="AF27" s="1">
        <v>0.25700000000000001</v>
      </c>
      <c r="AG27" s="1">
        <v>-0.3</v>
      </c>
      <c r="AI27" s="1">
        <v>0</v>
      </c>
      <c r="AJ27" s="1">
        <v>0</v>
      </c>
      <c r="AK27" s="1">
        <v>0</v>
      </c>
      <c r="AL27" s="1">
        <v>1</v>
      </c>
      <c r="AM27" s="1">
        <v>52042</v>
      </c>
      <c r="AN27" s="1">
        <v>8700</v>
      </c>
      <c r="AO27" s="1">
        <v>43342</v>
      </c>
      <c r="AP27" s="1">
        <v>48629</v>
      </c>
      <c r="AQ27" s="1">
        <v>19.44385401632449</v>
      </c>
    </row>
    <row r="28" spans="1:43" x14ac:dyDescent="0.45">
      <c r="A28" s="1">
        <v>27</v>
      </c>
      <c r="B28" s="1">
        <v>26</v>
      </c>
      <c r="C28" s="1">
        <v>126</v>
      </c>
      <c r="D28" s="1" t="s">
        <v>51</v>
      </c>
      <c r="E28" s="1" t="s">
        <v>52</v>
      </c>
      <c r="F28" s="1" t="s">
        <v>53</v>
      </c>
      <c r="G28" s="1" t="s">
        <v>54</v>
      </c>
      <c r="H28" s="1" t="s">
        <v>47</v>
      </c>
      <c r="I28" s="1">
        <v>1113</v>
      </c>
      <c r="J28" s="1">
        <v>60690</v>
      </c>
      <c r="K28" s="1">
        <v>1</v>
      </c>
      <c r="L28" s="1">
        <v>125</v>
      </c>
      <c r="M28" s="1">
        <v>1119</v>
      </c>
      <c r="N28" s="1" t="s">
        <v>48</v>
      </c>
      <c r="O28" s="1">
        <v>15219</v>
      </c>
      <c r="P28" s="1">
        <v>90</v>
      </c>
      <c r="Q28" s="1" t="s">
        <v>98</v>
      </c>
      <c r="R28" s="1" t="s">
        <v>50</v>
      </c>
      <c r="S28" s="1">
        <v>0</v>
      </c>
      <c r="T28" s="1">
        <v>0</v>
      </c>
      <c r="U28" s="1">
        <v>162.55099999999999</v>
      </c>
      <c r="V28" s="1">
        <v>27.558</v>
      </c>
      <c r="W28" s="1">
        <v>0.61</v>
      </c>
      <c r="X28" s="1">
        <v>0.64100000000000001</v>
      </c>
      <c r="Y28" s="1">
        <v>28.199000000000002</v>
      </c>
      <c r="Z28" s="1">
        <v>0.221</v>
      </c>
      <c r="AA28" s="1">
        <v>-3.1</v>
      </c>
      <c r="AB28" s="1">
        <v>-3.1</v>
      </c>
      <c r="AC28" s="1">
        <v>-3.1</v>
      </c>
      <c r="AD28" s="1">
        <v>0.64100000000000001</v>
      </c>
      <c r="AE28" s="1">
        <v>0.221</v>
      </c>
      <c r="AF28" s="1">
        <v>0.14199999999999999</v>
      </c>
      <c r="AG28" s="1">
        <v>-3.1</v>
      </c>
      <c r="AI28" s="1">
        <v>0</v>
      </c>
      <c r="AJ28" s="1">
        <v>0</v>
      </c>
      <c r="AK28" s="1">
        <v>0</v>
      </c>
      <c r="AL28" s="1">
        <v>1</v>
      </c>
      <c r="AM28" s="1">
        <v>86400</v>
      </c>
      <c r="AN28" s="1">
        <v>80147</v>
      </c>
      <c r="AO28" s="1">
        <v>6253</v>
      </c>
      <c r="AP28" s="1">
        <v>43404</v>
      </c>
      <c r="AQ28" s="1">
        <v>18.413686504200541</v>
      </c>
    </row>
    <row r="29" spans="1:43" x14ac:dyDescent="0.45">
      <c r="A29" s="1">
        <v>28</v>
      </c>
      <c r="B29" s="1">
        <v>26</v>
      </c>
      <c r="C29" s="1">
        <v>126</v>
      </c>
      <c r="D29" s="1" t="s">
        <v>51</v>
      </c>
      <c r="E29" s="1" t="s">
        <v>52</v>
      </c>
      <c r="F29" s="1" t="s">
        <v>53</v>
      </c>
      <c r="G29" s="1" t="s">
        <v>54</v>
      </c>
      <c r="H29" s="1" t="s">
        <v>47</v>
      </c>
      <c r="I29" s="1">
        <v>1113</v>
      </c>
      <c r="J29" s="1">
        <v>60690</v>
      </c>
      <c r="K29" s="1">
        <v>1</v>
      </c>
      <c r="L29" s="1">
        <v>125</v>
      </c>
      <c r="M29" s="1">
        <v>1120</v>
      </c>
      <c r="N29" s="1" t="s">
        <v>48</v>
      </c>
      <c r="O29" s="1">
        <v>15220</v>
      </c>
      <c r="P29" s="1">
        <v>90</v>
      </c>
      <c r="Q29" s="1" t="s">
        <v>98</v>
      </c>
      <c r="R29" s="1" t="s">
        <v>50</v>
      </c>
      <c r="S29" s="1">
        <v>0</v>
      </c>
      <c r="T29" s="1">
        <v>0</v>
      </c>
      <c r="U29" s="1">
        <v>214.108</v>
      </c>
      <c r="V29" s="1">
        <v>28.081</v>
      </c>
      <c r="W29" s="1">
        <v>0.52</v>
      </c>
      <c r="X29" s="1">
        <v>0.11799999999999999</v>
      </c>
      <c r="Y29" s="1">
        <v>28.199000000000002</v>
      </c>
      <c r="Z29" s="1">
        <v>3.3000000000000002E-2</v>
      </c>
      <c r="AA29" s="1">
        <v>-2.4</v>
      </c>
      <c r="AB29" s="1">
        <v>-1.8</v>
      </c>
      <c r="AC29" s="1">
        <v>-1.8</v>
      </c>
      <c r="AD29" s="1">
        <v>0.11799999999999999</v>
      </c>
      <c r="AE29" s="1">
        <v>3.2000000000000001E-2</v>
      </c>
      <c r="AF29" s="1">
        <v>4.0000000000000001E-3</v>
      </c>
      <c r="AI29" s="1">
        <v>0</v>
      </c>
      <c r="AJ29" s="1">
        <v>0</v>
      </c>
      <c r="AK29" s="1">
        <v>0</v>
      </c>
      <c r="AL29" s="1">
        <v>1</v>
      </c>
      <c r="AM29" s="1">
        <v>86400</v>
      </c>
      <c r="AN29" s="1">
        <v>68047</v>
      </c>
      <c r="AO29" s="1">
        <v>18353</v>
      </c>
      <c r="AP29" s="1">
        <v>43494</v>
      </c>
      <c r="AQ29" s="1">
        <v>4.3455347958324149</v>
      </c>
    </row>
    <row r="30" spans="1:43" x14ac:dyDescent="0.45">
      <c r="A30" s="1">
        <v>29</v>
      </c>
      <c r="B30" s="1">
        <v>26</v>
      </c>
      <c r="C30" s="1">
        <v>126</v>
      </c>
      <c r="D30" s="1" t="s">
        <v>51</v>
      </c>
      <c r="E30" s="1" t="s">
        <v>52</v>
      </c>
      <c r="F30" s="1" t="s">
        <v>53</v>
      </c>
      <c r="G30" s="1" t="s">
        <v>54</v>
      </c>
      <c r="H30" s="1" t="s">
        <v>47</v>
      </c>
      <c r="I30" s="1">
        <v>1113</v>
      </c>
      <c r="J30" s="1">
        <v>60690</v>
      </c>
      <c r="K30" s="1">
        <v>1</v>
      </c>
      <c r="L30" s="1">
        <v>125</v>
      </c>
      <c r="M30" s="1">
        <v>1121</v>
      </c>
      <c r="N30" s="1" t="s">
        <v>48</v>
      </c>
      <c r="O30" s="1">
        <v>15221</v>
      </c>
      <c r="P30" s="1">
        <v>90</v>
      </c>
      <c r="Q30" s="1" t="s">
        <v>98</v>
      </c>
      <c r="R30" s="1" t="s">
        <v>50</v>
      </c>
      <c r="S30" s="1">
        <v>0</v>
      </c>
      <c r="T30" s="1">
        <v>0</v>
      </c>
      <c r="U30" s="1">
        <v>173.398</v>
      </c>
      <c r="V30" s="1">
        <v>27.64</v>
      </c>
      <c r="W30" s="1">
        <v>0.6</v>
      </c>
      <c r="X30" s="1">
        <v>0.55900000000000005</v>
      </c>
      <c r="Y30" s="1">
        <v>28.199000000000002</v>
      </c>
      <c r="Z30" s="1">
        <v>0.20899999999999999</v>
      </c>
      <c r="AA30" s="1">
        <v>1.7</v>
      </c>
      <c r="AB30" s="1">
        <v>1.7</v>
      </c>
      <c r="AC30" s="1">
        <v>1.7</v>
      </c>
      <c r="AD30" s="1">
        <v>0.55900000000000005</v>
      </c>
      <c r="AE30" s="1">
        <v>0.20899999999999999</v>
      </c>
      <c r="AF30" s="1">
        <v>0.11700000000000001</v>
      </c>
      <c r="AG30" s="1">
        <v>1.7</v>
      </c>
      <c r="AI30" s="1">
        <v>0</v>
      </c>
      <c r="AJ30" s="1">
        <v>0</v>
      </c>
      <c r="AK30" s="1">
        <v>0</v>
      </c>
      <c r="AL30" s="1">
        <v>1</v>
      </c>
      <c r="AM30" s="1">
        <v>86400</v>
      </c>
      <c r="AN30" s="1">
        <v>80635</v>
      </c>
      <c r="AO30" s="1">
        <v>5765</v>
      </c>
      <c r="AP30" s="1">
        <v>43396</v>
      </c>
      <c r="AQ30" s="1">
        <v>18.611463029148041</v>
      </c>
    </row>
    <row r="31" spans="1:43" x14ac:dyDescent="0.45">
      <c r="A31" s="1">
        <v>30</v>
      </c>
      <c r="B31" s="1">
        <v>73</v>
      </c>
      <c r="C31" s="1">
        <v>83</v>
      </c>
      <c r="D31" s="1" t="s">
        <v>55</v>
      </c>
      <c r="E31" s="1" t="s">
        <v>56</v>
      </c>
      <c r="F31" s="1" t="s">
        <v>57</v>
      </c>
      <c r="G31" s="1" t="s">
        <v>46</v>
      </c>
      <c r="H31" s="1" t="s">
        <v>47</v>
      </c>
      <c r="I31" s="1">
        <v>1176</v>
      </c>
      <c r="J31" s="1">
        <v>30288</v>
      </c>
      <c r="K31" s="1">
        <v>1</v>
      </c>
      <c r="L31" s="1">
        <v>82</v>
      </c>
      <c r="M31" s="1">
        <v>1503</v>
      </c>
      <c r="N31" s="1" t="s">
        <v>48</v>
      </c>
      <c r="O31" s="1">
        <v>197186</v>
      </c>
      <c r="P31" s="1">
        <v>90</v>
      </c>
      <c r="Q31" s="1" t="s">
        <v>98</v>
      </c>
      <c r="R31" s="1" t="s">
        <v>50</v>
      </c>
      <c r="S31" s="1">
        <v>0</v>
      </c>
      <c r="T31" s="1">
        <v>0</v>
      </c>
      <c r="U31" s="1">
        <v>86.650999999999996</v>
      </c>
      <c r="V31" s="1">
        <v>25.417000000000002</v>
      </c>
      <c r="W31" s="1">
        <v>0.53</v>
      </c>
      <c r="X31" s="1">
        <v>0.187</v>
      </c>
      <c r="Y31" s="1">
        <v>25.605</v>
      </c>
      <c r="Z31" s="1">
        <v>0.11600000000000001</v>
      </c>
      <c r="AA31" s="1">
        <v>0.5</v>
      </c>
      <c r="AB31" s="1">
        <v>0.5</v>
      </c>
      <c r="AC31" s="1">
        <v>0.5</v>
      </c>
      <c r="AD31" s="1">
        <v>0.187</v>
      </c>
      <c r="AE31" s="1">
        <v>0.11600000000000001</v>
      </c>
      <c r="AF31" s="1">
        <v>2.1999999999999999E-2</v>
      </c>
      <c r="AG31" s="1">
        <v>0.5</v>
      </c>
      <c r="AI31" s="1">
        <v>0</v>
      </c>
      <c r="AJ31" s="1">
        <v>0</v>
      </c>
      <c r="AK31" s="1">
        <v>0</v>
      </c>
      <c r="AL31" s="1">
        <v>1</v>
      </c>
      <c r="AM31" s="1">
        <v>86400</v>
      </c>
      <c r="AN31" s="1">
        <v>80644</v>
      </c>
      <c r="AO31" s="1">
        <v>5756</v>
      </c>
      <c r="AP31" s="1">
        <v>44421</v>
      </c>
      <c r="AQ31" s="1">
        <v>18.19739861676883</v>
      </c>
    </row>
    <row r="32" spans="1:43" x14ac:dyDescent="0.45">
      <c r="A32" s="1">
        <v>31</v>
      </c>
      <c r="B32" s="1">
        <v>73</v>
      </c>
      <c r="C32" s="1">
        <v>83</v>
      </c>
      <c r="D32" s="1" t="s">
        <v>55</v>
      </c>
      <c r="E32" s="1" t="s">
        <v>56</v>
      </c>
      <c r="F32" s="1" t="s">
        <v>57</v>
      </c>
      <c r="G32" s="1" t="s">
        <v>46</v>
      </c>
      <c r="H32" s="1" t="s">
        <v>47</v>
      </c>
      <c r="I32" s="1">
        <v>1176</v>
      </c>
      <c r="J32" s="1">
        <v>30288</v>
      </c>
      <c r="K32" s="1">
        <v>1</v>
      </c>
      <c r="L32" s="1">
        <v>82</v>
      </c>
      <c r="M32" s="1">
        <v>1504</v>
      </c>
      <c r="N32" s="1" t="s">
        <v>48</v>
      </c>
      <c r="O32" s="1">
        <v>197191</v>
      </c>
      <c r="P32" s="1">
        <v>90</v>
      </c>
      <c r="Q32" s="1" t="s">
        <v>98</v>
      </c>
      <c r="R32" s="1" t="s">
        <v>50</v>
      </c>
      <c r="S32" s="1">
        <v>0</v>
      </c>
      <c r="T32" s="1">
        <v>0</v>
      </c>
      <c r="U32" s="1">
        <v>337.67399999999998</v>
      </c>
      <c r="V32" s="1">
        <v>25.428000000000001</v>
      </c>
      <c r="W32" s="1">
        <v>0.53</v>
      </c>
      <c r="X32" s="1">
        <v>0.17599999999999999</v>
      </c>
      <c r="Y32" s="1">
        <v>25.603000000000002</v>
      </c>
      <c r="Z32" s="1">
        <v>9.9000000000000005E-2</v>
      </c>
      <c r="AA32" s="1">
        <v>1.1000000000000001</v>
      </c>
      <c r="AB32" s="1">
        <v>1.1000000000000001</v>
      </c>
      <c r="AC32" s="1">
        <v>1.1000000000000001</v>
      </c>
      <c r="AD32" s="1">
        <v>0.17599999999999999</v>
      </c>
      <c r="AE32" s="1">
        <v>9.9000000000000005E-2</v>
      </c>
      <c r="AF32" s="1">
        <v>1.7000000000000001E-2</v>
      </c>
      <c r="AG32" s="1">
        <v>1.1000000000000001</v>
      </c>
      <c r="AI32" s="1">
        <v>0</v>
      </c>
      <c r="AJ32" s="1">
        <v>0</v>
      </c>
      <c r="AK32" s="1">
        <v>0</v>
      </c>
      <c r="AL32" s="1">
        <v>1</v>
      </c>
      <c r="AM32" s="1">
        <v>86400</v>
      </c>
      <c r="AN32" s="1">
        <v>77607</v>
      </c>
      <c r="AO32" s="1">
        <v>8793</v>
      </c>
      <c r="AP32" s="1">
        <v>47172</v>
      </c>
      <c r="AQ32" s="1">
        <v>22.042314828065258</v>
      </c>
    </row>
    <row r="33" spans="1:43" x14ac:dyDescent="0.45">
      <c r="A33" s="1">
        <v>32</v>
      </c>
      <c r="B33" s="1">
        <v>73</v>
      </c>
      <c r="C33" s="1">
        <v>83</v>
      </c>
      <c r="D33" s="1" t="s">
        <v>55</v>
      </c>
      <c r="E33" s="1" t="s">
        <v>56</v>
      </c>
      <c r="F33" s="1" t="s">
        <v>57</v>
      </c>
      <c r="G33" s="1" t="s">
        <v>46</v>
      </c>
      <c r="H33" s="1" t="s">
        <v>47</v>
      </c>
      <c r="I33" s="1">
        <v>1176</v>
      </c>
      <c r="J33" s="1">
        <v>30288</v>
      </c>
      <c r="K33" s="1">
        <v>1</v>
      </c>
      <c r="L33" s="1">
        <v>82</v>
      </c>
      <c r="M33" s="1">
        <v>1505</v>
      </c>
      <c r="N33" s="1" t="s">
        <v>48</v>
      </c>
      <c r="O33" s="1">
        <v>197193</v>
      </c>
      <c r="P33" s="1">
        <v>90</v>
      </c>
      <c r="Q33" s="1" t="s">
        <v>98</v>
      </c>
      <c r="R33" s="1" t="s">
        <v>50</v>
      </c>
      <c r="S33" s="1">
        <v>0</v>
      </c>
      <c r="T33" s="1">
        <v>0</v>
      </c>
      <c r="U33" s="1">
        <v>187.57</v>
      </c>
      <c r="V33" s="1">
        <v>25.488</v>
      </c>
      <c r="W33" s="1">
        <v>0.52</v>
      </c>
      <c r="X33" s="1">
        <v>0.115</v>
      </c>
      <c r="Y33" s="1">
        <v>25.603000000000002</v>
      </c>
      <c r="Z33" s="1">
        <v>0.08</v>
      </c>
      <c r="AA33" s="1">
        <v>0.6</v>
      </c>
      <c r="AB33" s="1">
        <v>0.6</v>
      </c>
      <c r="AC33" s="1">
        <v>0.6</v>
      </c>
      <c r="AD33" s="1">
        <v>0.115</v>
      </c>
      <c r="AE33" s="1">
        <v>0.08</v>
      </c>
      <c r="AF33" s="1">
        <v>8.9999999999999993E-3</v>
      </c>
      <c r="AG33" s="1">
        <v>0.6</v>
      </c>
      <c r="AI33" s="1">
        <v>0</v>
      </c>
      <c r="AJ33" s="1">
        <v>0</v>
      </c>
      <c r="AK33" s="1">
        <v>0</v>
      </c>
      <c r="AL33" s="1">
        <v>1</v>
      </c>
      <c r="AM33" s="1">
        <v>86400</v>
      </c>
      <c r="AN33" s="1">
        <v>74960</v>
      </c>
      <c r="AO33" s="1">
        <v>11440</v>
      </c>
      <c r="AP33" s="1">
        <v>44507</v>
      </c>
      <c r="AQ33" s="1">
        <v>2.9982988472460508</v>
      </c>
    </row>
    <row r="34" spans="1:43" x14ac:dyDescent="0.45">
      <c r="A34" s="1">
        <v>33</v>
      </c>
      <c r="B34" s="1">
        <v>73</v>
      </c>
      <c r="C34" s="1">
        <v>83</v>
      </c>
      <c r="D34" s="1" t="s">
        <v>55</v>
      </c>
      <c r="E34" s="1" t="s">
        <v>56</v>
      </c>
      <c r="F34" s="1" t="s">
        <v>57</v>
      </c>
      <c r="G34" s="1" t="s">
        <v>46</v>
      </c>
      <c r="H34" s="1" t="s">
        <v>47</v>
      </c>
      <c r="I34" s="1">
        <v>1176</v>
      </c>
      <c r="J34" s="1">
        <v>30288</v>
      </c>
      <c r="K34" s="1">
        <v>1</v>
      </c>
      <c r="L34" s="1">
        <v>82</v>
      </c>
      <c r="M34" s="1">
        <v>1515</v>
      </c>
      <c r="N34" s="1" t="s">
        <v>48</v>
      </c>
      <c r="O34" s="1">
        <v>197607</v>
      </c>
      <c r="P34" s="1">
        <v>90</v>
      </c>
      <c r="Q34" s="1" t="s">
        <v>98</v>
      </c>
      <c r="R34" s="1" t="s">
        <v>50</v>
      </c>
      <c r="S34" s="1">
        <v>0</v>
      </c>
      <c r="T34" s="1">
        <v>0</v>
      </c>
      <c r="U34" s="1">
        <v>321.52999999999997</v>
      </c>
      <c r="V34" s="1">
        <v>25.452000000000002</v>
      </c>
      <c r="W34" s="1">
        <v>0.52</v>
      </c>
      <c r="X34" s="1">
        <v>0.129</v>
      </c>
      <c r="Y34" s="1">
        <v>25.582000000000001</v>
      </c>
      <c r="Z34" s="1">
        <v>0.121</v>
      </c>
      <c r="AA34" s="1">
        <v>0</v>
      </c>
      <c r="AB34" s="1">
        <v>0</v>
      </c>
      <c r="AC34" s="1">
        <v>0</v>
      </c>
      <c r="AD34" s="1">
        <v>0.129</v>
      </c>
      <c r="AE34" s="1">
        <v>0.121</v>
      </c>
      <c r="AF34" s="1">
        <v>1.6E-2</v>
      </c>
      <c r="AG34" s="1">
        <v>0</v>
      </c>
      <c r="AI34" s="1">
        <v>0</v>
      </c>
      <c r="AJ34" s="1">
        <v>0</v>
      </c>
      <c r="AK34" s="1">
        <v>0</v>
      </c>
      <c r="AL34" s="1">
        <v>1</v>
      </c>
      <c r="AM34" s="1">
        <v>86400</v>
      </c>
      <c r="AN34" s="1">
        <v>73448</v>
      </c>
      <c r="AO34" s="1">
        <v>12952</v>
      </c>
      <c r="AP34" s="1">
        <v>44124</v>
      </c>
      <c r="AQ34" s="1">
        <v>24.308660373477451</v>
      </c>
    </row>
    <row r="35" spans="1:43" x14ac:dyDescent="0.45">
      <c r="A35" s="1">
        <v>34</v>
      </c>
      <c r="B35" s="1">
        <v>73</v>
      </c>
      <c r="C35" s="1">
        <v>83</v>
      </c>
      <c r="D35" s="1" t="s">
        <v>55</v>
      </c>
      <c r="E35" s="1" t="s">
        <v>56</v>
      </c>
      <c r="F35" s="1" t="s">
        <v>57</v>
      </c>
      <c r="G35" s="1" t="s">
        <v>46</v>
      </c>
      <c r="H35" s="1" t="s">
        <v>47</v>
      </c>
      <c r="I35" s="1">
        <v>1176</v>
      </c>
      <c r="J35" s="1">
        <v>30288</v>
      </c>
      <c r="K35" s="1">
        <v>1</v>
      </c>
      <c r="L35" s="1">
        <v>82</v>
      </c>
      <c r="M35" s="1">
        <v>1516</v>
      </c>
      <c r="N35" s="1" t="s">
        <v>48</v>
      </c>
      <c r="O35" s="1">
        <v>197609</v>
      </c>
      <c r="P35" s="1">
        <v>90</v>
      </c>
      <c r="Q35" s="1" t="s">
        <v>98</v>
      </c>
      <c r="R35" s="1" t="s">
        <v>50</v>
      </c>
      <c r="S35" s="1">
        <v>0</v>
      </c>
      <c r="T35" s="1">
        <v>0</v>
      </c>
      <c r="U35" s="1">
        <v>222.179</v>
      </c>
      <c r="V35" s="1">
        <v>25.413</v>
      </c>
      <c r="W35" s="1">
        <v>0.53</v>
      </c>
      <c r="X35" s="1">
        <v>0.16700000000000001</v>
      </c>
      <c r="Y35" s="1">
        <v>25.58</v>
      </c>
      <c r="Z35" s="1">
        <v>0.13800000000000001</v>
      </c>
      <c r="AA35" s="1">
        <v>1.2</v>
      </c>
      <c r="AB35" s="1">
        <v>1.2</v>
      </c>
      <c r="AC35" s="1">
        <v>1.2</v>
      </c>
      <c r="AD35" s="1">
        <v>0.16700000000000001</v>
      </c>
      <c r="AE35" s="1">
        <v>0.13800000000000001</v>
      </c>
      <c r="AF35" s="1">
        <v>2.3E-2</v>
      </c>
      <c r="AG35" s="1">
        <v>1.2</v>
      </c>
      <c r="AI35" s="1">
        <v>0</v>
      </c>
      <c r="AJ35" s="1">
        <v>0</v>
      </c>
      <c r="AK35" s="1">
        <v>0</v>
      </c>
      <c r="AL35" s="1">
        <v>1</v>
      </c>
      <c r="AM35" s="1">
        <v>86400</v>
      </c>
      <c r="AN35" s="1">
        <v>77282</v>
      </c>
      <c r="AO35" s="1">
        <v>9118</v>
      </c>
      <c r="AP35" s="1">
        <v>46977</v>
      </c>
      <c r="AQ35" s="1">
        <v>3.2914653154281028</v>
      </c>
    </row>
    <row r="36" spans="1:43" x14ac:dyDescent="0.45">
      <c r="A36" s="1">
        <v>35</v>
      </c>
      <c r="B36" s="1">
        <v>73</v>
      </c>
      <c r="C36" s="1">
        <v>83</v>
      </c>
      <c r="D36" s="1" t="s">
        <v>55</v>
      </c>
      <c r="E36" s="1" t="s">
        <v>56</v>
      </c>
      <c r="F36" s="1" t="s">
        <v>57</v>
      </c>
      <c r="G36" s="1" t="s">
        <v>46</v>
      </c>
      <c r="H36" s="1" t="s">
        <v>47</v>
      </c>
      <c r="I36" s="1">
        <v>1176</v>
      </c>
      <c r="J36" s="1">
        <v>30288</v>
      </c>
      <c r="K36" s="1">
        <v>1</v>
      </c>
      <c r="L36" s="1">
        <v>82</v>
      </c>
      <c r="M36" s="1">
        <v>1517</v>
      </c>
      <c r="N36" s="1" t="s">
        <v>48</v>
      </c>
      <c r="O36" s="1">
        <v>197614</v>
      </c>
      <c r="P36" s="1">
        <v>90</v>
      </c>
      <c r="Q36" s="1" t="s">
        <v>98</v>
      </c>
      <c r="R36" s="1" t="s">
        <v>50</v>
      </c>
      <c r="S36" s="1">
        <v>0</v>
      </c>
      <c r="T36" s="1">
        <v>0</v>
      </c>
      <c r="U36" s="1">
        <v>103.658</v>
      </c>
      <c r="V36" s="1">
        <v>25.395</v>
      </c>
      <c r="W36" s="1">
        <v>0.52</v>
      </c>
      <c r="X36" s="1">
        <v>0.128</v>
      </c>
      <c r="Y36" s="1">
        <v>25.524000000000001</v>
      </c>
      <c r="Z36" s="1">
        <v>0.16600000000000001</v>
      </c>
      <c r="AA36" s="1">
        <v>0.5</v>
      </c>
      <c r="AB36" s="1">
        <v>0.5</v>
      </c>
      <c r="AC36" s="1">
        <v>0.5</v>
      </c>
      <c r="AD36" s="1">
        <v>0.128</v>
      </c>
      <c r="AE36" s="1">
        <v>0.16500000000000001</v>
      </c>
      <c r="AF36" s="1">
        <v>2.1000000000000001E-2</v>
      </c>
      <c r="AG36" s="1">
        <v>0.5</v>
      </c>
      <c r="AI36" s="1">
        <v>0</v>
      </c>
      <c r="AJ36" s="1">
        <v>0</v>
      </c>
      <c r="AK36" s="1">
        <v>0</v>
      </c>
      <c r="AL36" s="1">
        <v>1</v>
      </c>
      <c r="AM36" s="1">
        <v>66012</v>
      </c>
      <c r="AN36" s="1">
        <v>39415</v>
      </c>
      <c r="AO36" s="1">
        <v>26580</v>
      </c>
      <c r="AP36" s="1">
        <v>47182</v>
      </c>
      <c r="AQ36" s="1">
        <v>20.952714672490249</v>
      </c>
    </row>
    <row r="37" spans="1:43" x14ac:dyDescent="0.45">
      <c r="A37" s="1">
        <v>36</v>
      </c>
      <c r="B37" s="1">
        <v>73</v>
      </c>
      <c r="C37" s="1">
        <v>83</v>
      </c>
      <c r="D37" s="1" t="s">
        <v>55</v>
      </c>
      <c r="E37" s="1" t="s">
        <v>56</v>
      </c>
      <c r="F37" s="1" t="s">
        <v>57</v>
      </c>
      <c r="G37" s="1" t="s">
        <v>46</v>
      </c>
      <c r="H37" s="1" t="s">
        <v>47</v>
      </c>
      <c r="I37" s="1">
        <v>1176</v>
      </c>
      <c r="J37" s="1">
        <v>30288</v>
      </c>
      <c r="K37" s="1">
        <v>1</v>
      </c>
      <c r="L37" s="1">
        <v>82</v>
      </c>
      <c r="M37" s="1">
        <v>1518</v>
      </c>
      <c r="N37" s="1" t="s">
        <v>48</v>
      </c>
      <c r="O37" s="1">
        <v>197620</v>
      </c>
      <c r="P37" s="1">
        <v>90</v>
      </c>
      <c r="Q37" s="1" t="s">
        <v>98</v>
      </c>
      <c r="R37" s="1" t="s">
        <v>50</v>
      </c>
      <c r="S37" s="1">
        <v>0</v>
      </c>
      <c r="T37" s="1">
        <v>0</v>
      </c>
      <c r="U37" s="1">
        <v>87.173000000000002</v>
      </c>
      <c r="V37" s="1">
        <v>25.33</v>
      </c>
      <c r="W37" s="1">
        <v>0.53</v>
      </c>
      <c r="X37" s="1">
        <v>0.187</v>
      </c>
      <c r="Y37" s="1">
        <v>25.516999999999999</v>
      </c>
      <c r="Z37" s="1">
        <v>0.21099999999999999</v>
      </c>
      <c r="AA37" s="1">
        <v>0.2</v>
      </c>
      <c r="AB37" s="1">
        <v>0.2</v>
      </c>
      <c r="AC37" s="1">
        <v>0.2</v>
      </c>
      <c r="AD37" s="1">
        <v>0.187</v>
      </c>
      <c r="AE37" s="1">
        <v>0.21099999999999999</v>
      </c>
      <c r="AF37" s="1">
        <v>0.04</v>
      </c>
      <c r="AG37" s="1">
        <v>0.2</v>
      </c>
      <c r="AI37" s="1">
        <v>0</v>
      </c>
      <c r="AJ37" s="1">
        <v>0</v>
      </c>
      <c r="AK37" s="1">
        <v>0</v>
      </c>
      <c r="AL37" s="1">
        <v>1</v>
      </c>
      <c r="AM37" s="1">
        <v>86400</v>
      </c>
      <c r="AN37" s="1">
        <v>76614</v>
      </c>
      <c r="AO37" s="1">
        <v>9786</v>
      </c>
      <c r="AP37" s="1">
        <v>47269</v>
      </c>
      <c r="AQ37" s="1">
        <v>3.5048943592542212</v>
      </c>
    </row>
    <row r="38" spans="1:43" x14ac:dyDescent="0.45">
      <c r="A38" s="1">
        <v>37</v>
      </c>
      <c r="B38" s="1">
        <v>73</v>
      </c>
      <c r="C38" s="1">
        <v>83</v>
      </c>
      <c r="D38" s="1" t="s">
        <v>55</v>
      </c>
      <c r="E38" s="1" t="s">
        <v>56</v>
      </c>
      <c r="F38" s="1" t="s">
        <v>57</v>
      </c>
      <c r="G38" s="1" t="s">
        <v>46</v>
      </c>
      <c r="H38" s="1" t="s">
        <v>47</v>
      </c>
      <c r="I38" s="1">
        <v>1176</v>
      </c>
      <c r="J38" s="1">
        <v>30288</v>
      </c>
      <c r="K38" s="1">
        <v>1</v>
      </c>
      <c r="L38" s="1">
        <v>82</v>
      </c>
      <c r="M38" s="1">
        <v>1519</v>
      </c>
      <c r="N38" s="1" t="s">
        <v>48</v>
      </c>
      <c r="O38" s="1">
        <v>197622</v>
      </c>
      <c r="P38" s="1">
        <v>90</v>
      </c>
      <c r="Q38" s="1" t="s">
        <v>98</v>
      </c>
      <c r="R38" s="1" t="s">
        <v>50</v>
      </c>
      <c r="S38" s="1">
        <v>0</v>
      </c>
      <c r="T38" s="1">
        <v>0</v>
      </c>
      <c r="U38" s="1">
        <v>74.367000000000004</v>
      </c>
      <c r="V38" s="1">
        <v>25.289000000000001</v>
      </c>
      <c r="W38" s="1">
        <v>0.54</v>
      </c>
      <c r="X38" s="1">
        <v>0.22500000000000001</v>
      </c>
      <c r="Y38" s="1">
        <v>25.513999999999999</v>
      </c>
      <c r="Z38" s="1">
        <v>0.27700000000000002</v>
      </c>
      <c r="AA38" s="1">
        <v>0.4</v>
      </c>
      <c r="AB38" s="1">
        <v>0.4</v>
      </c>
      <c r="AC38" s="1">
        <v>0.4</v>
      </c>
      <c r="AD38" s="1">
        <v>0.22500000000000001</v>
      </c>
      <c r="AE38" s="1">
        <v>0.27700000000000002</v>
      </c>
      <c r="AF38" s="1">
        <v>6.2E-2</v>
      </c>
      <c r="AG38" s="1">
        <v>0.4</v>
      </c>
      <c r="AI38" s="1">
        <v>0</v>
      </c>
      <c r="AJ38" s="1">
        <v>0</v>
      </c>
      <c r="AK38" s="1">
        <v>0</v>
      </c>
      <c r="AL38" s="1">
        <v>1</v>
      </c>
      <c r="AM38" s="1">
        <v>86400</v>
      </c>
      <c r="AN38" s="1">
        <v>78441</v>
      </c>
      <c r="AO38" s="1">
        <v>7959</v>
      </c>
      <c r="AP38" s="1">
        <v>48080</v>
      </c>
      <c r="AQ38" s="1">
        <v>16.15653130558637</v>
      </c>
    </row>
    <row r="39" spans="1:43" x14ac:dyDescent="0.45">
      <c r="A39" s="1">
        <v>38</v>
      </c>
      <c r="B39" s="1">
        <v>73</v>
      </c>
      <c r="C39" s="1">
        <v>83</v>
      </c>
      <c r="D39" s="1" t="s">
        <v>55</v>
      </c>
      <c r="E39" s="1" t="s">
        <v>56</v>
      </c>
      <c r="F39" s="1" t="s">
        <v>57</v>
      </c>
      <c r="G39" s="1" t="s">
        <v>46</v>
      </c>
      <c r="H39" s="1" t="s">
        <v>47</v>
      </c>
      <c r="I39" s="1">
        <v>1176</v>
      </c>
      <c r="J39" s="1">
        <v>30288</v>
      </c>
      <c r="K39" s="1">
        <v>1</v>
      </c>
      <c r="L39" s="1">
        <v>82</v>
      </c>
      <c r="M39" s="1">
        <v>1520</v>
      </c>
      <c r="N39" s="1" t="s">
        <v>48</v>
      </c>
      <c r="O39" s="1">
        <v>197623</v>
      </c>
      <c r="P39" s="1">
        <v>90</v>
      </c>
      <c r="Q39" s="1" t="s">
        <v>98</v>
      </c>
      <c r="R39" s="1" t="s">
        <v>50</v>
      </c>
      <c r="S39" s="1">
        <v>0</v>
      </c>
      <c r="T39" s="1">
        <v>0</v>
      </c>
      <c r="U39" s="1">
        <v>51.329000000000001</v>
      </c>
      <c r="V39" s="1">
        <v>25.263000000000002</v>
      </c>
      <c r="W39" s="1">
        <v>0.55000000000000004</v>
      </c>
      <c r="X39" s="1">
        <v>0.251</v>
      </c>
      <c r="Y39" s="1">
        <v>25.513999999999999</v>
      </c>
      <c r="Z39" s="1">
        <v>0.30599999999999999</v>
      </c>
      <c r="AA39" s="1">
        <v>0.3</v>
      </c>
      <c r="AB39" s="1">
        <v>0.3</v>
      </c>
      <c r="AC39" s="1">
        <v>0.3</v>
      </c>
      <c r="AD39" s="1">
        <v>0.251</v>
      </c>
      <c r="AE39" s="1">
        <v>0.30599999999999999</v>
      </c>
      <c r="AF39" s="1">
        <v>7.6999999999999999E-2</v>
      </c>
      <c r="AG39" s="1">
        <v>0.3</v>
      </c>
      <c r="AI39" s="1">
        <v>0</v>
      </c>
      <c r="AJ39" s="1">
        <v>0</v>
      </c>
      <c r="AK39" s="1">
        <v>0</v>
      </c>
      <c r="AL39" s="1">
        <v>1</v>
      </c>
      <c r="AM39" s="1">
        <v>86400</v>
      </c>
      <c r="AN39" s="1">
        <v>79362</v>
      </c>
      <c r="AO39" s="1">
        <v>7038</v>
      </c>
      <c r="AP39" s="1">
        <v>48768</v>
      </c>
      <c r="AQ39" s="1">
        <v>2.298754340804646</v>
      </c>
    </row>
    <row r="40" spans="1:43" x14ac:dyDescent="0.45">
      <c r="A40" s="1">
        <v>39</v>
      </c>
      <c r="B40" s="1">
        <v>73</v>
      </c>
      <c r="C40" s="1">
        <v>83</v>
      </c>
      <c r="D40" s="1" t="s">
        <v>55</v>
      </c>
      <c r="E40" s="1" t="s">
        <v>56</v>
      </c>
      <c r="F40" s="1" t="s">
        <v>57</v>
      </c>
      <c r="G40" s="1" t="s">
        <v>46</v>
      </c>
      <c r="H40" s="1" t="s">
        <v>47</v>
      </c>
      <c r="I40" s="1">
        <v>1176</v>
      </c>
      <c r="J40" s="1">
        <v>30288</v>
      </c>
      <c r="K40" s="1">
        <v>1</v>
      </c>
      <c r="L40" s="1">
        <v>82</v>
      </c>
      <c r="M40" s="1">
        <v>1523</v>
      </c>
      <c r="N40" s="1" t="s">
        <v>48</v>
      </c>
      <c r="O40" s="1">
        <v>197648</v>
      </c>
      <c r="P40" s="1">
        <v>90</v>
      </c>
      <c r="Q40" s="1" t="s">
        <v>98</v>
      </c>
      <c r="R40" s="1" t="s">
        <v>50</v>
      </c>
      <c r="S40" s="1">
        <v>0</v>
      </c>
      <c r="T40" s="1">
        <v>0</v>
      </c>
      <c r="U40" s="1">
        <v>50.125999999999998</v>
      </c>
      <c r="V40" s="1">
        <v>25.39</v>
      </c>
      <c r="W40" s="1">
        <v>0.52</v>
      </c>
      <c r="X40" s="1">
        <v>0.107</v>
      </c>
      <c r="Y40" s="1">
        <v>25.495999999999999</v>
      </c>
      <c r="Z40" s="1">
        <v>0.161</v>
      </c>
      <c r="AA40" s="1">
        <v>0.7</v>
      </c>
      <c r="AB40" s="1">
        <v>0.7</v>
      </c>
      <c r="AC40" s="1">
        <v>0.7</v>
      </c>
      <c r="AD40" s="1">
        <v>0.107</v>
      </c>
      <c r="AE40" s="1">
        <v>0.16</v>
      </c>
      <c r="AF40" s="1">
        <v>1.7000000000000001E-2</v>
      </c>
      <c r="AG40" s="1">
        <v>0.7</v>
      </c>
      <c r="AI40" s="1">
        <v>0</v>
      </c>
      <c r="AJ40" s="1">
        <v>0</v>
      </c>
      <c r="AK40" s="1">
        <v>0</v>
      </c>
      <c r="AL40" s="1">
        <v>1</v>
      </c>
      <c r="AM40" s="1">
        <v>51265</v>
      </c>
      <c r="AN40" s="1">
        <v>7788</v>
      </c>
      <c r="AO40" s="1">
        <v>43477</v>
      </c>
      <c r="AP40" s="1">
        <v>47092</v>
      </c>
      <c r="AQ40" s="1">
        <v>3.8051731273319378</v>
      </c>
    </row>
    <row r="41" spans="1:43" x14ac:dyDescent="0.45">
      <c r="A41" s="1">
        <v>40</v>
      </c>
      <c r="B41" s="1">
        <v>74</v>
      </c>
      <c r="C41" s="1">
        <v>83</v>
      </c>
      <c r="D41" s="1" t="s">
        <v>55</v>
      </c>
      <c r="E41" s="1" t="s">
        <v>56</v>
      </c>
      <c r="F41" s="1" t="s">
        <v>57</v>
      </c>
      <c r="G41" s="1" t="s">
        <v>46</v>
      </c>
      <c r="H41" s="1" t="s">
        <v>47</v>
      </c>
      <c r="I41" s="1">
        <v>1176</v>
      </c>
      <c r="J41" s="1">
        <v>30288</v>
      </c>
      <c r="K41" s="1">
        <v>1</v>
      </c>
      <c r="L41" s="1">
        <v>82</v>
      </c>
      <c r="M41" s="1">
        <v>1507</v>
      </c>
      <c r="N41" s="1" t="s">
        <v>48</v>
      </c>
      <c r="O41" s="1">
        <v>197520</v>
      </c>
      <c r="P41" s="1">
        <v>90</v>
      </c>
      <c r="Q41" s="1" t="s">
        <v>98</v>
      </c>
      <c r="R41" s="1" t="s">
        <v>50</v>
      </c>
      <c r="S41" s="1">
        <v>0</v>
      </c>
      <c r="T41" s="1">
        <v>0</v>
      </c>
      <c r="U41" s="1">
        <v>236.95699999999999</v>
      </c>
      <c r="V41" s="1">
        <v>25.372</v>
      </c>
      <c r="W41" s="1">
        <v>0.53</v>
      </c>
      <c r="X41" s="1">
        <v>0.214</v>
      </c>
      <c r="Y41" s="1">
        <v>25.585999999999999</v>
      </c>
      <c r="Z41" s="1">
        <v>6.4000000000000001E-2</v>
      </c>
      <c r="AA41" s="1">
        <v>0.2</v>
      </c>
      <c r="AB41" s="1">
        <v>0.2</v>
      </c>
      <c r="AC41" s="1">
        <v>0.2</v>
      </c>
      <c r="AD41" s="1">
        <v>0.214</v>
      </c>
      <c r="AE41" s="1">
        <v>6.4000000000000001E-2</v>
      </c>
      <c r="AF41" s="1">
        <v>1.4E-2</v>
      </c>
      <c r="AG41" s="1">
        <v>0.2</v>
      </c>
      <c r="AI41" s="1">
        <v>0</v>
      </c>
      <c r="AJ41" s="1">
        <v>0</v>
      </c>
      <c r="AK41" s="1">
        <v>0</v>
      </c>
      <c r="AL41" s="1">
        <v>1</v>
      </c>
      <c r="AM41" s="1">
        <v>86400</v>
      </c>
      <c r="AN41" s="1">
        <v>78910</v>
      </c>
      <c r="AO41" s="1">
        <v>7490</v>
      </c>
      <c r="AP41" s="1">
        <v>46978</v>
      </c>
      <c r="AQ41" s="1">
        <v>24.89810128895984</v>
      </c>
    </row>
    <row r="42" spans="1:43" x14ac:dyDescent="0.45">
      <c r="A42" s="1">
        <v>41</v>
      </c>
      <c r="B42" s="1">
        <v>74</v>
      </c>
      <c r="C42" s="1">
        <v>83</v>
      </c>
      <c r="D42" s="1" t="s">
        <v>55</v>
      </c>
      <c r="E42" s="1" t="s">
        <v>56</v>
      </c>
      <c r="F42" s="1" t="s">
        <v>57</v>
      </c>
      <c r="G42" s="1" t="s">
        <v>46</v>
      </c>
      <c r="H42" s="1" t="s">
        <v>47</v>
      </c>
      <c r="I42" s="1">
        <v>1176</v>
      </c>
      <c r="J42" s="1">
        <v>30288</v>
      </c>
      <c r="K42" s="1">
        <v>1</v>
      </c>
      <c r="L42" s="1">
        <v>82</v>
      </c>
      <c r="M42" s="1">
        <v>1508</v>
      </c>
      <c r="N42" s="1" t="s">
        <v>48</v>
      </c>
      <c r="O42" s="1">
        <v>197561</v>
      </c>
      <c r="P42" s="1">
        <v>90</v>
      </c>
      <c r="Q42" s="1" t="s">
        <v>98</v>
      </c>
      <c r="R42" s="1" t="s">
        <v>50</v>
      </c>
      <c r="S42" s="1">
        <v>0</v>
      </c>
      <c r="T42" s="1">
        <v>0</v>
      </c>
      <c r="U42" s="1">
        <v>195.999</v>
      </c>
      <c r="V42" s="1">
        <v>25.457999999999998</v>
      </c>
      <c r="W42" s="1">
        <v>0.52</v>
      </c>
      <c r="X42" s="1">
        <v>0.104</v>
      </c>
      <c r="Y42" s="1">
        <v>25.562000000000001</v>
      </c>
      <c r="Z42" s="1">
        <v>0.21099999999999999</v>
      </c>
      <c r="AA42" s="1">
        <v>0.3</v>
      </c>
      <c r="AB42" s="1">
        <v>0.3</v>
      </c>
      <c r="AC42" s="1">
        <v>0.3</v>
      </c>
      <c r="AD42" s="1">
        <v>0.104</v>
      </c>
      <c r="AE42" s="1">
        <v>0.21</v>
      </c>
      <c r="AF42" s="1">
        <v>2.1999999999999999E-2</v>
      </c>
      <c r="AG42" s="1">
        <v>0.3</v>
      </c>
      <c r="AI42" s="1">
        <v>0</v>
      </c>
      <c r="AJ42" s="1">
        <v>0</v>
      </c>
      <c r="AK42" s="1">
        <v>0</v>
      </c>
      <c r="AL42" s="1">
        <v>1</v>
      </c>
      <c r="AM42" s="1">
        <v>86400</v>
      </c>
      <c r="AN42" s="1">
        <v>76273</v>
      </c>
      <c r="AO42" s="1">
        <v>10127</v>
      </c>
      <c r="AP42" s="1">
        <v>47174</v>
      </c>
      <c r="AQ42" s="1">
        <v>0.41019195479173981</v>
      </c>
    </row>
    <row r="43" spans="1:43" x14ac:dyDescent="0.45">
      <c r="A43" s="1">
        <v>42</v>
      </c>
      <c r="B43" s="1">
        <v>74</v>
      </c>
      <c r="C43" s="1">
        <v>83</v>
      </c>
      <c r="D43" s="1" t="s">
        <v>55</v>
      </c>
      <c r="E43" s="1" t="s">
        <v>56</v>
      </c>
      <c r="F43" s="1" t="s">
        <v>57</v>
      </c>
      <c r="G43" s="1" t="s">
        <v>46</v>
      </c>
      <c r="H43" s="1" t="s">
        <v>47</v>
      </c>
      <c r="I43" s="1">
        <v>1176</v>
      </c>
      <c r="J43" s="1">
        <v>30288</v>
      </c>
      <c r="K43" s="1">
        <v>1</v>
      </c>
      <c r="L43" s="1">
        <v>82</v>
      </c>
      <c r="M43" s="1">
        <v>1509</v>
      </c>
      <c r="N43" s="1" t="s">
        <v>48</v>
      </c>
      <c r="O43" s="1">
        <v>197563</v>
      </c>
      <c r="P43" s="1">
        <v>90</v>
      </c>
      <c r="Q43" s="1" t="s">
        <v>98</v>
      </c>
      <c r="R43" s="1" t="s">
        <v>50</v>
      </c>
      <c r="S43" s="1">
        <v>0</v>
      </c>
      <c r="T43" s="1">
        <v>0</v>
      </c>
      <c r="U43" s="1">
        <v>552.46799999999996</v>
      </c>
      <c r="V43" s="1">
        <v>25.45</v>
      </c>
      <c r="W43" s="1">
        <v>0.52</v>
      </c>
      <c r="X43" s="1">
        <v>0.13400000000000001</v>
      </c>
      <c r="Y43" s="1">
        <v>25.584</v>
      </c>
      <c r="Z43" s="1">
        <v>0.121</v>
      </c>
      <c r="AA43" s="1">
        <v>0.9</v>
      </c>
      <c r="AB43" s="1">
        <v>0.9</v>
      </c>
      <c r="AC43" s="1">
        <v>0.9</v>
      </c>
      <c r="AD43" s="1">
        <v>0.13400000000000001</v>
      </c>
      <c r="AE43" s="1">
        <v>0.12</v>
      </c>
      <c r="AF43" s="1">
        <v>1.6E-2</v>
      </c>
      <c r="AG43" s="1">
        <v>0.9</v>
      </c>
      <c r="AI43" s="1">
        <v>0</v>
      </c>
      <c r="AJ43" s="1">
        <v>0</v>
      </c>
      <c r="AK43" s="1">
        <v>0</v>
      </c>
      <c r="AL43" s="1">
        <v>1</v>
      </c>
      <c r="AM43" s="1">
        <v>86400</v>
      </c>
      <c r="AN43" s="1">
        <v>76646</v>
      </c>
      <c r="AO43" s="1">
        <v>9754</v>
      </c>
      <c r="AP43" s="1">
        <v>47073</v>
      </c>
      <c r="AQ43" s="1">
        <v>0.69662298424265845</v>
      </c>
    </row>
    <row r="44" spans="1:43" x14ac:dyDescent="0.45">
      <c r="A44" s="1">
        <v>43</v>
      </c>
      <c r="B44" s="1">
        <v>77</v>
      </c>
      <c r="C44" s="1">
        <v>46</v>
      </c>
      <c r="D44" s="1" t="s">
        <v>58</v>
      </c>
      <c r="E44" s="1" t="s">
        <v>59</v>
      </c>
      <c r="F44" s="1" t="s">
        <v>60</v>
      </c>
      <c r="G44" s="1" t="s">
        <v>54</v>
      </c>
      <c r="H44" s="1" t="s">
        <v>47</v>
      </c>
      <c r="I44" s="1">
        <v>503</v>
      </c>
      <c r="J44" s="1">
        <v>17406</v>
      </c>
      <c r="K44" s="1">
        <v>1</v>
      </c>
      <c r="L44" s="1">
        <v>45</v>
      </c>
      <c r="M44" s="1">
        <v>1502</v>
      </c>
      <c r="N44" s="1" t="s">
        <v>48</v>
      </c>
      <c r="O44" s="1">
        <v>196199</v>
      </c>
      <c r="P44" s="1">
        <v>90</v>
      </c>
      <c r="Q44" s="1" t="s">
        <v>98</v>
      </c>
      <c r="R44" s="1" t="s">
        <v>50</v>
      </c>
      <c r="S44" s="1">
        <v>0</v>
      </c>
      <c r="T44" s="1">
        <v>0</v>
      </c>
      <c r="U44" s="1">
        <v>64.108000000000004</v>
      </c>
      <c r="V44" s="1">
        <v>25.141999999999999</v>
      </c>
      <c r="W44" s="1">
        <v>0.64</v>
      </c>
      <c r="X44" s="1">
        <v>0.41099999999999998</v>
      </c>
      <c r="Y44" s="1">
        <v>25.553000000000001</v>
      </c>
      <c r="Z44" s="1">
        <v>2.0880000000000001</v>
      </c>
      <c r="AA44" s="1">
        <v>2.7</v>
      </c>
      <c r="AB44" s="1">
        <v>2.6</v>
      </c>
      <c r="AC44" s="1">
        <v>2.6</v>
      </c>
      <c r="AD44" s="1">
        <v>0.41099999999999998</v>
      </c>
      <c r="AE44" s="1">
        <v>1.9590000000000001</v>
      </c>
      <c r="AF44" s="1">
        <v>0.80700000000000005</v>
      </c>
      <c r="AG44" s="1">
        <v>2.7</v>
      </c>
      <c r="AI44" s="1">
        <v>0</v>
      </c>
      <c r="AJ44" s="1">
        <v>0</v>
      </c>
      <c r="AK44" s="1">
        <v>0</v>
      </c>
      <c r="AL44" s="1">
        <v>1</v>
      </c>
      <c r="AM44" s="1">
        <v>61428</v>
      </c>
      <c r="AN44" s="1">
        <v>28771</v>
      </c>
      <c r="AO44" s="1">
        <v>32657</v>
      </c>
      <c r="AP44" s="1">
        <v>47100</v>
      </c>
      <c r="AQ44" s="1">
        <v>4.5203553741049349</v>
      </c>
    </row>
    <row r="45" spans="1:43" x14ac:dyDescent="0.45">
      <c r="A45" s="1">
        <v>44</v>
      </c>
      <c r="B45" s="1">
        <v>98</v>
      </c>
      <c r="C45" s="1">
        <v>74</v>
      </c>
      <c r="D45" s="1" t="s">
        <v>61</v>
      </c>
      <c r="E45" s="1" t="s">
        <v>62</v>
      </c>
      <c r="F45" s="1" t="s">
        <v>63</v>
      </c>
      <c r="G45" s="1" t="s">
        <v>46</v>
      </c>
      <c r="H45" s="1" t="s">
        <v>47</v>
      </c>
      <c r="I45" s="1">
        <v>1175</v>
      </c>
      <c r="J45" s="1">
        <v>30642</v>
      </c>
      <c r="K45" s="1">
        <v>1</v>
      </c>
      <c r="L45" s="1">
        <v>73</v>
      </c>
      <c r="M45" s="1">
        <v>1565</v>
      </c>
      <c r="N45" s="1" t="s">
        <v>48</v>
      </c>
      <c r="O45" s="1">
        <v>198607</v>
      </c>
      <c r="P45" s="1">
        <v>90</v>
      </c>
      <c r="Q45" s="1" t="s">
        <v>98</v>
      </c>
      <c r="R45" s="1" t="s">
        <v>50</v>
      </c>
      <c r="S45" s="1">
        <v>0</v>
      </c>
      <c r="T45" s="1">
        <v>0</v>
      </c>
      <c r="U45" s="1">
        <v>71.430000000000007</v>
      </c>
      <c r="V45" s="1">
        <v>25.236000000000001</v>
      </c>
      <c r="W45" s="1">
        <v>0.52</v>
      </c>
      <c r="X45" s="1">
        <v>0.14499999999999999</v>
      </c>
      <c r="Y45" s="1">
        <v>25.381</v>
      </c>
      <c r="Z45" s="1">
        <v>0.112</v>
      </c>
      <c r="AA45" s="1">
        <v>-0.7</v>
      </c>
      <c r="AB45" s="1">
        <v>-0.6</v>
      </c>
      <c r="AC45" s="1">
        <v>-0.6</v>
      </c>
      <c r="AD45" s="1">
        <v>0.14499999999999999</v>
      </c>
      <c r="AE45" s="1">
        <v>7.8E-2</v>
      </c>
      <c r="AF45" s="1">
        <v>1.0999999999999999E-2</v>
      </c>
      <c r="AG45" s="1">
        <v>-0.7</v>
      </c>
      <c r="AI45" s="1">
        <v>0</v>
      </c>
      <c r="AJ45" s="1">
        <v>0</v>
      </c>
      <c r="AK45" s="1">
        <v>0</v>
      </c>
      <c r="AL45" s="1">
        <v>1</v>
      </c>
      <c r="AM45" s="1">
        <v>86400</v>
      </c>
      <c r="AN45" s="1">
        <v>80461</v>
      </c>
      <c r="AO45" s="1">
        <v>5939</v>
      </c>
      <c r="AP45" s="1">
        <v>48909</v>
      </c>
      <c r="AQ45" s="1">
        <v>1.128700622000171</v>
      </c>
    </row>
    <row r="46" spans="1:43" x14ac:dyDescent="0.45">
      <c r="A46" s="1">
        <v>45</v>
      </c>
      <c r="B46" s="1">
        <v>99</v>
      </c>
      <c r="C46" s="1">
        <v>75</v>
      </c>
      <c r="D46" s="1" t="s">
        <v>64</v>
      </c>
      <c r="E46" s="1" t="s">
        <v>65</v>
      </c>
      <c r="F46" s="1" t="s">
        <v>66</v>
      </c>
      <c r="G46" s="1" t="s">
        <v>46</v>
      </c>
      <c r="H46" s="1" t="s">
        <v>47</v>
      </c>
      <c r="I46" s="1">
        <v>1170</v>
      </c>
      <c r="J46" s="1">
        <v>33499</v>
      </c>
      <c r="K46" s="1">
        <v>1</v>
      </c>
      <c r="L46" s="1">
        <v>74</v>
      </c>
      <c r="M46" s="1">
        <v>1565</v>
      </c>
      <c r="N46" s="1" t="s">
        <v>48</v>
      </c>
      <c r="O46" s="1">
        <v>198607</v>
      </c>
      <c r="P46" s="1">
        <v>90</v>
      </c>
      <c r="Q46" s="1" t="s">
        <v>98</v>
      </c>
      <c r="R46" s="1" t="s">
        <v>50</v>
      </c>
      <c r="S46" s="1">
        <v>0</v>
      </c>
      <c r="T46" s="1">
        <v>0</v>
      </c>
      <c r="U46" s="1">
        <v>71.430000000000007</v>
      </c>
      <c r="V46" s="1">
        <v>25.236000000000001</v>
      </c>
      <c r="W46" s="1">
        <v>0.52</v>
      </c>
      <c r="X46" s="1">
        <v>0.14499999999999999</v>
      </c>
      <c r="Y46" s="1">
        <v>25.381</v>
      </c>
      <c r="Z46" s="1">
        <v>0.112</v>
      </c>
      <c r="AA46" s="1">
        <v>-0.7</v>
      </c>
      <c r="AB46" s="1">
        <v>-0.6</v>
      </c>
      <c r="AC46" s="1">
        <v>-0.6</v>
      </c>
      <c r="AD46" s="1">
        <v>0.14499999999999999</v>
      </c>
      <c r="AE46" s="1">
        <v>7.8E-2</v>
      </c>
      <c r="AF46" s="1">
        <v>1.0999999999999999E-2</v>
      </c>
      <c r="AG46" s="1">
        <v>-0.7</v>
      </c>
      <c r="AI46" s="1">
        <v>0</v>
      </c>
      <c r="AJ46" s="1">
        <v>0</v>
      </c>
      <c r="AK46" s="1">
        <v>0</v>
      </c>
      <c r="AL46" s="1">
        <v>1</v>
      </c>
      <c r="AM46" s="1">
        <v>86400</v>
      </c>
      <c r="AN46" s="1">
        <v>80461</v>
      </c>
      <c r="AO46" s="1">
        <v>5939</v>
      </c>
      <c r="AP46" s="1">
        <v>48909</v>
      </c>
      <c r="AQ46" s="1">
        <v>1.12779195385514</v>
      </c>
    </row>
    <row r="47" spans="1:43" x14ac:dyDescent="0.45">
      <c r="A47" s="1">
        <v>46</v>
      </c>
      <c r="B47" s="1">
        <v>101</v>
      </c>
      <c r="C47" s="1">
        <v>74</v>
      </c>
      <c r="D47" s="1" t="s">
        <v>61</v>
      </c>
      <c r="E47" s="1" t="s">
        <v>62</v>
      </c>
      <c r="F47" s="1" t="s">
        <v>63</v>
      </c>
      <c r="G47" s="1" t="s">
        <v>46</v>
      </c>
      <c r="H47" s="1" t="s">
        <v>47</v>
      </c>
      <c r="I47" s="1">
        <v>1175</v>
      </c>
      <c r="J47" s="1">
        <v>30642</v>
      </c>
      <c r="K47" s="1">
        <v>1</v>
      </c>
      <c r="L47" s="1">
        <v>73</v>
      </c>
      <c r="M47" s="1">
        <v>1545</v>
      </c>
      <c r="N47" s="1" t="s">
        <v>48</v>
      </c>
      <c r="O47" s="1">
        <v>198410</v>
      </c>
      <c r="P47" s="1">
        <v>90</v>
      </c>
      <c r="Q47" s="1" t="s">
        <v>98</v>
      </c>
      <c r="R47" s="1" t="s">
        <v>50</v>
      </c>
      <c r="S47" s="1">
        <v>0</v>
      </c>
      <c r="T47" s="1">
        <v>0</v>
      </c>
      <c r="U47" s="1">
        <v>133.90799999999999</v>
      </c>
      <c r="V47" s="1">
        <v>25.021999999999998</v>
      </c>
      <c r="W47" s="1">
        <v>0.54</v>
      </c>
      <c r="X47" s="1">
        <v>0.25800000000000001</v>
      </c>
      <c r="Y47" s="1">
        <v>25.279</v>
      </c>
      <c r="Z47" s="1">
        <v>7.1999999999999995E-2</v>
      </c>
      <c r="AA47" s="1">
        <v>-0.6</v>
      </c>
      <c r="AB47" s="1">
        <v>-0.6</v>
      </c>
      <c r="AC47" s="1">
        <v>-0.6</v>
      </c>
      <c r="AD47" s="1">
        <v>0.25800000000000001</v>
      </c>
      <c r="AE47" s="1">
        <v>7.1999999999999995E-2</v>
      </c>
      <c r="AF47" s="1">
        <v>1.7999999999999999E-2</v>
      </c>
      <c r="AG47" s="1">
        <v>-0.6</v>
      </c>
      <c r="AI47" s="1">
        <v>0</v>
      </c>
      <c r="AJ47" s="1">
        <v>0</v>
      </c>
      <c r="AK47" s="1">
        <v>0</v>
      </c>
      <c r="AL47" s="1">
        <v>1</v>
      </c>
      <c r="AM47" s="1">
        <v>86400</v>
      </c>
      <c r="AN47" s="1">
        <v>80456</v>
      </c>
      <c r="AO47" s="1">
        <v>5944</v>
      </c>
      <c r="AP47" s="1">
        <v>43698</v>
      </c>
      <c r="AQ47" s="1">
        <v>11.882044579238849</v>
      </c>
    </row>
    <row r="48" spans="1:43" x14ac:dyDescent="0.45">
      <c r="A48" s="1">
        <v>47</v>
      </c>
      <c r="B48" s="1">
        <v>101</v>
      </c>
      <c r="C48" s="1">
        <v>74</v>
      </c>
      <c r="D48" s="1" t="s">
        <v>61</v>
      </c>
      <c r="E48" s="1" t="s">
        <v>62</v>
      </c>
      <c r="F48" s="1" t="s">
        <v>63</v>
      </c>
      <c r="G48" s="1" t="s">
        <v>46</v>
      </c>
      <c r="H48" s="1" t="s">
        <v>47</v>
      </c>
      <c r="I48" s="1">
        <v>1175</v>
      </c>
      <c r="J48" s="1">
        <v>30642</v>
      </c>
      <c r="K48" s="1">
        <v>1</v>
      </c>
      <c r="L48" s="1">
        <v>73</v>
      </c>
      <c r="M48" s="1">
        <v>1547</v>
      </c>
      <c r="N48" s="1" t="s">
        <v>48</v>
      </c>
      <c r="O48" s="1">
        <v>198432</v>
      </c>
      <c r="P48" s="1">
        <v>90</v>
      </c>
      <c r="Q48" s="1" t="s">
        <v>98</v>
      </c>
      <c r="R48" s="1" t="s">
        <v>50</v>
      </c>
      <c r="S48" s="1">
        <v>0</v>
      </c>
      <c r="T48" s="1">
        <v>0</v>
      </c>
      <c r="U48" s="1">
        <v>135.304</v>
      </c>
      <c r="V48" s="1">
        <v>25.076000000000001</v>
      </c>
      <c r="W48" s="1">
        <v>0.53</v>
      </c>
      <c r="X48" s="1">
        <v>0.20399999999999999</v>
      </c>
      <c r="Y48" s="1">
        <v>25.28</v>
      </c>
      <c r="Z48" s="1">
        <v>7.0000000000000007E-2</v>
      </c>
      <c r="AA48" s="1">
        <v>1.9</v>
      </c>
      <c r="AB48" s="1">
        <v>1.9</v>
      </c>
      <c r="AC48" s="1">
        <v>1.9</v>
      </c>
      <c r="AD48" s="1">
        <v>0.20399999999999999</v>
      </c>
      <c r="AE48" s="1">
        <v>7.0000000000000007E-2</v>
      </c>
      <c r="AF48" s="1">
        <v>1.4E-2</v>
      </c>
      <c r="AG48" s="1">
        <v>1.9</v>
      </c>
      <c r="AI48" s="1">
        <v>0</v>
      </c>
      <c r="AJ48" s="1">
        <v>0</v>
      </c>
      <c r="AK48" s="1">
        <v>0</v>
      </c>
      <c r="AL48" s="1">
        <v>1</v>
      </c>
      <c r="AM48" s="1">
        <v>86400</v>
      </c>
      <c r="AN48" s="1">
        <v>77954</v>
      </c>
      <c r="AO48" s="1">
        <v>8446</v>
      </c>
      <c r="AP48" s="1">
        <v>46881</v>
      </c>
      <c r="AQ48" s="1">
        <v>3.4742025684666311</v>
      </c>
    </row>
    <row r="49" spans="1:43" x14ac:dyDescent="0.45">
      <c r="A49" s="1">
        <v>48</v>
      </c>
      <c r="B49" s="1">
        <v>101</v>
      </c>
      <c r="C49" s="1">
        <v>74</v>
      </c>
      <c r="D49" s="1" t="s">
        <v>61</v>
      </c>
      <c r="E49" s="1" t="s">
        <v>62</v>
      </c>
      <c r="F49" s="1" t="s">
        <v>63</v>
      </c>
      <c r="G49" s="1" t="s">
        <v>46</v>
      </c>
      <c r="H49" s="1" t="s">
        <v>47</v>
      </c>
      <c r="I49" s="1">
        <v>1175</v>
      </c>
      <c r="J49" s="1">
        <v>30642</v>
      </c>
      <c r="K49" s="1">
        <v>1</v>
      </c>
      <c r="L49" s="1">
        <v>73</v>
      </c>
      <c r="M49" s="1">
        <v>1552</v>
      </c>
      <c r="N49" s="1" t="s">
        <v>48</v>
      </c>
      <c r="O49" s="1">
        <v>198461</v>
      </c>
      <c r="P49" s="1">
        <v>90</v>
      </c>
      <c r="Q49" s="1" t="s">
        <v>98</v>
      </c>
      <c r="R49" s="1" t="s">
        <v>50</v>
      </c>
      <c r="S49" s="1">
        <v>0</v>
      </c>
      <c r="T49" s="1">
        <v>0</v>
      </c>
      <c r="U49" s="1">
        <v>58.322000000000003</v>
      </c>
      <c r="V49" s="1">
        <v>24.956</v>
      </c>
      <c r="W49" s="1">
        <v>0.55000000000000004</v>
      </c>
      <c r="X49" s="1">
        <v>0.22700000000000001</v>
      </c>
      <c r="Y49" s="1">
        <v>25.183</v>
      </c>
      <c r="Z49" s="1">
        <v>0.64800000000000002</v>
      </c>
      <c r="AA49" s="1">
        <v>-2.4</v>
      </c>
      <c r="AB49" s="1">
        <v>-2.4</v>
      </c>
      <c r="AC49" s="1">
        <v>-2.4</v>
      </c>
      <c r="AD49" s="1">
        <v>0.22700000000000001</v>
      </c>
      <c r="AE49" s="1">
        <v>0.64700000000000002</v>
      </c>
      <c r="AF49" s="1">
        <v>0.14699999999999999</v>
      </c>
      <c r="AG49" s="1">
        <v>-2.4</v>
      </c>
      <c r="AI49" s="1">
        <v>0</v>
      </c>
      <c r="AJ49" s="1">
        <v>0</v>
      </c>
      <c r="AK49" s="1">
        <v>0</v>
      </c>
      <c r="AL49" s="1">
        <v>1</v>
      </c>
      <c r="AM49" s="1">
        <v>86400</v>
      </c>
      <c r="AN49" s="1">
        <v>80725</v>
      </c>
      <c r="AO49" s="1">
        <v>5675</v>
      </c>
      <c r="AP49" s="1">
        <v>46890</v>
      </c>
      <c r="AQ49" s="1">
        <v>9.2549849174751557</v>
      </c>
    </row>
    <row r="50" spans="1:43" x14ac:dyDescent="0.45">
      <c r="A50" s="1">
        <v>49</v>
      </c>
      <c r="B50" s="1">
        <v>101</v>
      </c>
      <c r="C50" s="1">
        <v>74</v>
      </c>
      <c r="D50" s="1" t="s">
        <v>61</v>
      </c>
      <c r="E50" s="1" t="s">
        <v>62</v>
      </c>
      <c r="F50" s="1" t="s">
        <v>63</v>
      </c>
      <c r="G50" s="1" t="s">
        <v>46</v>
      </c>
      <c r="H50" s="1" t="s">
        <v>47</v>
      </c>
      <c r="I50" s="1">
        <v>1175</v>
      </c>
      <c r="J50" s="1">
        <v>30642</v>
      </c>
      <c r="K50" s="1">
        <v>1</v>
      </c>
      <c r="L50" s="1">
        <v>73</v>
      </c>
      <c r="M50" s="1">
        <v>1553</v>
      </c>
      <c r="N50" s="1" t="s">
        <v>48</v>
      </c>
      <c r="O50" s="1">
        <v>198463</v>
      </c>
      <c r="P50" s="1">
        <v>90</v>
      </c>
      <c r="Q50" s="1" t="s">
        <v>98</v>
      </c>
      <c r="R50" s="1" t="s">
        <v>50</v>
      </c>
      <c r="S50" s="1">
        <v>0</v>
      </c>
      <c r="T50" s="1">
        <v>0</v>
      </c>
      <c r="U50" s="1">
        <v>67.843999999999994</v>
      </c>
      <c r="V50" s="1">
        <v>25.030999999999999</v>
      </c>
      <c r="W50" s="1">
        <v>0.53</v>
      </c>
      <c r="X50" s="1">
        <v>0.13700000000000001</v>
      </c>
      <c r="Y50" s="1">
        <v>25.169</v>
      </c>
      <c r="Z50" s="1">
        <v>0.50800000000000001</v>
      </c>
      <c r="AA50" s="1">
        <v>-2.4</v>
      </c>
      <c r="AB50" s="1">
        <v>-2.4</v>
      </c>
      <c r="AC50" s="1">
        <v>-2.4</v>
      </c>
      <c r="AD50" s="1">
        <v>0.13700000000000001</v>
      </c>
      <c r="AE50" s="1">
        <v>0.505</v>
      </c>
      <c r="AF50" s="1">
        <v>6.9000000000000006E-2</v>
      </c>
      <c r="AG50" s="1">
        <v>-2.4</v>
      </c>
      <c r="AI50" s="1">
        <v>0</v>
      </c>
      <c r="AJ50" s="1">
        <v>0</v>
      </c>
      <c r="AK50" s="1">
        <v>0</v>
      </c>
      <c r="AL50" s="1">
        <v>1</v>
      </c>
      <c r="AM50" s="1">
        <v>65096</v>
      </c>
      <c r="AN50" s="1">
        <v>35967</v>
      </c>
      <c r="AO50" s="1">
        <v>28884</v>
      </c>
      <c r="AP50" s="1">
        <v>47034</v>
      </c>
      <c r="AQ50" s="1">
        <v>8.1452208108424564</v>
      </c>
    </row>
    <row r="51" spans="1:43" x14ac:dyDescent="0.45">
      <c r="A51" s="1">
        <v>50</v>
      </c>
      <c r="B51" s="1">
        <v>101</v>
      </c>
      <c r="C51" s="1">
        <v>74</v>
      </c>
      <c r="D51" s="1" t="s">
        <v>61</v>
      </c>
      <c r="E51" s="1" t="s">
        <v>62</v>
      </c>
      <c r="F51" s="1" t="s">
        <v>63</v>
      </c>
      <c r="G51" s="1" t="s">
        <v>46</v>
      </c>
      <c r="H51" s="1" t="s">
        <v>47</v>
      </c>
      <c r="I51" s="1">
        <v>1175</v>
      </c>
      <c r="J51" s="1">
        <v>30642</v>
      </c>
      <c r="K51" s="1">
        <v>1</v>
      </c>
      <c r="L51" s="1">
        <v>73</v>
      </c>
      <c r="M51" s="1">
        <v>1555</v>
      </c>
      <c r="N51" s="1" t="s">
        <v>48</v>
      </c>
      <c r="O51" s="1">
        <v>198487</v>
      </c>
      <c r="P51" s="1">
        <v>90</v>
      </c>
      <c r="Q51" s="1" t="s">
        <v>98</v>
      </c>
      <c r="R51" s="1" t="s">
        <v>50</v>
      </c>
      <c r="S51" s="1">
        <v>0</v>
      </c>
      <c r="T51" s="1">
        <v>0</v>
      </c>
      <c r="U51" s="1">
        <v>83.683999999999997</v>
      </c>
      <c r="V51" s="1">
        <v>25.073</v>
      </c>
      <c r="W51" s="1">
        <v>0.53</v>
      </c>
      <c r="X51" s="1">
        <v>0.20599999999999999</v>
      </c>
      <c r="Y51" s="1">
        <v>25.279</v>
      </c>
      <c r="Z51" s="1">
        <v>9.7000000000000003E-2</v>
      </c>
      <c r="AA51" s="1">
        <v>-2.6</v>
      </c>
      <c r="AB51" s="1">
        <v>-2.6</v>
      </c>
      <c r="AC51" s="1">
        <v>-2.6</v>
      </c>
      <c r="AD51" s="1">
        <v>0.20599999999999999</v>
      </c>
      <c r="AE51" s="1">
        <v>9.7000000000000003E-2</v>
      </c>
      <c r="AF51" s="1">
        <v>0.02</v>
      </c>
      <c r="AG51" s="1">
        <v>-2.6</v>
      </c>
      <c r="AI51" s="1">
        <v>0</v>
      </c>
      <c r="AJ51" s="1">
        <v>0</v>
      </c>
      <c r="AK51" s="1">
        <v>0</v>
      </c>
      <c r="AL51" s="1">
        <v>1</v>
      </c>
      <c r="AM51" s="1">
        <v>86400</v>
      </c>
      <c r="AN51" s="1">
        <v>78106</v>
      </c>
      <c r="AO51" s="1">
        <v>8294</v>
      </c>
      <c r="AP51" s="1">
        <v>47042</v>
      </c>
      <c r="AQ51" s="1">
        <v>15.599047446394991</v>
      </c>
    </row>
    <row r="52" spans="1:43" x14ac:dyDescent="0.45">
      <c r="A52" s="1">
        <v>51</v>
      </c>
      <c r="B52" s="1">
        <v>101</v>
      </c>
      <c r="C52" s="1">
        <v>74</v>
      </c>
      <c r="D52" s="1" t="s">
        <v>61</v>
      </c>
      <c r="E52" s="1" t="s">
        <v>62</v>
      </c>
      <c r="F52" s="1" t="s">
        <v>63</v>
      </c>
      <c r="G52" s="1" t="s">
        <v>46</v>
      </c>
      <c r="H52" s="1" t="s">
        <v>47</v>
      </c>
      <c r="I52" s="1">
        <v>1175</v>
      </c>
      <c r="J52" s="1">
        <v>30642</v>
      </c>
      <c r="K52" s="1">
        <v>1</v>
      </c>
      <c r="L52" s="1">
        <v>73</v>
      </c>
      <c r="M52" s="1">
        <v>1556</v>
      </c>
      <c r="N52" s="1" t="s">
        <v>48</v>
      </c>
      <c r="O52" s="1">
        <v>198541</v>
      </c>
      <c r="P52" s="1">
        <v>90</v>
      </c>
      <c r="Q52" s="1" t="s">
        <v>98</v>
      </c>
      <c r="R52" s="1" t="s">
        <v>50</v>
      </c>
      <c r="S52" s="1">
        <v>0</v>
      </c>
      <c r="T52" s="1">
        <v>0</v>
      </c>
      <c r="U52" s="1">
        <v>289.83499999999998</v>
      </c>
      <c r="V52" s="1">
        <v>25.143000000000001</v>
      </c>
      <c r="W52" s="1">
        <v>0.54</v>
      </c>
      <c r="X52" s="1">
        <v>0.245</v>
      </c>
      <c r="Y52" s="1">
        <v>25.388000000000002</v>
      </c>
      <c r="Z52" s="1">
        <v>9.7000000000000003E-2</v>
      </c>
      <c r="AA52" s="1">
        <v>-2.1</v>
      </c>
      <c r="AB52" s="1">
        <v>-2.1</v>
      </c>
      <c r="AC52" s="1">
        <v>-2.1</v>
      </c>
      <c r="AD52" s="1">
        <v>0.245</v>
      </c>
      <c r="AE52" s="1">
        <v>9.7000000000000003E-2</v>
      </c>
      <c r="AF52" s="1">
        <v>2.4E-2</v>
      </c>
      <c r="AG52" s="1">
        <v>-2.1</v>
      </c>
      <c r="AI52" s="1">
        <v>0</v>
      </c>
      <c r="AJ52" s="1">
        <v>0</v>
      </c>
      <c r="AK52" s="1">
        <v>0</v>
      </c>
      <c r="AL52" s="1">
        <v>1</v>
      </c>
      <c r="AM52" s="1">
        <v>86400</v>
      </c>
      <c r="AN52" s="1">
        <v>79507</v>
      </c>
      <c r="AO52" s="1">
        <v>6893</v>
      </c>
      <c r="AP52" s="1">
        <v>46880</v>
      </c>
      <c r="AQ52" s="1">
        <v>24.891446609903252</v>
      </c>
    </row>
    <row r="53" spans="1:43" x14ac:dyDescent="0.45">
      <c r="A53" s="1">
        <v>52</v>
      </c>
      <c r="B53" s="1">
        <v>101</v>
      </c>
      <c r="C53" s="1">
        <v>74</v>
      </c>
      <c r="D53" s="1" t="s">
        <v>61</v>
      </c>
      <c r="E53" s="1" t="s">
        <v>62</v>
      </c>
      <c r="F53" s="1" t="s">
        <v>63</v>
      </c>
      <c r="G53" s="1" t="s">
        <v>46</v>
      </c>
      <c r="H53" s="1" t="s">
        <v>47</v>
      </c>
      <c r="I53" s="1">
        <v>1175</v>
      </c>
      <c r="J53" s="1">
        <v>30642</v>
      </c>
      <c r="K53" s="1">
        <v>1</v>
      </c>
      <c r="L53" s="1">
        <v>73</v>
      </c>
      <c r="M53" s="1">
        <v>1557</v>
      </c>
      <c r="N53" s="1" t="s">
        <v>48</v>
      </c>
      <c r="O53" s="1">
        <v>198542</v>
      </c>
      <c r="P53" s="1">
        <v>90</v>
      </c>
      <c r="Q53" s="1" t="s">
        <v>98</v>
      </c>
      <c r="R53" s="1" t="s">
        <v>50</v>
      </c>
      <c r="S53" s="1">
        <v>0</v>
      </c>
      <c r="T53" s="1">
        <v>0</v>
      </c>
      <c r="U53" s="1">
        <v>289.83499999999998</v>
      </c>
      <c r="V53" s="1">
        <v>25.213999999999999</v>
      </c>
      <c r="W53" s="1">
        <v>0.53</v>
      </c>
      <c r="X53" s="1">
        <v>0.17399999999999999</v>
      </c>
      <c r="Y53" s="1">
        <v>25.388000000000002</v>
      </c>
      <c r="Z53" s="1">
        <v>4.4999999999999998E-2</v>
      </c>
      <c r="AA53" s="1">
        <v>-1</v>
      </c>
      <c r="AB53" s="1">
        <v>-1</v>
      </c>
      <c r="AC53" s="1">
        <v>-1</v>
      </c>
      <c r="AD53" s="1">
        <v>0.17399999999999999</v>
      </c>
      <c r="AE53" s="1">
        <v>4.4999999999999998E-2</v>
      </c>
      <c r="AF53" s="1">
        <v>8.0000000000000002E-3</v>
      </c>
      <c r="AG53" s="1">
        <v>-1</v>
      </c>
      <c r="AI53" s="1">
        <v>0</v>
      </c>
      <c r="AJ53" s="1">
        <v>0</v>
      </c>
      <c r="AK53" s="1">
        <v>0</v>
      </c>
      <c r="AL53" s="1">
        <v>1</v>
      </c>
      <c r="AM53" s="1">
        <v>86400</v>
      </c>
      <c r="AN53" s="1">
        <v>75784</v>
      </c>
      <c r="AO53" s="1">
        <v>10616</v>
      </c>
      <c r="AP53" s="1">
        <v>43613</v>
      </c>
      <c r="AQ53" s="1">
        <v>25.132737300929911</v>
      </c>
    </row>
    <row r="54" spans="1:43" x14ac:dyDescent="0.45">
      <c r="A54" s="1">
        <v>53</v>
      </c>
      <c r="B54" s="1">
        <v>101</v>
      </c>
      <c r="C54" s="1">
        <v>74</v>
      </c>
      <c r="D54" s="1" t="s">
        <v>61</v>
      </c>
      <c r="E54" s="1" t="s">
        <v>62</v>
      </c>
      <c r="F54" s="1" t="s">
        <v>63</v>
      </c>
      <c r="G54" s="1" t="s">
        <v>46</v>
      </c>
      <c r="H54" s="1" t="s">
        <v>47</v>
      </c>
      <c r="I54" s="1">
        <v>1175</v>
      </c>
      <c r="J54" s="1">
        <v>30642</v>
      </c>
      <c r="K54" s="1">
        <v>1</v>
      </c>
      <c r="L54" s="1">
        <v>73</v>
      </c>
      <c r="M54" s="1">
        <v>1558</v>
      </c>
      <c r="N54" s="1" t="s">
        <v>48</v>
      </c>
      <c r="O54" s="1">
        <v>198593</v>
      </c>
      <c r="P54" s="1">
        <v>90</v>
      </c>
      <c r="Q54" s="1" t="s">
        <v>98</v>
      </c>
      <c r="R54" s="1" t="s">
        <v>50</v>
      </c>
      <c r="S54" s="1">
        <v>0</v>
      </c>
      <c r="T54" s="1">
        <v>0</v>
      </c>
      <c r="U54" s="1">
        <v>544.79200000000003</v>
      </c>
      <c r="V54" s="1">
        <v>25.16</v>
      </c>
      <c r="W54" s="1">
        <v>0.53</v>
      </c>
      <c r="X54" s="1">
        <v>0.21</v>
      </c>
      <c r="Y54" s="1">
        <v>25.37</v>
      </c>
      <c r="Z54" s="1">
        <v>0.10100000000000001</v>
      </c>
      <c r="AA54" s="1">
        <v>2.2999999999999998</v>
      </c>
      <c r="AB54" s="1">
        <v>2.2999999999999998</v>
      </c>
      <c r="AC54" s="1">
        <v>2.2999999999999998</v>
      </c>
      <c r="AD54" s="1">
        <v>0.21</v>
      </c>
      <c r="AE54" s="1">
        <v>0.10100000000000001</v>
      </c>
      <c r="AF54" s="1">
        <v>2.1000000000000001E-2</v>
      </c>
      <c r="AG54" s="1">
        <v>2.2999999999999998</v>
      </c>
      <c r="AI54" s="1">
        <v>0</v>
      </c>
      <c r="AJ54" s="1">
        <v>0</v>
      </c>
      <c r="AK54" s="1">
        <v>0</v>
      </c>
      <c r="AL54" s="1">
        <v>1</v>
      </c>
      <c r="AM54" s="1">
        <v>86400</v>
      </c>
      <c r="AN54" s="1">
        <v>72975</v>
      </c>
      <c r="AO54" s="1">
        <v>13425</v>
      </c>
      <c r="AP54" s="1">
        <v>49618</v>
      </c>
      <c r="AQ54" s="1">
        <v>26.819003902703411</v>
      </c>
    </row>
    <row r="55" spans="1:43" x14ac:dyDescent="0.45">
      <c r="A55" s="1">
        <v>54</v>
      </c>
      <c r="B55" s="1">
        <v>101</v>
      </c>
      <c r="C55" s="1">
        <v>74</v>
      </c>
      <c r="D55" s="1" t="s">
        <v>61</v>
      </c>
      <c r="E55" s="1" t="s">
        <v>62</v>
      </c>
      <c r="F55" s="1" t="s">
        <v>63</v>
      </c>
      <c r="G55" s="1" t="s">
        <v>46</v>
      </c>
      <c r="H55" s="1" t="s">
        <v>47</v>
      </c>
      <c r="I55" s="1">
        <v>1175</v>
      </c>
      <c r="J55" s="1">
        <v>30642</v>
      </c>
      <c r="K55" s="1">
        <v>1</v>
      </c>
      <c r="L55" s="1">
        <v>73</v>
      </c>
      <c r="M55" s="1">
        <v>1559</v>
      </c>
      <c r="N55" s="1" t="s">
        <v>48</v>
      </c>
      <c r="O55" s="1">
        <v>198594</v>
      </c>
      <c r="P55" s="1">
        <v>90</v>
      </c>
      <c r="Q55" s="1" t="s">
        <v>98</v>
      </c>
      <c r="R55" s="1" t="s">
        <v>50</v>
      </c>
      <c r="S55" s="1">
        <v>0</v>
      </c>
      <c r="T55" s="1">
        <v>0</v>
      </c>
      <c r="U55" s="1">
        <v>600.88599999999997</v>
      </c>
      <c r="V55" s="1">
        <v>25.077999999999999</v>
      </c>
      <c r="W55" s="1">
        <v>0.55000000000000004</v>
      </c>
      <c r="X55" s="1">
        <v>0.29499999999999998</v>
      </c>
      <c r="Y55" s="1">
        <v>25.373000000000001</v>
      </c>
      <c r="Z55" s="1">
        <v>7.0000000000000007E-2</v>
      </c>
      <c r="AA55" s="1">
        <v>3</v>
      </c>
      <c r="AB55" s="1">
        <v>-3.1</v>
      </c>
      <c r="AC55" s="1">
        <v>-3.1</v>
      </c>
      <c r="AD55" s="1">
        <v>0.29499999999999998</v>
      </c>
      <c r="AE55" s="1">
        <v>6.8000000000000005E-2</v>
      </c>
      <c r="AF55" s="1">
        <v>0.02</v>
      </c>
      <c r="AG55" s="1">
        <v>3</v>
      </c>
      <c r="AI55" s="1">
        <v>0</v>
      </c>
      <c r="AJ55" s="1">
        <v>0</v>
      </c>
      <c r="AK55" s="1">
        <v>0</v>
      </c>
      <c r="AL55" s="1">
        <v>1</v>
      </c>
      <c r="AM55" s="1">
        <v>86400</v>
      </c>
      <c r="AN55" s="1">
        <v>77893</v>
      </c>
      <c r="AO55" s="1">
        <v>8507</v>
      </c>
      <c r="AP55" s="1">
        <v>49520</v>
      </c>
      <c r="AQ55" s="1">
        <v>2.7249590740331948</v>
      </c>
    </row>
    <row r="56" spans="1:43" x14ac:dyDescent="0.45">
      <c r="A56" s="1">
        <v>55</v>
      </c>
      <c r="B56" s="1">
        <v>101</v>
      </c>
      <c r="C56" s="1">
        <v>74</v>
      </c>
      <c r="D56" s="1" t="s">
        <v>61</v>
      </c>
      <c r="E56" s="1" t="s">
        <v>62</v>
      </c>
      <c r="F56" s="1" t="s">
        <v>63</v>
      </c>
      <c r="G56" s="1" t="s">
        <v>46</v>
      </c>
      <c r="H56" s="1" t="s">
        <v>47</v>
      </c>
      <c r="I56" s="1">
        <v>1175</v>
      </c>
      <c r="J56" s="1">
        <v>30642</v>
      </c>
      <c r="K56" s="1">
        <v>1</v>
      </c>
      <c r="L56" s="1">
        <v>73</v>
      </c>
      <c r="M56" s="1">
        <v>1560</v>
      </c>
      <c r="N56" s="1" t="s">
        <v>48</v>
      </c>
      <c r="O56" s="1">
        <v>198595</v>
      </c>
      <c r="P56" s="1">
        <v>90</v>
      </c>
      <c r="Q56" s="1" t="s">
        <v>98</v>
      </c>
      <c r="R56" s="1" t="s">
        <v>50</v>
      </c>
      <c r="S56" s="1">
        <v>0</v>
      </c>
      <c r="T56" s="1">
        <v>0</v>
      </c>
      <c r="U56" s="1">
        <v>356.9</v>
      </c>
      <c r="V56" s="1">
        <v>25.073</v>
      </c>
      <c r="W56" s="1">
        <v>0.55000000000000004</v>
      </c>
      <c r="X56" s="1">
        <v>0.3</v>
      </c>
      <c r="Y56" s="1">
        <v>25.373000000000001</v>
      </c>
      <c r="Z56" s="1">
        <v>0.04</v>
      </c>
      <c r="AA56" s="1">
        <v>-1.1000000000000001</v>
      </c>
      <c r="AB56" s="1">
        <v>-1.1000000000000001</v>
      </c>
      <c r="AC56" s="1">
        <v>-1.1000000000000001</v>
      </c>
      <c r="AD56" s="1">
        <v>0.3</v>
      </c>
      <c r="AE56" s="1">
        <v>0.04</v>
      </c>
      <c r="AF56" s="1">
        <v>1.2E-2</v>
      </c>
      <c r="AG56" s="1">
        <v>-1.1000000000000001</v>
      </c>
      <c r="AI56" s="1">
        <v>0</v>
      </c>
      <c r="AJ56" s="1">
        <v>0</v>
      </c>
      <c r="AK56" s="1">
        <v>0</v>
      </c>
      <c r="AL56" s="1">
        <v>1</v>
      </c>
      <c r="AM56" s="1">
        <v>86400</v>
      </c>
      <c r="AN56" s="1">
        <v>78194</v>
      </c>
      <c r="AO56" s="1">
        <v>8206</v>
      </c>
      <c r="AP56" s="1">
        <v>50389</v>
      </c>
      <c r="AQ56" s="1">
        <v>49.442101089761117</v>
      </c>
    </row>
    <row r="57" spans="1:43" x14ac:dyDescent="0.45">
      <c r="A57" s="1">
        <v>56</v>
      </c>
      <c r="B57" s="1">
        <v>101</v>
      </c>
      <c r="C57" s="1">
        <v>74</v>
      </c>
      <c r="D57" s="1" t="s">
        <v>61</v>
      </c>
      <c r="E57" s="1" t="s">
        <v>62</v>
      </c>
      <c r="F57" s="1" t="s">
        <v>63</v>
      </c>
      <c r="G57" s="1" t="s">
        <v>46</v>
      </c>
      <c r="H57" s="1" t="s">
        <v>47</v>
      </c>
      <c r="I57" s="1">
        <v>1175</v>
      </c>
      <c r="J57" s="1">
        <v>30642</v>
      </c>
      <c r="K57" s="1">
        <v>1</v>
      </c>
      <c r="L57" s="1">
        <v>73</v>
      </c>
      <c r="M57" s="1">
        <v>1561</v>
      </c>
      <c r="N57" s="1" t="s">
        <v>48</v>
      </c>
      <c r="O57" s="1">
        <v>198598</v>
      </c>
      <c r="P57" s="1">
        <v>90</v>
      </c>
      <c r="Q57" s="1" t="s">
        <v>98</v>
      </c>
      <c r="R57" s="1" t="s">
        <v>50</v>
      </c>
      <c r="S57" s="1">
        <v>0</v>
      </c>
      <c r="T57" s="1">
        <v>0</v>
      </c>
      <c r="U57" s="1">
        <v>434.84699999999998</v>
      </c>
      <c r="V57" s="1">
        <v>25.167000000000002</v>
      </c>
      <c r="W57" s="1">
        <v>0.53</v>
      </c>
      <c r="X57" s="1">
        <v>0.20599999999999999</v>
      </c>
      <c r="Y57" s="1">
        <v>25.373000000000001</v>
      </c>
      <c r="Z57" s="1">
        <v>8.6999999999999994E-2</v>
      </c>
      <c r="AA57" s="1">
        <v>1.6</v>
      </c>
      <c r="AB57" s="1">
        <v>1.7</v>
      </c>
      <c r="AC57" s="1">
        <v>1.7</v>
      </c>
      <c r="AD57" s="1">
        <v>0.20599999999999999</v>
      </c>
      <c r="AE57" s="1">
        <v>6.0999999999999999E-2</v>
      </c>
      <c r="AF57" s="1">
        <v>1.6E-2</v>
      </c>
      <c r="AG57" s="1">
        <v>1.6</v>
      </c>
      <c r="AI57" s="1">
        <v>0</v>
      </c>
      <c r="AJ57" s="1">
        <v>0</v>
      </c>
      <c r="AK57" s="1">
        <v>0</v>
      </c>
      <c r="AL57" s="1">
        <v>1</v>
      </c>
      <c r="AM57" s="1">
        <v>86400</v>
      </c>
      <c r="AN57" s="1">
        <v>72606</v>
      </c>
      <c r="AO57" s="1">
        <v>13794</v>
      </c>
      <c r="AP57" s="1">
        <v>49871</v>
      </c>
      <c r="AQ57" s="1">
        <v>26.300615520015079</v>
      </c>
    </row>
    <row r="58" spans="1:43" x14ac:dyDescent="0.45">
      <c r="A58" s="1">
        <v>57</v>
      </c>
      <c r="B58" s="1">
        <v>101</v>
      </c>
      <c r="C58" s="1">
        <v>74</v>
      </c>
      <c r="D58" s="1" t="s">
        <v>61</v>
      </c>
      <c r="E58" s="1" t="s">
        <v>62</v>
      </c>
      <c r="F58" s="1" t="s">
        <v>63</v>
      </c>
      <c r="G58" s="1" t="s">
        <v>46</v>
      </c>
      <c r="H58" s="1" t="s">
        <v>47</v>
      </c>
      <c r="I58" s="1">
        <v>1175</v>
      </c>
      <c r="J58" s="1">
        <v>30642</v>
      </c>
      <c r="K58" s="1">
        <v>1</v>
      </c>
      <c r="L58" s="1">
        <v>73</v>
      </c>
      <c r="M58" s="1">
        <v>1562</v>
      </c>
      <c r="N58" s="1" t="s">
        <v>48</v>
      </c>
      <c r="O58" s="1">
        <v>198603</v>
      </c>
      <c r="P58" s="1">
        <v>90</v>
      </c>
      <c r="Q58" s="1" t="s">
        <v>98</v>
      </c>
      <c r="R58" s="1" t="s">
        <v>50</v>
      </c>
      <c r="S58" s="1">
        <v>0</v>
      </c>
      <c r="T58" s="1">
        <v>0</v>
      </c>
      <c r="U58" s="1">
        <v>717.81100000000004</v>
      </c>
      <c r="V58" s="1">
        <v>25.273</v>
      </c>
      <c r="W58" s="1">
        <v>0.52</v>
      </c>
      <c r="X58" s="1">
        <v>0.10299999999999999</v>
      </c>
      <c r="Y58" s="1">
        <v>25.376000000000001</v>
      </c>
      <c r="Z58" s="1">
        <v>8.7999999999999995E-2</v>
      </c>
      <c r="AA58" s="1">
        <v>0.4</v>
      </c>
      <c r="AB58" s="1">
        <v>0.5</v>
      </c>
      <c r="AC58" s="1">
        <v>0.5</v>
      </c>
      <c r="AD58" s="1">
        <v>0.10299999999999999</v>
      </c>
      <c r="AE58" s="1">
        <v>8.6999999999999994E-2</v>
      </c>
      <c r="AF58" s="1">
        <v>8.9999999999999993E-3</v>
      </c>
      <c r="AG58" s="1">
        <v>0.4</v>
      </c>
      <c r="AI58" s="1">
        <v>0</v>
      </c>
      <c r="AJ58" s="1">
        <v>0</v>
      </c>
      <c r="AK58" s="1">
        <v>0</v>
      </c>
      <c r="AL58" s="1">
        <v>1</v>
      </c>
      <c r="AM58" s="1">
        <v>59853</v>
      </c>
      <c r="AN58" s="1">
        <v>16545</v>
      </c>
      <c r="AO58" s="1">
        <v>43308</v>
      </c>
      <c r="AP58" s="1">
        <v>50385</v>
      </c>
      <c r="AQ58" s="1">
        <v>0.81983896563122749</v>
      </c>
    </row>
    <row r="59" spans="1:43" x14ac:dyDescent="0.45">
      <c r="A59" s="1">
        <v>58</v>
      </c>
      <c r="B59" s="1">
        <v>101</v>
      </c>
      <c r="C59" s="1">
        <v>74</v>
      </c>
      <c r="D59" s="1" t="s">
        <v>61</v>
      </c>
      <c r="E59" s="1" t="s">
        <v>62</v>
      </c>
      <c r="F59" s="1" t="s">
        <v>63</v>
      </c>
      <c r="G59" s="1" t="s">
        <v>46</v>
      </c>
      <c r="H59" s="1" t="s">
        <v>47</v>
      </c>
      <c r="I59" s="1">
        <v>1175</v>
      </c>
      <c r="J59" s="1">
        <v>30642</v>
      </c>
      <c r="K59" s="1">
        <v>1</v>
      </c>
      <c r="L59" s="1">
        <v>73</v>
      </c>
      <c r="M59" s="1">
        <v>1563</v>
      </c>
      <c r="N59" s="1" t="s">
        <v>48</v>
      </c>
      <c r="O59" s="1">
        <v>198604</v>
      </c>
      <c r="P59" s="1">
        <v>90</v>
      </c>
      <c r="Q59" s="1" t="s">
        <v>98</v>
      </c>
      <c r="R59" s="1" t="s">
        <v>50</v>
      </c>
      <c r="S59" s="1">
        <v>0</v>
      </c>
      <c r="T59" s="1">
        <v>0</v>
      </c>
      <c r="U59" s="1">
        <v>319.57100000000003</v>
      </c>
      <c r="V59" s="1">
        <v>25.094999999999999</v>
      </c>
      <c r="W59" s="1">
        <v>0.55000000000000004</v>
      </c>
      <c r="X59" s="1">
        <v>0.28299999999999997</v>
      </c>
      <c r="Y59" s="1">
        <v>25.378</v>
      </c>
      <c r="Z59" s="1">
        <v>9.2999999999999999E-2</v>
      </c>
      <c r="AA59" s="1">
        <v>0.1</v>
      </c>
      <c r="AB59" s="1">
        <v>0</v>
      </c>
      <c r="AC59" s="1">
        <v>0</v>
      </c>
      <c r="AD59" s="1">
        <v>0.28299999999999997</v>
      </c>
      <c r="AE59" s="1">
        <v>0.09</v>
      </c>
      <c r="AF59" s="1">
        <v>2.5999999999999999E-2</v>
      </c>
      <c r="AG59" s="1">
        <v>0.1</v>
      </c>
      <c r="AI59" s="1">
        <v>0</v>
      </c>
      <c r="AJ59" s="1">
        <v>0</v>
      </c>
      <c r="AK59" s="1">
        <v>0</v>
      </c>
      <c r="AL59" s="1">
        <v>1</v>
      </c>
      <c r="AM59" s="1">
        <v>86400</v>
      </c>
      <c r="AN59" s="1">
        <v>78351</v>
      </c>
      <c r="AO59" s="1">
        <v>8049</v>
      </c>
      <c r="AP59" s="1">
        <v>48876</v>
      </c>
      <c r="AQ59" s="1">
        <v>25.644147779351979</v>
      </c>
    </row>
    <row r="60" spans="1:43" x14ac:dyDescent="0.45">
      <c r="A60" s="1">
        <v>59</v>
      </c>
      <c r="B60" s="1">
        <v>101</v>
      </c>
      <c r="C60" s="1">
        <v>74</v>
      </c>
      <c r="D60" s="1" t="s">
        <v>61</v>
      </c>
      <c r="E60" s="1" t="s">
        <v>62</v>
      </c>
      <c r="F60" s="1" t="s">
        <v>63</v>
      </c>
      <c r="G60" s="1" t="s">
        <v>46</v>
      </c>
      <c r="H60" s="1" t="s">
        <v>47</v>
      </c>
      <c r="I60" s="1">
        <v>1175</v>
      </c>
      <c r="J60" s="1">
        <v>30642</v>
      </c>
      <c r="K60" s="1">
        <v>1</v>
      </c>
      <c r="L60" s="1">
        <v>73</v>
      </c>
      <c r="M60" s="1">
        <v>1565</v>
      </c>
      <c r="N60" s="1" t="s">
        <v>48</v>
      </c>
      <c r="O60" s="1">
        <v>198607</v>
      </c>
      <c r="P60" s="1">
        <v>90</v>
      </c>
      <c r="Q60" s="1" t="s">
        <v>98</v>
      </c>
      <c r="R60" s="1" t="s">
        <v>50</v>
      </c>
      <c r="S60" s="1">
        <v>0</v>
      </c>
      <c r="T60" s="1">
        <v>0</v>
      </c>
      <c r="U60" s="1">
        <v>71.430000000000007</v>
      </c>
      <c r="V60" s="1">
        <v>25.236000000000001</v>
      </c>
      <c r="W60" s="1">
        <v>0.52</v>
      </c>
      <c r="X60" s="1">
        <v>0.14499999999999999</v>
      </c>
      <c r="Y60" s="1">
        <v>25.381</v>
      </c>
      <c r="Z60" s="1">
        <v>0.112</v>
      </c>
      <c r="AA60" s="1">
        <v>-0.7</v>
      </c>
      <c r="AB60" s="1">
        <v>-0.6</v>
      </c>
      <c r="AC60" s="1">
        <v>-0.6</v>
      </c>
      <c r="AD60" s="1">
        <v>0.14499999999999999</v>
      </c>
      <c r="AE60" s="1">
        <v>7.8E-2</v>
      </c>
      <c r="AF60" s="1">
        <v>1.0999999999999999E-2</v>
      </c>
      <c r="AG60" s="1">
        <v>-0.7</v>
      </c>
      <c r="AI60" s="1">
        <v>0</v>
      </c>
      <c r="AJ60" s="1">
        <v>0</v>
      </c>
      <c r="AK60" s="1">
        <v>0</v>
      </c>
      <c r="AL60" s="1">
        <v>1</v>
      </c>
      <c r="AM60" s="1">
        <v>86400</v>
      </c>
      <c r="AN60" s="1">
        <v>80461</v>
      </c>
      <c r="AO60" s="1">
        <v>5939</v>
      </c>
      <c r="AP60" s="1">
        <v>48909</v>
      </c>
      <c r="AQ60" s="1">
        <v>10.66390759449977</v>
      </c>
    </row>
    <row r="61" spans="1:43" x14ac:dyDescent="0.45">
      <c r="A61" s="1">
        <v>60</v>
      </c>
      <c r="B61" s="1">
        <v>142</v>
      </c>
      <c r="C61" s="1">
        <v>78</v>
      </c>
      <c r="D61" s="1" t="s">
        <v>67</v>
      </c>
      <c r="E61" s="1" t="s">
        <v>68</v>
      </c>
      <c r="F61" s="1" t="s">
        <v>69</v>
      </c>
      <c r="G61" s="1" t="s">
        <v>46</v>
      </c>
      <c r="H61" s="1" t="s">
        <v>47</v>
      </c>
      <c r="I61" s="1">
        <v>1163</v>
      </c>
      <c r="J61" s="1">
        <v>33073</v>
      </c>
      <c r="K61" s="1">
        <v>1</v>
      </c>
      <c r="L61" s="1">
        <v>77</v>
      </c>
      <c r="M61" s="1">
        <v>1487</v>
      </c>
      <c r="N61" s="1" t="s">
        <v>48</v>
      </c>
      <c r="O61" s="1">
        <v>194312</v>
      </c>
      <c r="P61" s="1">
        <v>90</v>
      </c>
      <c r="Q61" s="1" t="s">
        <v>98</v>
      </c>
      <c r="R61" s="1" t="s">
        <v>50</v>
      </c>
      <c r="S61" s="1">
        <v>0</v>
      </c>
      <c r="T61" s="1">
        <v>0</v>
      </c>
      <c r="U61" s="1">
        <v>570.83799999999997</v>
      </c>
      <c r="V61" s="1">
        <v>25.484000000000002</v>
      </c>
      <c r="W61" s="1">
        <v>0.55000000000000004</v>
      </c>
      <c r="X61" s="1">
        <v>0.308</v>
      </c>
      <c r="Y61" s="1">
        <v>25.792000000000002</v>
      </c>
      <c r="Z61" s="1">
        <v>7.8E-2</v>
      </c>
      <c r="AA61" s="1">
        <v>-1.7</v>
      </c>
      <c r="AB61" s="1">
        <v>-1.7</v>
      </c>
      <c r="AC61" s="1">
        <v>-1.7</v>
      </c>
      <c r="AD61" s="1">
        <v>0.308</v>
      </c>
      <c r="AE61" s="1">
        <v>7.8E-2</v>
      </c>
      <c r="AF61" s="1">
        <v>2.4E-2</v>
      </c>
      <c r="AG61" s="1">
        <v>-1.7</v>
      </c>
      <c r="AI61" s="1">
        <v>0</v>
      </c>
      <c r="AJ61" s="1">
        <v>0</v>
      </c>
      <c r="AK61" s="1">
        <v>0</v>
      </c>
      <c r="AL61" s="1">
        <v>1</v>
      </c>
      <c r="AM61" s="1">
        <v>86400</v>
      </c>
      <c r="AN61" s="1">
        <v>76547</v>
      </c>
      <c r="AO61" s="1">
        <v>9853</v>
      </c>
      <c r="AP61" s="1">
        <v>47138</v>
      </c>
      <c r="AQ61" s="1">
        <v>1.131743174433216</v>
      </c>
    </row>
    <row r="62" spans="1:43" x14ac:dyDescent="0.45">
      <c r="A62" s="1">
        <v>61</v>
      </c>
      <c r="B62" s="1">
        <v>142</v>
      </c>
      <c r="C62" s="1">
        <v>78</v>
      </c>
      <c r="D62" s="1" t="s">
        <v>67</v>
      </c>
      <c r="E62" s="1" t="s">
        <v>68</v>
      </c>
      <c r="F62" s="1" t="s">
        <v>69</v>
      </c>
      <c r="G62" s="1" t="s">
        <v>46</v>
      </c>
      <c r="H62" s="1" t="s">
        <v>47</v>
      </c>
      <c r="I62" s="1">
        <v>1163</v>
      </c>
      <c r="J62" s="1">
        <v>33073</v>
      </c>
      <c r="K62" s="1">
        <v>1</v>
      </c>
      <c r="L62" s="1">
        <v>77</v>
      </c>
      <c r="M62" s="1">
        <v>1488</v>
      </c>
      <c r="N62" s="1" t="s">
        <v>48</v>
      </c>
      <c r="O62" s="1">
        <v>194313</v>
      </c>
      <c r="P62" s="1">
        <v>90</v>
      </c>
      <c r="Q62" s="1" t="s">
        <v>98</v>
      </c>
      <c r="R62" s="1" t="s">
        <v>50</v>
      </c>
      <c r="S62" s="1">
        <v>0</v>
      </c>
      <c r="T62" s="1">
        <v>0</v>
      </c>
      <c r="U62" s="1">
        <v>403.28300000000002</v>
      </c>
      <c r="V62" s="1">
        <v>25.466999999999999</v>
      </c>
      <c r="W62" s="1">
        <v>0.55000000000000004</v>
      </c>
      <c r="X62" s="1">
        <v>0.32400000000000001</v>
      </c>
      <c r="Y62" s="1">
        <v>25.792000000000002</v>
      </c>
      <c r="Z62" s="1">
        <v>7.4999999999999997E-2</v>
      </c>
      <c r="AA62" s="1">
        <v>-1.7</v>
      </c>
      <c r="AB62" s="1">
        <v>-1.7</v>
      </c>
      <c r="AC62" s="1">
        <v>-1.7</v>
      </c>
      <c r="AD62" s="1">
        <v>0.32400000000000001</v>
      </c>
      <c r="AE62" s="1">
        <v>7.3999999999999996E-2</v>
      </c>
      <c r="AF62" s="1">
        <v>2.4E-2</v>
      </c>
      <c r="AG62" s="1">
        <v>-1.7</v>
      </c>
      <c r="AI62" s="1">
        <v>0</v>
      </c>
      <c r="AJ62" s="1">
        <v>0</v>
      </c>
      <c r="AK62" s="1">
        <v>0</v>
      </c>
      <c r="AL62" s="1">
        <v>1</v>
      </c>
      <c r="AM62" s="1">
        <v>86400</v>
      </c>
      <c r="AN62" s="1">
        <v>78127</v>
      </c>
      <c r="AO62" s="1">
        <v>8273</v>
      </c>
      <c r="AP62" s="1">
        <v>47029</v>
      </c>
      <c r="AQ62" s="1">
        <v>27.22208285825711</v>
      </c>
    </row>
    <row r="63" spans="1:43" x14ac:dyDescent="0.45">
      <c r="A63" s="1">
        <v>62</v>
      </c>
      <c r="B63" s="1">
        <v>142</v>
      </c>
      <c r="C63" s="1">
        <v>78</v>
      </c>
      <c r="D63" s="1" t="s">
        <v>67</v>
      </c>
      <c r="E63" s="1" t="s">
        <v>68</v>
      </c>
      <c r="F63" s="1" t="s">
        <v>69</v>
      </c>
      <c r="G63" s="1" t="s">
        <v>46</v>
      </c>
      <c r="H63" s="1" t="s">
        <v>47</v>
      </c>
      <c r="I63" s="1">
        <v>1163</v>
      </c>
      <c r="J63" s="1">
        <v>33073</v>
      </c>
      <c r="K63" s="1">
        <v>1</v>
      </c>
      <c r="L63" s="1">
        <v>77</v>
      </c>
      <c r="M63" s="1">
        <v>1489</v>
      </c>
      <c r="N63" s="1" t="s">
        <v>48</v>
      </c>
      <c r="O63" s="1">
        <v>194321</v>
      </c>
      <c r="P63" s="1">
        <v>90</v>
      </c>
      <c r="Q63" s="1" t="s">
        <v>98</v>
      </c>
      <c r="R63" s="1" t="s">
        <v>50</v>
      </c>
      <c r="S63" s="1">
        <v>0</v>
      </c>
      <c r="T63" s="1">
        <v>0</v>
      </c>
      <c r="U63" s="1">
        <v>430.35700000000003</v>
      </c>
      <c r="V63" s="1">
        <v>25.529</v>
      </c>
      <c r="W63" s="1">
        <v>0.54</v>
      </c>
      <c r="X63" s="1">
        <v>0.24299999999999999</v>
      </c>
      <c r="Y63" s="1">
        <v>25.771999999999998</v>
      </c>
      <c r="Z63" s="1">
        <v>0.122</v>
      </c>
      <c r="AA63" s="1">
        <v>-0.9</v>
      </c>
      <c r="AB63" s="1">
        <v>-0.9</v>
      </c>
      <c r="AC63" s="1">
        <v>-0.9</v>
      </c>
      <c r="AD63" s="1">
        <v>0.24299999999999999</v>
      </c>
      <c r="AE63" s="1">
        <v>0.122</v>
      </c>
      <c r="AF63" s="1">
        <v>0.03</v>
      </c>
      <c r="AG63" s="1">
        <v>-0.9</v>
      </c>
      <c r="AI63" s="1">
        <v>0</v>
      </c>
      <c r="AJ63" s="1">
        <v>0</v>
      </c>
      <c r="AK63" s="1">
        <v>0</v>
      </c>
      <c r="AL63" s="1">
        <v>1</v>
      </c>
      <c r="AM63" s="1">
        <v>86400</v>
      </c>
      <c r="AN63" s="1">
        <v>75320</v>
      </c>
      <c r="AO63" s="1">
        <v>11080</v>
      </c>
      <c r="AP63" s="1">
        <v>47233</v>
      </c>
      <c r="AQ63" s="1">
        <v>0.81082726490215773</v>
      </c>
    </row>
    <row r="64" spans="1:43" x14ac:dyDescent="0.45">
      <c r="A64" s="1">
        <v>63</v>
      </c>
      <c r="B64" s="1">
        <v>142</v>
      </c>
      <c r="C64" s="1">
        <v>78</v>
      </c>
      <c r="D64" s="1" t="s">
        <v>67</v>
      </c>
      <c r="E64" s="1" t="s">
        <v>68</v>
      </c>
      <c r="F64" s="1" t="s">
        <v>69</v>
      </c>
      <c r="G64" s="1" t="s">
        <v>46</v>
      </c>
      <c r="H64" s="1" t="s">
        <v>47</v>
      </c>
      <c r="I64" s="1">
        <v>1163</v>
      </c>
      <c r="J64" s="1">
        <v>33073</v>
      </c>
      <c r="K64" s="1">
        <v>1</v>
      </c>
      <c r="L64" s="1">
        <v>77</v>
      </c>
      <c r="M64" s="1">
        <v>1490</v>
      </c>
      <c r="N64" s="1" t="s">
        <v>48</v>
      </c>
      <c r="O64" s="1">
        <v>194325</v>
      </c>
      <c r="P64" s="1">
        <v>90</v>
      </c>
      <c r="Q64" s="1" t="s">
        <v>98</v>
      </c>
      <c r="R64" s="1" t="s">
        <v>50</v>
      </c>
      <c r="S64" s="1">
        <v>0</v>
      </c>
      <c r="T64" s="1">
        <v>0</v>
      </c>
      <c r="U64" s="1">
        <v>137.80099999999999</v>
      </c>
      <c r="V64" s="1">
        <v>25.645</v>
      </c>
      <c r="W64" s="1">
        <v>0.52</v>
      </c>
      <c r="X64" s="1">
        <v>0.126</v>
      </c>
      <c r="Y64" s="1">
        <v>25.771000000000001</v>
      </c>
      <c r="Z64" s="1">
        <v>0.216</v>
      </c>
      <c r="AA64" s="1">
        <v>-0.5</v>
      </c>
      <c r="AB64" s="1">
        <v>-0.5</v>
      </c>
      <c r="AC64" s="1">
        <v>-0.5</v>
      </c>
      <c r="AD64" s="1">
        <v>0.126</v>
      </c>
      <c r="AE64" s="1">
        <v>0.215</v>
      </c>
      <c r="AF64" s="1">
        <v>2.7E-2</v>
      </c>
      <c r="AG64" s="1">
        <v>-0.5</v>
      </c>
      <c r="AI64" s="1">
        <v>0</v>
      </c>
      <c r="AJ64" s="1">
        <v>0</v>
      </c>
      <c r="AK64" s="1">
        <v>0</v>
      </c>
      <c r="AL64" s="1">
        <v>1</v>
      </c>
      <c r="AM64" s="1">
        <v>57854</v>
      </c>
      <c r="AN64" s="1">
        <v>21285</v>
      </c>
      <c r="AO64" s="1">
        <v>36569</v>
      </c>
      <c r="AP64" s="1">
        <v>46976</v>
      </c>
      <c r="AQ64" s="1">
        <v>0.71025518424474854</v>
      </c>
    </row>
    <row r="65" spans="1:43" x14ac:dyDescent="0.45">
      <c r="A65" s="1">
        <v>64</v>
      </c>
      <c r="B65" s="1">
        <v>142</v>
      </c>
      <c r="C65" s="1">
        <v>78</v>
      </c>
      <c r="D65" s="1" t="s">
        <v>67</v>
      </c>
      <c r="E65" s="1" t="s">
        <v>68</v>
      </c>
      <c r="F65" s="1" t="s">
        <v>69</v>
      </c>
      <c r="G65" s="1" t="s">
        <v>46</v>
      </c>
      <c r="H65" s="1" t="s">
        <v>47</v>
      </c>
      <c r="I65" s="1">
        <v>1163</v>
      </c>
      <c r="J65" s="1">
        <v>33073</v>
      </c>
      <c r="K65" s="1">
        <v>1</v>
      </c>
      <c r="L65" s="1">
        <v>77</v>
      </c>
      <c r="M65" s="1">
        <v>1491</v>
      </c>
      <c r="N65" s="1" t="s">
        <v>48</v>
      </c>
      <c r="O65" s="1">
        <v>194541</v>
      </c>
      <c r="P65" s="1">
        <v>90</v>
      </c>
      <c r="Q65" s="1" t="s">
        <v>98</v>
      </c>
      <c r="R65" s="1" t="s">
        <v>50</v>
      </c>
      <c r="S65" s="1">
        <v>0</v>
      </c>
      <c r="T65" s="1">
        <v>0</v>
      </c>
      <c r="U65" s="1">
        <v>444.91399999999999</v>
      </c>
      <c r="V65" s="1">
        <v>25.006</v>
      </c>
      <c r="W65" s="1">
        <v>0.53</v>
      </c>
      <c r="X65" s="1">
        <v>0.17299999999999999</v>
      </c>
      <c r="Y65" s="1">
        <v>25.178999999999998</v>
      </c>
      <c r="Z65" s="1">
        <v>0.11700000000000001</v>
      </c>
      <c r="AA65" s="1">
        <v>0.5</v>
      </c>
      <c r="AB65" s="1">
        <v>0.5</v>
      </c>
      <c r="AC65" s="1">
        <v>0.5</v>
      </c>
      <c r="AD65" s="1">
        <v>0.17299999999999999</v>
      </c>
      <c r="AE65" s="1">
        <v>0.11700000000000001</v>
      </c>
      <c r="AF65" s="1">
        <v>0.02</v>
      </c>
      <c r="AG65" s="1">
        <v>0.5</v>
      </c>
      <c r="AI65" s="1">
        <v>0</v>
      </c>
      <c r="AJ65" s="1">
        <v>0</v>
      </c>
      <c r="AK65" s="1">
        <v>0</v>
      </c>
      <c r="AL65" s="1">
        <v>1</v>
      </c>
      <c r="AM65" s="1">
        <v>86400</v>
      </c>
      <c r="AN65" s="1">
        <v>74053</v>
      </c>
      <c r="AO65" s="1">
        <v>12347</v>
      </c>
      <c r="AP65" s="1">
        <v>47198</v>
      </c>
      <c r="AQ65" s="1">
        <v>26.147441836754549</v>
      </c>
    </row>
    <row r="66" spans="1:43" x14ac:dyDescent="0.45">
      <c r="A66" s="1">
        <v>65</v>
      </c>
      <c r="B66" s="1">
        <v>142</v>
      </c>
      <c r="C66" s="1">
        <v>78</v>
      </c>
      <c r="D66" s="1" t="s">
        <v>67</v>
      </c>
      <c r="E66" s="1" t="s">
        <v>68</v>
      </c>
      <c r="F66" s="1" t="s">
        <v>69</v>
      </c>
      <c r="G66" s="1" t="s">
        <v>46</v>
      </c>
      <c r="H66" s="1" t="s">
        <v>47</v>
      </c>
      <c r="I66" s="1">
        <v>1163</v>
      </c>
      <c r="J66" s="1">
        <v>33073</v>
      </c>
      <c r="K66" s="1">
        <v>1</v>
      </c>
      <c r="L66" s="1">
        <v>77</v>
      </c>
      <c r="M66" s="1">
        <v>1492</v>
      </c>
      <c r="N66" s="1" t="s">
        <v>48</v>
      </c>
      <c r="O66" s="1">
        <v>194543</v>
      </c>
      <c r="P66" s="1">
        <v>90</v>
      </c>
      <c r="Q66" s="1" t="s">
        <v>98</v>
      </c>
      <c r="R66" s="1" t="s">
        <v>50</v>
      </c>
      <c r="S66" s="1">
        <v>0</v>
      </c>
      <c r="T66" s="1">
        <v>0</v>
      </c>
      <c r="U66" s="1">
        <v>99.31</v>
      </c>
      <c r="V66" s="1">
        <v>24.934000000000001</v>
      </c>
      <c r="W66" s="1">
        <v>0.54</v>
      </c>
      <c r="X66" s="1">
        <v>0.246</v>
      </c>
      <c r="Y66" s="1">
        <v>25.181000000000001</v>
      </c>
      <c r="Z66" s="1">
        <v>9.0999999999999998E-2</v>
      </c>
      <c r="AA66" s="1">
        <v>0.5</v>
      </c>
      <c r="AB66" s="1">
        <v>0.5</v>
      </c>
      <c r="AC66" s="1">
        <v>0.5</v>
      </c>
      <c r="AD66" s="1">
        <v>0.246</v>
      </c>
      <c r="AE66" s="1">
        <v>9.0999999999999998E-2</v>
      </c>
      <c r="AF66" s="1">
        <v>2.1999999999999999E-2</v>
      </c>
      <c r="AG66" s="1">
        <v>0.5</v>
      </c>
      <c r="AI66" s="1">
        <v>0</v>
      </c>
      <c r="AJ66" s="1">
        <v>0</v>
      </c>
      <c r="AK66" s="1">
        <v>0</v>
      </c>
      <c r="AL66" s="1">
        <v>1</v>
      </c>
      <c r="AM66" s="1">
        <v>86400</v>
      </c>
      <c r="AN66" s="1">
        <v>77436</v>
      </c>
      <c r="AO66" s="1">
        <v>8964</v>
      </c>
      <c r="AP66" s="1">
        <v>46961</v>
      </c>
      <c r="AQ66" s="1">
        <v>9.402992152571759</v>
      </c>
    </row>
    <row r="67" spans="1:43" x14ac:dyDescent="0.45">
      <c r="A67" s="1">
        <v>66</v>
      </c>
      <c r="B67" s="1">
        <v>142</v>
      </c>
      <c r="C67" s="1">
        <v>78</v>
      </c>
      <c r="D67" s="1" t="s">
        <v>67</v>
      </c>
      <c r="E67" s="1" t="s">
        <v>68</v>
      </c>
      <c r="F67" s="1" t="s">
        <v>69</v>
      </c>
      <c r="G67" s="1" t="s">
        <v>46</v>
      </c>
      <c r="H67" s="1" t="s">
        <v>47</v>
      </c>
      <c r="I67" s="1">
        <v>1163</v>
      </c>
      <c r="J67" s="1">
        <v>33073</v>
      </c>
      <c r="K67" s="1">
        <v>1</v>
      </c>
      <c r="L67" s="1">
        <v>77</v>
      </c>
      <c r="M67" s="1">
        <v>1493</v>
      </c>
      <c r="N67" s="1" t="s">
        <v>48</v>
      </c>
      <c r="O67" s="1">
        <v>194544</v>
      </c>
      <c r="P67" s="1">
        <v>90</v>
      </c>
      <c r="Q67" s="1" t="s">
        <v>98</v>
      </c>
      <c r="R67" s="1" t="s">
        <v>50</v>
      </c>
      <c r="S67" s="1">
        <v>0</v>
      </c>
      <c r="T67" s="1">
        <v>0</v>
      </c>
      <c r="U67" s="1">
        <v>98.995000000000005</v>
      </c>
      <c r="V67" s="1">
        <v>24.971</v>
      </c>
      <c r="W67" s="1">
        <v>0.53</v>
      </c>
      <c r="X67" s="1">
        <v>0.21</v>
      </c>
      <c r="Y67" s="1">
        <v>25.18</v>
      </c>
      <c r="Z67" s="1">
        <v>8.5999999999999993E-2</v>
      </c>
      <c r="AA67" s="1">
        <v>0.2</v>
      </c>
      <c r="AB67" s="1">
        <v>0.2</v>
      </c>
      <c r="AC67" s="1">
        <v>0.2</v>
      </c>
      <c r="AD67" s="1">
        <v>0.21</v>
      </c>
      <c r="AE67" s="1">
        <v>8.5999999999999993E-2</v>
      </c>
      <c r="AF67" s="1">
        <v>1.7999999999999999E-2</v>
      </c>
      <c r="AG67" s="1">
        <v>0.2</v>
      </c>
      <c r="AI67" s="1">
        <v>0</v>
      </c>
      <c r="AJ67" s="1">
        <v>0</v>
      </c>
      <c r="AK67" s="1">
        <v>0</v>
      </c>
      <c r="AL67" s="1">
        <v>1</v>
      </c>
      <c r="AM67" s="1">
        <v>86400</v>
      </c>
      <c r="AN67" s="1">
        <v>76089</v>
      </c>
      <c r="AO67" s="1">
        <v>10311</v>
      </c>
      <c r="AP67" s="1">
        <v>47063</v>
      </c>
      <c r="AQ67" s="1">
        <v>17.426884546178929</v>
      </c>
    </row>
    <row r="68" spans="1:43" x14ac:dyDescent="0.45">
      <c r="A68" s="1">
        <v>67</v>
      </c>
      <c r="B68" s="1">
        <v>142</v>
      </c>
      <c r="C68" s="1">
        <v>78</v>
      </c>
      <c r="D68" s="1" t="s">
        <v>67</v>
      </c>
      <c r="E68" s="1" t="s">
        <v>68</v>
      </c>
      <c r="F68" s="1" t="s">
        <v>69</v>
      </c>
      <c r="G68" s="1" t="s">
        <v>46</v>
      </c>
      <c r="H68" s="1" t="s">
        <v>47</v>
      </c>
      <c r="I68" s="1">
        <v>1163</v>
      </c>
      <c r="J68" s="1">
        <v>33073</v>
      </c>
      <c r="K68" s="1">
        <v>1</v>
      </c>
      <c r="L68" s="1">
        <v>77</v>
      </c>
      <c r="M68" s="1">
        <v>1494</v>
      </c>
      <c r="N68" s="1" t="s">
        <v>48</v>
      </c>
      <c r="O68" s="1">
        <v>194545</v>
      </c>
      <c r="P68" s="1">
        <v>90</v>
      </c>
      <c r="Q68" s="1" t="s">
        <v>98</v>
      </c>
      <c r="R68" s="1" t="s">
        <v>50</v>
      </c>
      <c r="S68" s="1">
        <v>0</v>
      </c>
      <c r="T68" s="1">
        <v>0</v>
      </c>
      <c r="U68" s="1">
        <v>108.714</v>
      </c>
      <c r="V68" s="1">
        <v>24.908000000000001</v>
      </c>
      <c r="W68" s="1">
        <v>0.54</v>
      </c>
      <c r="X68" s="1">
        <v>0.27200000000000002</v>
      </c>
      <c r="Y68" s="1">
        <v>25.181000000000001</v>
      </c>
      <c r="Z68" s="1">
        <v>5.2999999999999999E-2</v>
      </c>
      <c r="AA68" s="1">
        <v>1</v>
      </c>
      <c r="AB68" s="1">
        <v>1</v>
      </c>
      <c r="AC68" s="1">
        <v>1</v>
      </c>
      <c r="AD68" s="1">
        <v>0.27200000000000002</v>
      </c>
      <c r="AE68" s="1">
        <v>5.2999999999999999E-2</v>
      </c>
      <c r="AF68" s="1">
        <v>1.4999999999999999E-2</v>
      </c>
      <c r="AG68" s="1">
        <v>1</v>
      </c>
      <c r="AI68" s="1">
        <v>0</v>
      </c>
      <c r="AJ68" s="1">
        <v>0</v>
      </c>
      <c r="AK68" s="1">
        <v>0</v>
      </c>
      <c r="AL68" s="1">
        <v>1</v>
      </c>
      <c r="AM68" s="1">
        <v>86400</v>
      </c>
      <c r="AN68" s="1">
        <v>78256</v>
      </c>
      <c r="AO68" s="1">
        <v>8144</v>
      </c>
      <c r="AP68" s="1">
        <v>47017</v>
      </c>
      <c r="AQ68" s="1">
        <v>1.659668804184055</v>
      </c>
    </row>
    <row r="69" spans="1:43" x14ac:dyDescent="0.45">
      <c r="A69" s="1">
        <v>68</v>
      </c>
      <c r="B69" s="1">
        <v>142</v>
      </c>
      <c r="C69" s="1">
        <v>78</v>
      </c>
      <c r="D69" s="1" t="s">
        <v>67</v>
      </c>
      <c r="E69" s="1" t="s">
        <v>68</v>
      </c>
      <c r="F69" s="1" t="s">
        <v>69</v>
      </c>
      <c r="G69" s="1" t="s">
        <v>46</v>
      </c>
      <c r="H69" s="1" t="s">
        <v>47</v>
      </c>
      <c r="I69" s="1">
        <v>1163</v>
      </c>
      <c r="J69" s="1">
        <v>33073</v>
      </c>
      <c r="K69" s="1">
        <v>1</v>
      </c>
      <c r="L69" s="1">
        <v>77</v>
      </c>
      <c r="M69" s="1">
        <v>1495</v>
      </c>
      <c r="N69" s="1" t="s">
        <v>48</v>
      </c>
      <c r="O69" s="1">
        <v>194546</v>
      </c>
      <c r="P69" s="1">
        <v>90</v>
      </c>
      <c r="Q69" s="1" t="s">
        <v>98</v>
      </c>
      <c r="R69" s="1" t="s">
        <v>50</v>
      </c>
      <c r="S69" s="1">
        <v>0</v>
      </c>
      <c r="T69" s="1">
        <v>0</v>
      </c>
      <c r="U69" s="1">
        <v>327.06</v>
      </c>
      <c r="V69" s="1">
        <v>24.867999999999999</v>
      </c>
      <c r="W69" s="1">
        <v>0.55000000000000004</v>
      </c>
      <c r="X69" s="1">
        <v>0.313</v>
      </c>
      <c r="Y69" s="1">
        <v>25.181000000000001</v>
      </c>
      <c r="Z69" s="1">
        <v>9.4E-2</v>
      </c>
      <c r="AA69" s="1">
        <v>0.2</v>
      </c>
      <c r="AB69" s="1">
        <v>0.2</v>
      </c>
      <c r="AC69" s="1">
        <v>0.2</v>
      </c>
      <c r="AD69" s="1">
        <v>0.313</v>
      </c>
      <c r="AE69" s="1">
        <v>9.4E-2</v>
      </c>
      <c r="AF69" s="1">
        <v>0.03</v>
      </c>
      <c r="AG69" s="1">
        <v>0.2</v>
      </c>
      <c r="AI69" s="1">
        <v>0</v>
      </c>
      <c r="AJ69" s="1">
        <v>0</v>
      </c>
      <c r="AK69" s="1">
        <v>0</v>
      </c>
      <c r="AL69" s="1">
        <v>1</v>
      </c>
      <c r="AM69" s="1">
        <v>86400</v>
      </c>
      <c r="AN69" s="1">
        <v>79763</v>
      </c>
      <c r="AO69" s="1">
        <v>6637</v>
      </c>
      <c r="AP69" s="1">
        <v>47722</v>
      </c>
      <c r="AQ69" s="1">
        <v>0.62107041281627839</v>
      </c>
    </row>
    <row r="70" spans="1:43" x14ac:dyDescent="0.45">
      <c r="A70" s="1">
        <v>69</v>
      </c>
      <c r="B70" s="1">
        <v>142</v>
      </c>
      <c r="C70" s="1">
        <v>78</v>
      </c>
      <c r="D70" s="1" t="s">
        <v>67</v>
      </c>
      <c r="E70" s="1" t="s">
        <v>68</v>
      </c>
      <c r="F70" s="1" t="s">
        <v>69</v>
      </c>
      <c r="G70" s="1" t="s">
        <v>46</v>
      </c>
      <c r="H70" s="1" t="s">
        <v>47</v>
      </c>
      <c r="I70" s="1">
        <v>1163</v>
      </c>
      <c r="J70" s="1">
        <v>33073</v>
      </c>
      <c r="K70" s="1">
        <v>1</v>
      </c>
      <c r="L70" s="1">
        <v>77</v>
      </c>
      <c r="M70" s="1">
        <v>1496</v>
      </c>
      <c r="N70" s="1" t="s">
        <v>48</v>
      </c>
      <c r="O70" s="1">
        <v>194548</v>
      </c>
      <c r="P70" s="1">
        <v>90</v>
      </c>
      <c r="Q70" s="1" t="s">
        <v>98</v>
      </c>
      <c r="R70" s="1" t="s">
        <v>50</v>
      </c>
      <c r="S70" s="1">
        <v>0</v>
      </c>
      <c r="T70" s="1">
        <v>0</v>
      </c>
      <c r="U70" s="1">
        <v>95.963999999999999</v>
      </c>
      <c r="V70" s="1">
        <v>25.006</v>
      </c>
      <c r="W70" s="1">
        <v>0.53</v>
      </c>
      <c r="X70" s="1">
        <v>0.17499999999999999</v>
      </c>
      <c r="Y70" s="1">
        <v>25.181000000000001</v>
      </c>
      <c r="Z70" s="1">
        <v>0.08</v>
      </c>
      <c r="AA70" s="1">
        <v>1.8</v>
      </c>
      <c r="AB70" s="1">
        <v>1.8</v>
      </c>
      <c r="AC70" s="1">
        <v>1.8</v>
      </c>
      <c r="AD70" s="1">
        <v>0.17499999999999999</v>
      </c>
      <c r="AE70" s="1">
        <v>0.08</v>
      </c>
      <c r="AF70" s="1">
        <v>1.4E-2</v>
      </c>
      <c r="AG70" s="1">
        <v>1.8</v>
      </c>
      <c r="AI70" s="1">
        <v>0</v>
      </c>
      <c r="AJ70" s="1">
        <v>0</v>
      </c>
      <c r="AK70" s="1">
        <v>0</v>
      </c>
      <c r="AL70" s="1">
        <v>1</v>
      </c>
      <c r="AM70" s="1">
        <v>86400</v>
      </c>
      <c r="AN70" s="1">
        <v>74027</v>
      </c>
      <c r="AO70" s="1">
        <v>12373</v>
      </c>
      <c r="AP70" s="1">
        <v>46895</v>
      </c>
      <c r="AQ70" s="1">
        <v>21.030445631260442</v>
      </c>
    </row>
    <row r="71" spans="1:43" x14ac:dyDescent="0.45">
      <c r="A71" s="1">
        <v>70</v>
      </c>
      <c r="B71" s="1">
        <v>142</v>
      </c>
      <c r="C71" s="1">
        <v>78</v>
      </c>
      <c r="D71" s="1" t="s">
        <v>67</v>
      </c>
      <c r="E71" s="1" t="s">
        <v>68</v>
      </c>
      <c r="F71" s="1" t="s">
        <v>69</v>
      </c>
      <c r="G71" s="1" t="s">
        <v>46</v>
      </c>
      <c r="H71" s="1" t="s">
        <v>47</v>
      </c>
      <c r="I71" s="1">
        <v>1163</v>
      </c>
      <c r="J71" s="1">
        <v>33073</v>
      </c>
      <c r="K71" s="1">
        <v>1</v>
      </c>
      <c r="L71" s="1">
        <v>77</v>
      </c>
      <c r="M71" s="1">
        <v>1497</v>
      </c>
      <c r="N71" s="1" t="s">
        <v>48</v>
      </c>
      <c r="O71" s="1">
        <v>194549</v>
      </c>
      <c r="P71" s="1">
        <v>90</v>
      </c>
      <c r="Q71" s="1" t="s">
        <v>98</v>
      </c>
      <c r="R71" s="1" t="s">
        <v>50</v>
      </c>
      <c r="S71" s="1">
        <v>0</v>
      </c>
      <c r="T71" s="1">
        <v>0</v>
      </c>
      <c r="U71" s="1">
        <v>199.88499999999999</v>
      </c>
      <c r="V71" s="1">
        <v>24.984000000000002</v>
      </c>
      <c r="W71" s="1">
        <v>0.53</v>
      </c>
      <c r="X71" s="1">
        <v>0.19600000000000001</v>
      </c>
      <c r="Y71" s="1">
        <v>25.178999999999998</v>
      </c>
      <c r="Z71" s="1">
        <v>0.11799999999999999</v>
      </c>
      <c r="AA71" s="1">
        <v>1.9</v>
      </c>
      <c r="AB71" s="1">
        <v>1.9</v>
      </c>
      <c r="AC71" s="1">
        <v>1.9</v>
      </c>
      <c r="AD71" s="1">
        <v>0.19600000000000001</v>
      </c>
      <c r="AE71" s="1">
        <v>0.11799999999999999</v>
      </c>
      <c r="AF71" s="1">
        <v>2.3E-2</v>
      </c>
      <c r="AG71" s="1">
        <v>1.9</v>
      </c>
      <c r="AI71" s="1">
        <v>0</v>
      </c>
      <c r="AJ71" s="1">
        <v>0</v>
      </c>
      <c r="AK71" s="1">
        <v>0</v>
      </c>
      <c r="AL71" s="1">
        <v>1</v>
      </c>
      <c r="AM71" s="1">
        <v>86400</v>
      </c>
      <c r="AN71" s="1">
        <v>75385</v>
      </c>
      <c r="AO71" s="1">
        <v>11015</v>
      </c>
      <c r="AP71" s="1">
        <v>47400</v>
      </c>
      <c r="AQ71" s="1">
        <v>1.6542382139206111</v>
      </c>
    </row>
    <row r="72" spans="1:43" x14ac:dyDescent="0.45">
      <c r="A72" s="1">
        <v>71</v>
      </c>
      <c r="B72" s="1">
        <v>142</v>
      </c>
      <c r="C72" s="1">
        <v>78</v>
      </c>
      <c r="D72" s="1" t="s">
        <v>67</v>
      </c>
      <c r="E72" s="1" t="s">
        <v>68</v>
      </c>
      <c r="F72" s="1" t="s">
        <v>69</v>
      </c>
      <c r="G72" s="1" t="s">
        <v>46</v>
      </c>
      <c r="H72" s="1" t="s">
        <v>47</v>
      </c>
      <c r="I72" s="1">
        <v>1163</v>
      </c>
      <c r="J72" s="1">
        <v>33073</v>
      </c>
      <c r="K72" s="1">
        <v>1</v>
      </c>
      <c r="L72" s="1">
        <v>77</v>
      </c>
      <c r="M72" s="1">
        <v>1499</v>
      </c>
      <c r="N72" s="1" t="s">
        <v>48</v>
      </c>
      <c r="O72" s="1">
        <v>194554</v>
      </c>
      <c r="P72" s="1">
        <v>90</v>
      </c>
      <c r="Q72" s="1" t="s">
        <v>98</v>
      </c>
      <c r="R72" s="1" t="s">
        <v>50</v>
      </c>
      <c r="S72" s="1">
        <v>0</v>
      </c>
      <c r="T72" s="1">
        <v>0</v>
      </c>
      <c r="U72" s="1">
        <v>58.304000000000002</v>
      </c>
      <c r="V72" s="1">
        <v>25.05</v>
      </c>
      <c r="W72" s="1">
        <v>0.52</v>
      </c>
      <c r="X72" s="1">
        <v>0.13</v>
      </c>
      <c r="Y72" s="1">
        <v>25.181000000000001</v>
      </c>
      <c r="Z72" s="1">
        <v>8.2000000000000003E-2</v>
      </c>
      <c r="AA72" s="1">
        <v>0.7</v>
      </c>
      <c r="AB72" s="1">
        <v>0.6</v>
      </c>
      <c r="AC72" s="1">
        <v>0.6</v>
      </c>
      <c r="AD72" s="1">
        <v>0.13</v>
      </c>
      <c r="AE72" s="1">
        <v>8.2000000000000003E-2</v>
      </c>
      <c r="AF72" s="1">
        <v>1.0999999999999999E-2</v>
      </c>
      <c r="AG72" s="1">
        <v>0.7</v>
      </c>
      <c r="AI72" s="1">
        <v>0</v>
      </c>
      <c r="AJ72" s="1">
        <v>0</v>
      </c>
      <c r="AK72" s="1">
        <v>0</v>
      </c>
      <c r="AL72" s="1">
        <v>1</v>
      </c>
      <c r="AM72" s="1">
        <v>86400</v>
      </c>
      <c r="AN72" s="1">
        <v>70373</v>
      </c>
      <c r="AO72" s="1">
        <v>16026</v>
      </c>
      <c r="AP72" s="1">
        <v>47274</v>
      </c>
      <c r="AQ72" s="1">
        <v>17.99697230014019</v>
      </c>
    </row>
    <row r="73" spans="1:43" x14ac:dyDescent="0.45">
      <c r="A73" s="1">
        <v>72</v>
      </c>
      <c r="B73" s="1">
        <v>143</v>
      </c>
      <c r="C73" s="1">
        <v>64</v>
      </c>
      <c r="D73" s="1" t="s">
        <v>99</v>
      </c>
      <c r="E73" s="1" t="s">
        <v>100</v>
      </c>
      <c r="F73" s="1" t="s">
        <v>101</v>
      </c>
      <c r="G73" s="1" t="s">
        <v>46</v>
      </c>
      <c r="H73" s="1" t="s">
        <v>47</v>
      </c>
      <c r="I73" s="1">
        <v>1411</v>
      </c>
      <c r="J73" s="1">
        <v>38055</v>
      </c>
      <c r="K73" s="1">
        <v>1</v>
      </c>
      <c r="L73" s="1">
        <v>63</v>
      </c>
      <c r="M73" s="1">
        <v>1567</v>
      </c>
      <c r="N73" s="1" t="s">
        <v>48</v>
      </c>
      <c r="O73" s="1">
        <v>198793</v>
      </c>
      <c r="P73" s="1">
        <v>90</v>
      </c>
      <c r="Q73" s="1" t="s">
        <v>98</v>
      </c>
      <c r="R73" s="1" t="s">
        <v>50</v>
      </c>
      <c r="S73" s="1">
        <v>0</v>
      </c>
      <c r="T73" s="1">
        <v>0</v>
      </c>
      <c r="U73" s="1">
        <v>734.44899999999996</v>
      </c>
      <c r="V73" s="1">
        <v>21.827999999999999</v>
      </c>
      <c r="W73" s="1">
        <v>1.36</v>
      </c>
      <c r="X73" s="1">
        <v>2.3580000000000001</v>
      </c>
      <c r="Y73" s="1">
        <v>24.186</v>
      </c>
      <c r="Z73" s="1">
        <v>2.3E-2</v>
      </c>
      <c r="AA73" s="1">
        <v>-0.6</v>
      </c>
      <c r="AB73" s="1">
        <v>-1.1000000000000001</v>
      </c>
      <c r="AC73" s="1">
        <v>-1.1000000000000001</v>
      </c>
      <c r="AD73" s="1">
        <v>2.3580000000000001</v>
      </c>
      <c r="AE73" s="1">
        <v>1E-3</v>
      </c>
      <c r="AF73" s="1">
        <v>2E-3</v>
      </c>
      <c r="AI73" s="1">
        <v>0</v>
      </c>
      <c r="AJ73" s="1">
        <v>0</v>
      </c>
      <c r="AK73" s="1">
        <v>0</v>
      </c>
      <c r="AL73" s="1">
        <v>1</v>
      </c>
      <c r="AM73" s="1">
        <v>86400</v>
      </c>
      <c r="AN73" s="1">
        <v>72818</v>
      </c>
      <c r="AO73" s="1">
        <v>13582</v>
      </c>
      <c r="AP73" s="1">
        <v>86353</v>
      </c>
      <c r="AQ73" s="1">
        <v>34.789345584757001</v>
      </c>
    </row>
    <row r="74" spans="1:43" x14ac:dyDescent="0.45">
      <c r="A74" s="1">
        <v>73</v>
      </c>
      <c r="B74" s="1">
        <v>143</v>
      </c>
      <c r="C74" s="1">
        <v>64</v>
      </c>
      <c r="D74" s="1" t="s">
        <v>99</v>
      </c>
      <c r="E74" s="1" t="s">
        <v>100</v>
      </c>
      <c r="F74" s="1" t="s">
        <v>101</v>
      </c>
      <c r="G74" s="1" t="s">
        <v>46</v>
      </c>
      <c r="H74" s="1" t="s">
        <v>47</v>
      </c>
      <c r="I74" s="1">
        <v>1411</v>
      </c>
      <c r="J74" s="1">
        <v>38055</v>
      </c>
      <c r="K74" s="1">
        <v>1</v>
      </c>
      <c r="L74" s="1">
        <v>63</v>
      </c>
      <c r="M74" s="1">
        <v>1570</v>
      </c>
      <c r="N74" s="1" t="s">
        <v>48</v>
      </c>
      <c r="O74" s="1">
        <v>198806</v>
      </c>
      <c r="P74" s="1">
        <v>90</v>
      </c>
      <c r="Q74" s="1" t="s">
        <v>98</v>
      </c>
      <c r="R74" s="1" t="s">
        <v>50</v>
      </c>
      <c r="S74" s="1">
        <v>0</v>
      </c>
      <c r="T74" s="1">
        <v>0</v>
      </c>
      <c r="U74" s="1">
        <v>365.387</v>
      </c>
      <c r="V74" s="1">
        <v>21.681000000000001</v>
      </c>
      <c r="W74" s="1">
        <v>1.38</v>
      </c>
      <c r="X74" s="1">
        <v>2.5049999999999999</v>
      </c>
      <c r="Y74" s="1">
        <v>24.186</v>
      </c>
      <c r="Z74" s="1">
        <v>6.3E-2</v>
      </c>
      <c r="AA74" s="1">
        <v>-0.1</v>
      </c>
      <c r="AB74" s="1">
        <v>3</v>
      </c>
      <c r="AC74" s="1">
        <v>3</v>
      </c>
      <c r="AD74" s="1">
        <v>2.5049999999999999</v>
      </c>
      <c r="AE74" s="1">
        <v>0</v>
      </c>
      <c r="AF74" s="1">
        <v>4.0000000000000001E-3</v>
      </c>
      <c r="AI74" s="1">
        <v>0</v>
      </c>
      <c r="AJ74" s="1">
        <v>0</v>
      </c>
      <c r="AK74" s="1">
        <v>0</v>
      </c>
      <c r="AL74" s="1">
        <v>1</v>
      </c>
      <c r="AM74" s="1">
        <v>86400</v>
      </c>
      <c r="AN74" s="1">
        <v>79867</v>
      </c>
      <c r="AO74" s="1">
        <v>6533</v>
      </c>
      <c r="AP74" s="1">
        <v>85983</v>
      </c>
      <c r="AQ74" s="1">
        <v>3.6435071118563251</v>
      </c>
    </row>
    <row r="75" spans="1:43" x14ac:dyDescent="0.45">
      <c r="A75" s="1">
        <v>74</v>
      </c>
      <c r="B75" s="1">
        <v>143</v>
      </c>
      <c r="C75" s="1">
        <v>64</v>
      </c>
      <c r="D75" s="1" t="s">
        <v>99</v>
      </c>
      <c r="E75" s="1" t="s">
        <v>100</v>
      </c>
      <c r="F75" s="1" t="s">
        <v>101</v>
      </c>
      <c r="G75" s="1" t="s">
        <v>46</v>
      </c>
      <c r="H75" s="1" t="s">
        <v>47</v>
      </c>
      <c r="I75" s="1">
        <v>1411</v>
      </c>
      <c r="J75" s="1">
        <v>38055</v>
      </c>
      <c r="K75" s="1">
        <v>1</v>
      </c>
      <c r="L75" s="1">
        <v>63</v>
      </c>
      <c r="M75" s="1">
        <v>1571</v>
      </c>
      <c r="N75" s="1" t="s">
        <v>48</v>
      </c>
      <c r="O75" s="1">
        <v>198808</v>
      </c>
      <c r="P75" s="1">
        <v>90</v>
      </c>
      <c r="Q75" s="1" t="s">
        <v>98</v>
      </c>
      <c r="R75" s="1" t="s">
        <v>50</v>
      </c>
      <c r="S75" s="1">
        <v>0</v>
      </c>
      <c r="T75" s="1">
        <v>0</v>
      </c>
      <c r="U75" s="1">
        <v>222.95500000000001</v>
      </c>
      <c r="V75" s="1">
        <v>21.597000000000001</v>
      </c>
      <c r="W75" s="1">
        <v>1.4</v>
      </c>
      <c r="X75" s="1">
        <v>2.589</v>
      </c>
      <c r="Y75" s="1">
        <v>24.186</v>
      </c>
      <c r="Z75" s="1">
        <v>8.1000000000000003E-2</v>
      </c>
      <c r="AA75" s="1">
        <v>-0.4</v>
      </c>
      <c r="AB75" s="1">
        <v>-2.1</v>
      </c>
      <c r="AC75" s="1">
        <v>-2.1</v>
      </c>
      <c r="AD75" s="1">
        <v>2.589</v>
      </c>
      <c r="AE75" s="1">
        <v>4.0000000000000001E-3</v>
      </c>
      <c r="AF75" s="1">
        <v>5.2999999999999999E-2</v>
      </c>
      <c r="AG75" s="1">
        <v>-0.4</v>
      </c>
      <c r="AI75" s="1">
        <v>0</v>
      </c>
      <c r="AJ75" s="1">
        <v>0</v>
      </c>
      <c r="AK75" s="1">
        <v>0</v>
      </c>
      <c r="AL75" s="1">
        <v>1</v>
      </c>
      <c r="AM75" s="1">
        <v>86400</v>
      </c>
      <c r="AN75" s="1">
        <v>80759</v>
      </c>
      <c r="AO75" s="1">
        <v>5641</v>
      </c>
      <c r="AP75" s="1">
        <v>86121</v>
      </c>
      <c r="AQ75" s="1">
        <v>11.654956863190669</v>
      </c>
    </row>
    <row r="76" spans="1:43" x14ac:dyDescent="0.45">
      <c r="A76" s="1">
        <v>75</v>
      </c>
      <c r="B76" s="1">
        <v>143</v>
      </c>
      <c r="C76" s="1">
        <v>64</v>
      </c>
      <c r="D76" s="1" t="s">
        <v>99</v>
      </c>
      <c r="E76" s="1" t="s">
        <v>100</v>
      </c>
      <c r="F76" s="1" t="s">
        <v>101</v>
      </c>
      <c r="G76" s="1" t="s">
        <v>46</v>
      </c>
      <c r="H76" s="1" t="s">
        <v>47</v>
      </c>
      <c r="I76" s="1">
        <v>1411</v>
      </c>
      <c r="J76" s="1">
        <v>38055</v>
      </c>
      <c r="K76" s="1">
        <v>1</v>
      </c>
      <c r="L76" s="1">
        <v>63</v>
      </c>
      <c r="M76" s="1">
        <v>1572</v>
      </c>
      <c r="N76" s="1" t="s">
        <v>48</v>
      </c>
      <c r="O76" s="1">
        <v>198816</v>
      </c>
      <c r="P76" s="1">
        <v>90</v>
      </c>
      <c r="Q76" s="1" t="s">
        <v>98</v>
      </c>
      <c r="R76" s="1" t="s">
        <v>50</v>
      </c>
      <c r="S76" s="1">
        <v>0</v>
      </c>
      <c r="T76" s="1">
        <v>0</v>
      </c>
      <c r="U76" s="1">
        <v>120.09</v>
      </c>
      <c r="V76" s="1">
        <v>21.809000000000001</v>
      </c>
      <c r="W76" s="1">
        <v>1.36</v>
      </c>
      <c r="X76" s="1">
        <v>2.3769999999999998</v>
      </c>
      <c r="Y76" s="1">
        <v>24.186</v>
      </c>
      <c r="Z76" s="1">
        <v>0.02</v>
      </c>
      <c r="AA76" s="1">
        <v>-1.2</v>
      </c>
      <c r="AB76" s="1">
        <v>-1</v>
      </c>
      <c r="AC76" s="1">
        <v>-1</v>
      </c>
      <c r="AD76" s="1">
        <v>2.3769999999999998</v>
      </c>
      <c r="AE76" s="1">
        <v>0</v>
      </c>
      <c r="AF76" s="1">
        <v>3.0000000000000001E-3</v>
      </c>
      <c r="AI76" s="1">
        <v>0</v>
      </c>
      <c r="AJ76" s="1">
        <v>0</v>
      </c>
      <c r="AK76" s="1">
        <v>0</v>
      </c>
      <c r="AL76" s="1">
        <v>1</v>
      </c>
      <c r="AM76" s="1">
        <v>86400</v>
      </c>
      <c r="AN76" s="1">
        <v>74081</v>
      </c>
      <c r="AO76" s="1">
        <v>12319</v>
      </c>
      <c r="AP76" s="1">
        <v>86033</v>
      </c>
      <c r="AQ76" s="1">
        <v>12.706252394481499</v>
      </c>
    </row>
    <row r="77" spans="1:43" x14ac:dyDescent="0.45">
      <c r="A77" s="1">
        <v>76</v>
      </c>
      <c r="B77" s="1">
        <v>143</v>
      </c>
      <c r="C77" s="1">
        <v>64</v>
      </c>
      <c r="D77" s="1" t="s">
        <v>99</v>
      </c>
      <c r="E77" s="1" t="s">
        <v>100</v>
      </c>
      <c r="F77" s="1" t="s">
        <v>101</v>
      </c>
      <c r="G77" s="1" t="s">
        <v>46</v>
      </c>
      <c r="H77" s="1" t="s">
        <v>47</v>
      </c>
      <c r="I77" s="1">
        <v>1411</v>
      </c>
      <c r="J77" s="1">
        <v>38055</v>
      </c>
      <c r="K77" s="1">
        <v>1</v>
      </c>
      <c r="L77" s="1">
        <v>63</v>
      </c>
      <c r="M77" s="1">
        <v>1573</v>
      </c>
      <c r="N77" s="1" t="s">
        <v>48</v>
      </c>
      <c r="O77" s="1">
        <v>198817</v>
      </c>
      <c r="P77" s="1">
        <v>90</v>
      </c>
      <c r="Q77" s="1" t="s">
        <v>98</v>
      </c>
      <c r="R77" s="1" t="s">
        <v>50</v>
      </c>
      <c r="S77" s="1">
        <v>0</v>
      </c>
      <c r="T77" s="1">
        <v>0</v>
      </c>
      <c r="U77" s="1">
        <v>120.09</v>
      </c>
      <c r="V77" s="1">
        <v>21.742999999999999</v>
      </c>
      <c r="W77" s="1">
        <v>1.37</v>
      </c>
      <c r="X77" s="1">
        <v>2.4430000000000001</v>
      </c>
      <c r="Y77" s="1">
        <v>24.186</v>
      </c>
      <c r="Z77" s="1">
        <v>2.1999999999999999E-2</v>
      </c>
      <c r="AA77" s="1">
        <v>-1.8</v>
      </c>
      <c r="AB77" s="1">
        <v>-1</v>
      </c>
      <c r="AC77" s="1">
        <v>-1</v>
      </c>
      <c r="AD77" s="1">
        <v>2.4430000000000001</v>
      </c>
      <c r="AE77" s="1">
        <v>0</v>
      </c>
      <c r="AF77" s="1">
        <v>3.0000000000000001E-3</v>
      </c>
      <c r="AI77" s="1">
        <v>0</v>
      </c>
      <c r="AJ77" s="1">
        <v>0</v>
      </c>
      <c r="AK77" s="1">
        <v>0</v>
      </c>
      <c r="AL77" s="1">
        <v>1</v>
      </c>
      <c r="AM77" s="1">
        <v>86400</v>
      </c>
      <c r="AN77" s="1">
        <v>77639</v>
      </c>
      <c r="AO77" s="1">
        <v>8761</v>
      </c>
      <c r="AP77" s="1">
        <v>86387</v>
      </c>
      <c r="AQ77" s="1">
        <v>13.2008896502241</v>
      </c>
    </row>
    <row r="78" spans="1:43" x14ac:dyDescent="0.45">
      <c r="A78" s="1">
        <v>77</v>
      </c>
      <c r="B78" s="1">
        <v>143</v>
      </c>
      <c r="C78" s="1">
        <v>64</v>
      </c>
      <c r="D78" s="1" t="s">
        <v>99</v>
      </c>
      <c r="E78" s="1" t="s">
        <v>100</v>
      </c>
      <c r="F78" s="1" t="s">
        <v>101</v>
      </c>
      <c r="G78" s="1" t="s">
        <v>46</v>
      </c>
      <c r="H78" s="1" t="s">
        <v>47</v>
      </c>
      <c r="I78" s="1">
        <v>1411</v>
      </c>
      <c r="J78" s="1">
        <v>38055</v>
      </c>
      <c r="K78" s="1">
        <v>1</v>
      </c>
      <c r="L78" s="1">
        <v>63</v>
      </c>
      <c r="M78" s="1">
        <v>1574</v>
      </c>
      <c r="N78" s="1" t="s">
        <v>48</v>
      </c>
      <c r="O78" s="1">
        <v>198818</v>
      </c>
      <c r="P78" s="1">
        <v>90</v>
      </c>
      <c r="Q78" s="1" t="s">
        <v>98</v>
      </c>
      <c r="R78" s="1" t="s">
        <v>50</v>
      </c>
      <c r="S78" s="1">
        <v>0</v>
      </c>
      <c r="T78" s="1">
        <v>0</v>
      </c>
      <c r="U78" s="1">
        <v>217.74799999999999</v>
      </c>
      <c r="V78" s="1">
        <v>21.881</v>
      </c>
      <c r="W78" s="1">
        <v>1.35</v>
      </c>
      <c r="X78" s="1">
        <v>2.3039999999999998</v>
      </c>
      <c r="Y78" s="1">
        <v>24.186</v>
      </c>
      <c r="Z78" s="1">
        <v>2.1999999999999999E-2</v>
      </c>
      <c r="AA78" s="1">
        <v>-2</v>
      </c>
      <c r="AB78" s="1">
        <v>0</v>
      </c>
      <c r="AC78" s="1">
        <v>0</v>
      </c>
      <c r="AD78" s="1">
        <v>2.3039999999999998</v>
      </c>
      <c r="AE78" s="1">
        <v>0</v>
      </c>
      <c r="AF78" s="1">
        <v>3.0000000000000001E-3</v>
      </c>
      <c r="AI78" s="1">
        <v>0</v>
      </c>
      <c r="AJ78" s="1">
        <v>0</v>
      </c>
      <c r="AK78" s="1">
        <v>0</v>
      </c>
      <c r="AL78" s="1">
        <v>1</v>
      </c>
      <c r="AM78" s="1">
        <v>86400</v>
      </c>
      <c r="AN78" s="1">
        <v>68763</v>
      </c>
      <c r="AO78" s="1">
        <v>17636</v>
      </c>
      <c r="AP78" s="1">
        <v>86029</v>
      </c>
      <c r="AQ78" s="1">
        <v>2.1189163386238858</v>
      </c>
    </row>
    <row r="79" spans="1:43" x14ac:dyDescent="0.45">
      <c r="A79" s="1">
        <v>78</v>
      </c>
      <c r="B79" s="1">
        <v>143</v>
      </c>
      <c r="C79" s="1">
        <v>64</v>
      </c>
      <c r="D79" s="1" t="s">
        <v>99</v>
      </c>
      <c r="E79" s="1" t="s">
        <v>100</v>
      </c>
      <c r="F79" s="1" t="s">
        <v>101</v>
      </c>
      <c r="G79" s="1" t="s">
        <v>46</v>
      </c>
      <c r="H79" s="1" t="s">
        <v>47</v>
      </c>
      <c r="I79" s="1">
        <v>1411</v>
      </c>
      <c r="J79" s="1">
        <v>38055</v>
      </c>
      <c r="K79" s="1">
        <v>1</v>
      </c>
      <c r="L79" s="1">
        <v>63</v>
      </c>
      <c r="M79" s="1">
        <v>1575</v>
      </c>
      <c r="N79" s="1" t="s">
        <v>48</v>
      </c>
      <c r="O79" s="1">
        <v>198819</v>
      </c>
      <c r="P79" s="1">
        <v>90</v>
      </c>
      <c r="Q79" s="1" t="s">
        <v>98</v>
      </c>
      <c r="R79" s="1" t="s">
        <v>50</v>
      </c>
      <c r="S79" s="1">
        <v>0</v>
      </c>
      <c r="T79" s="1">
        <v>0</v>
      </c>
      <c r="U79" s="1">
        <v>726.38900000000001</v>
      </c>
      <c r="V79" s="1">
        <v>21.905000000000001</v>
      </c>
      <c r="W79" s="1">
        <v>1.35</v>
      </c>
      <c r="X79" s="1">
        <v>2.2810000000000001</v>
      </c>
      <c r="Y79" s="1">
        <v>24.186</v>
      </c>
      <c r="Z79" s="1">
        <v>8.9999999999999993E-3</v>
      </c>
      <c r="AA79" s="1">
        <v>-1.2</v>
      </c>
      <c r="AB79" s="1">
        <v>-3.1</v>
      </c>
      <c r="AC79" s="1">
        <v>-3.1</v>
      </c>
      <c r="AD79" s="1">
        <v>2.2810000000000001</v>
      </c>
      <c r="AE79" s="1">
        <v>1E-3</v>
      </c>
      <c r="AF79" s="1">
        <v>3.0000000000000001E-3</v>
      </c>
      <c r="AI79" s="1">
        <v>0</v>
      </c>
      <c r="AJ79" s="1">
        <v>0</v>
      </c>
      <c r="AK79" s="1">
        <v>0</v>
      </c>
      <c r="AL79" s="1">
        <v>1</v>
      </c>
      <c r="AM79" s="1">
        <v>86400</v>
      </c>
      <c r="AN79" s="1">
        <v>66725</v>
      </c>
      <c r="AO79" s="1">
        <v>19675</v>
      </c>
      <c r="AP79" s="1">
        <v>86140</v>
      </c>
      <c r="AQ79" s="1">
        <v>15.51755964572809</v>
      </c>
    </row>
    <row r="80" spans="1:43" x14ac:dyDescent="0.45">
      <c r="A80" s="1">
        <v>79</v>
      </c>
      <c r="B80" s="1">
        <v>143</v>
      </c>
      <c r="C80" s="1">
        <v>64</v>
      </c>
      <c r="D80" s="1" t="s">
        <v>99</v>
      </c>
      <c r="E80" s="1" t="s">
        <v>100</v>
      </c>
      <c r="F80" s="1" t="s">
        <v>101</v>
      </c>
      <c r="G80" s="1" t="s">
        <v>46</v>
      </c>
      <c r="H80" s="1" t="s">
        <v>47</v>
      </c>
      <c r="I80" s="1">
        <v>1411</v>
      </c>
      <c r="J80" s="1">
        <v>38055</v>
      </c>
      <c r="K80" s="1">
        <v>1</v>
      </c>
      <c r="L80" s="1">
        <v>63</v>
      </c>
      <c r="M80" s="1">
        <v>1578</v>
      </c>
      <c r="N80" s="1" t="s">
        <v>48</v>
      </c>
      <c r="O80" s="1">
        <v>198822</v>
      </c>
      <c r="P80" s="1">
        <v>90</v>
      </c>
      <c r="Q80" s="1" t="s">
        <v>98</v>
      </c>
      <c r="R80" s="1" t="s">
        <v>50</v>
      </c>
      <c r="S80" s="1">
        <v>0</v>
      </c>
      <c r="T80" s="1">
        <v>0</v>
      </c>
      <c r="U80" s="1">
        <v>452.39499999999998</v>
      </c>
      <c r="V80" s="1">
        <v>21.888000000000002</v>
      </c>
      <c r="W80" s="1">
        <v>1.35</v>
      </c>
      <c r="X80" s="1">
        <v>2.298</v>
      </c>
      <c r="Y80" s="1">
        <v>24.186</v>
      </c>
      <c r="Z80" s="1">
        <v>2.5000000000000001E-2</v>
      </c>
      <c r="AA80" s="1">
        <v>-1.5</v>
      </c>
      <c r="AB80" s="1">
        <v>-2.2999999999999998</v>
      </c>
      <c r="AC80" s="1">
        <v>-2.2999999999999998</v>
      </c>
      <c r="AD80" s="1">
        <v>2.298</v>
      </c>
      <c r="AE80" s="1">
        <v>1E-3</v>
      </c>
      <c r="AF80" s="1">
        <v>5.0000000000000001E-3</v>
      </c>
      <c r="AI80" s="1">
        <v>0</v>
      </c>
      <c r="AJ80" s="1">
        <v>0</v>
      </c>
      <c r="AK80" s="1">
        <v>0</v>
      </c>
      <c r="AL80" s="1">
        <v>1</v>
      </c>
      <c r="AM80" s="1">
        <v>86400</v>
      </c>
      <c r="AN80" s="1">
        <v>68183</v>
      </c>
      <c r="AO80" s="1">
        <v>18217</v>
      </c>
      <c r="AP80" s="1">
        <v>86002</v>
      </c>
      <c r="AQ80" s="1">
        <v>2.3511520457252209</v>
      </c>
    </row>
    <row r="81" spans="1:43" x14ac:dyDescent="0.45">
      <c r="A81" s="1">
        <v>80</v>
      </c>
      <c r="B81" s="1">
        <v>143</v>
      </c>
      <c r="C81" s="1">
        <v>64</v>
      </c>
      <c r="D81" s="1" t="s">
        <v>99</v>
      </c>
      <c r="E81" s="1" t="s">
        <v>100</v>
      </c>
      <c r="F81" s="1" t="s">
        <v>101</v>
      </c>
      <c r="G81" s="1" t="s">
        <v>46</v>
      </c>
      <c r="H81" s="1" t="s">
        <v>47</v>
      </c>
      <c r="I81" s="1">
        <v>1411</v>
      </c>
      <c r="J81" s="1">
        <v>38055</v>
      </c>
      <c r="K81" s="1">
        <v>1</v>
      </c>
      <c r="L81" s="1">
        <v>63</v>
      </c>
      <c r="M81" s="1">
        <v>1579</v>
      </c>
      <c r="N81" s="1" t="s">
        <v>48</v>
      </c>
      <c r="O81" s="1">
        <v>198823</v>
      </c>
      <c r="P81" s="1">
        <v>90</v>
      </c>
      <c r="Q81" s="1" t="s">
        <v>98</v>
      </c>
      <c r="R81" s="1" t="s">
        <v>50</v>
      </c>
      <c r="S81" s="1">
        <v>0</v>
      </c>
      <c r="T81" s="1">
        <v>0</v>
      </c>
      <c r="U81" s="1">
        <v>457.721</v>
      </c>
      <c r="V81" s="1">
        <v>21.972000000000001</v>
      </c>
      <c r="W81" s="1">
        <v>1.34</v>
      </c>
      <c r="X81" s="1">
        <v>2.214</v>
      </c>
      <c r="Y81" s="1">
        <v>24.186</v>
      </c>
      <c r="Z81" s="1">
        <v>1.4999999999999999E-2</v>
      </c>
      <c r="AA81" s="1">
        <v>0.4</v>
      </c>
      <c r="AB81" s="1">
        <v>2.1</v>
      </c>
      <c r="AC81" s="1">
        <v>2.1</v>
      </c>
      <c r="AD81" s="1">
        <v>2.214</v>
      </c>
      <c r="AE81" s="1">
        <v>1E-3</v>
      </c>
      <c r="AF81" s="1">
        <v>3.0000000000000001E-3</v>
      </c>
      <c r="AI81" s="1">
        <v>0</v>
      </c>
      <c r="AJ81" s="1">
        <v>0</v>
      </c>
      <c r="AK81" s="1">
        <v>0</v>
      </c>
      <c r="AL81" s="1">
        <v>1</v>
      </c>
      <c r="AM81" s="1">
        <v>86400</v>
      </c>
      <c r="AN81" s="1">
        <v>60940</v>
      </c>
      <c r="AO81" s="1">
        <v>25460</v>
      </c>
      <c r="AP81" s="1">
        <v>86248</v>
      </c>
      <c r="AQ81" s="1">
        <v>35.312191187687972</v>
      </c>
    </row>
    <row r="82" spans="1:43" x14ac:dyDescent="0.45">
      <c r="A82" s="1">
        <v>81</v>
      </c>
      <c r="B82" s="1">
        <v>143</v>
      </c>
      <c r="C82" s="1">
        <v>64</v>
      </c>
      <c r="D82" s="1" t="s">
        <v>99</v>
      </c>
      <c r="E82" s="1" t="s">
        <v>100</v>
      </c>
      <c r="F82" s="1" t="s">
        <v>101</v>
      </c>
      <c r="G82" s="1" t="s">
        <v>46</v>
      </c>
      <c r="H82" s="1" t="s">
        <v>47</v>
      </c>
      <c r="I82" s="1">
        <v>1411</v>
      </c>
      <c r="J82" s="1">
        <v>38055</v>
      </c>
      <c r="K82" s="1">
        <v>1</v>
      </c>
      <c r="L82" s="1">
        <v>63</v>
      </c>
      <c r="M82" s="1">
        <v>1580</v>
      </c>
      <c r="N82" s="1" t="s">
        <v>48</v>
      </c>
      <c r="O82" s="1">
        <v>198824</v>
      </c>
      <c r="P82" s="1">
        <v>90</v>
      </c>
      <c r="Q82" s="1" t="s">
        <v>98</v>
      </c>
      <c r="R82" s="1" t="s">
        <v>50</v>
      </c>
      <c r="S82" s="1">
        <v>0</v>
      </c>
      <c r="T82" s="1">
        <v>0</v>
      </c>
      <c r="U82" s="1">
        <v>446.22899999999998</v>
      </c>
      <c r="V82" s="1">
        <v>21.9</v>
      </c>
      <c r="W82" s="1">
        <v>1.35</v>
      </c>
      <c r="X82" s="1">
        <v>2.2850000000000001</v>
      </c>
      <c r="Y82" s="1">
        <v>24.186</v>
      </c>
      <c r="Z82" s="1">
        <v>2.1999999999999999E-2</v>
      </c>
      <c r="AA82" s="1">
        <v>-0.8</v>
      </c>
      <c r="AB82" s="1">
        <v>-1.8</v>
      </c>
      <c r="AC82" s="1">
        <v>-1.8</v>
      </c>
      <c r="AD82" s="1">
        <v>2.2850000000000001</v>
      </c>
      <c r="AE82" s="1">
        <v>1E-3</v>
      </c>
      <c r="AF82" s="1">
        <v>6.0000000000000001E-3</v>
      </c>
      <c r="AI82" s="1">
        <v>0</v>
      </c>
      <c r="AJ82" s="1">
        <v>0</v>
      </c>
      <c r="AK82" s="1">
        <v>0</v>
      </c>
      <c r="AL82" s="1">
        <v>1</v>
      </c>
      <c r="AM82" s="1">
        <v>86400</v>
      </c>
      <c r="AN82" s="1">
        <v>67132</v>
      </c>
      <c r="AO82" s="1">
        <v>19268</v>
      </c>
      <c r="AP82" s="1">
        <v>86355</v>
      </c>
      <c r="AQ82" s="1">
        <v>8.3137607862681389</v>
      </c>
    </row>
    <row r="83" spans="1:43" x14ac:dyDescent="0.45">
      <c r="A83" s="1">
        <v>82</v>
      </c>
      <c r="B83" s="1">
        <v>143</v>
      </c>
      <c r="C83" s="1">
        <v>64</v>
      </c>
      <c r="D83" s="1" t="s">
        <v>99</v>
      </c>
      <c r="E83" s="1" t="s">
        <v>100</v>
      </c>
      <c r="F83" s="1" t="s">
        <v>101</v>
      </c>
      <c r="G83" s="1" t="s">
        <v>46</v>
      </c>
      <c r="H83" s="1" t="s">
        <v>47</v>
      </c>
      <c r="I83" s="1">
        <v>1411</v>
      </c>
      <c r="J83" s="1">
        <v>38055</v>
      </c>
      <c r="K83" s="1">
        <v>1</v>
      </c>
      <c r="L83" s="1">
        <v>63</v>
      </c>
      <c r="M83" s="1">
        <v>1581</v>
      </c>
      <c r="N83" s="1" t="s">
        <v>48</v>
      </c>
      <c r="O83" s="1">
        <v>198825</v>
      </c>
      <c r="P83" s="1">
        <v>90</v>
      </c>
      <c r="Q83" s="1" t="s">
        <v>98</v>
      </c>
      <c r="R83" s="1" t="s">
        <v>50</v>
      </c>
      <c r="S83" s="1">
        <v>0</v>
      </c>
      <c r="T83" s="1">
        <v>0</v>
      </c>
      <c r="U83" s="1">
        <v>420.69600000000003</v>
      </c>
      <c r="V83" s="1">
        <v>21.959</v>
      </c>
      <c r="W83" s="1">
        <v>1.34</v>
      </c>
      <c r="X83" s="1">
        <v>2.2269999999999999</v>
      </c>
      <c r="Y83" s="1">
        <v>24.186</v>
      </c>
      <c r="Z83" s="1">
        <v>1.7000000000000001E-2</v>
      </c>
      <c r="AA83" s="1">
        <v>-0.4</v>
      </c>
      <c r="AB83" s="1">
        <v>0.4</v>
      </c>
      <c r="AC83" s="1">
        <v>0.4</v>
      </c>
      <c r="AD83" s="1">
        <v>2.2269999999999999</v>
      </c>
      <c r="AE83" s="1">
        <v>1E-3</v>
      </c>
      <c r="AF83" s="1">
        <v>6.0000000000000001E-3</v>
      </c>
      <c r="AI83" s="1">
        <v>0</v>
      </c>
      <c r="AJ83" s="1">
        <v>0</v>
      </c>
      <c r="AK83" s="1">
        <v>0</v>
      </c>
      <c r="AL83" s="1">
        <v>1</v>
      </c>
      <c r="AM83" s="1">
        <v>86400</v>
      </c>
      <c r="AN83" s="1">
        <v>62064</v>
      </c>
      <c r="AO83" s="1">
        <v>24336</v>
      </c>
      <c r="AP83" s="1">
        <v>86301</v>
      </c>
      <c r="AQ83" s="1">
        <v>29.450668699661989</v>
      </c>
    </row>
    <row r="84" spans="1:43" x14ac:dyDescent="0.45">
      <c r="A84" s="1">
        <v>83</v>
      </c>
      <c r="B84" s="1">
        <v>143</v>
      </c>
      <c r="C84" s="1">
        <v>64</v>
      </c>
      <c r="D84" s="1" t="s">
        <v>99</v>
      </c>
      <c r="E84" s="1" t="s">
        <v>100</v>
      </c>
      <c r="F84" s="1" t="s">
        <v>101</v>
      </c>
      <c r="G84" s="1" t="s">
        <v>46</v>
      </c>
      <c r="H84" s="1" t="s">
        <v>47</v>
      </c>
      <c r="I84" s="1">
        <v>1411</v>
      </c>
      <c r="J84" s="1">
        <v>38055</v>
      </c>
      <c r="K84" s="1">
        <v>1</v>
      </c>
      <c r="L84" s="1">
        <v>63</v>
      </c>
      <c r="M84" s="1">
        <v>1582</v>
      </c>
      <c r="N84" s="1" t="s">
        <v>48</v>
      </c>
      <c r="O84" s="1">
        <v>198827</v>
      </c>
      <c r="P84" s="1">
        <v>90</v>
      </c>
      <c r="Q84" s="1" t="s">
        <v>98</v>
      </c>
      <c r="R84" s="1" t="s">
        <v>50</v>
      </c>
      <c r="S84" s="1">
        <v>0</v>
      </c>
      <c r="T84" s="1">
        <v>0</v>
      </c>
      <c r="U84" s="1">
        <v>182.84700000000001</v>
      </c>
      <c r="V84" s="1">
        <v>21.972999999999999</v>
      </c>
      <c r="W84" s="1">
        <v>1.34</v>
      </c>
      <c r="X84" s="1">
        <v>2.2120000000000002</v>
      </c>
      <c r="Y84" s="1">
        <v>24.186</v>
      </c>
      <c r="Z84" s="1">
        <v>1.9E-2</v>
      </c>
      <c r="AA84" s="1">
        <v>-1.7</v>
      </c>
      <c r="AB84" s="1">
        <v>-2.7</v>
      </c>
      <c r="AC84" s="1">
        <v>-2.7</v>
      </c>
      <c r="AD84" s="1">
        <v>2.2120000000000002</v>
      </c>
      <c r="AE84" s="1">
        <v>0</v>
      </c>
      <c r="AF84" s="1">
        <v>3.0000000000000001E-3</v>
      </c>
      <c r="AI84" s="1">
        <v>0</v>
      </c>
      <c r="AJ84" s="1">
        <v>0</v>
      </c>
      <c r="AK84" s="1">
        <v>0</v>
      </c>
      <c r="AL84" s="1">
        <v>1</v>
      </c>
      <c r="AM84" s="1">
        <v>86400</v>
      </c>
      <c r="AN84" s="1">
        <v>60820</v>
      </c>
      <c r="AO84" s="1">
        <v>25580</v>
      </c>
      <c r="AP84" s="1">
        <v>86036</v>
      </c>
      <c r="AQ84" s="1">
        <v>13.316614286791451</v>
      </c>
    </row>
    <row r="85" spans="1:43" x14ac:dyDescent="0.45">
      <c r="A85" s="1">
        <v>84</v>
      </c>
      <c r="B85" s="1">
        <v>143</v>
      </c>
      <c r="C85" s="1">
        <v>64</v>
      </c>
      <c r="D85" s="1" t="s">
        <v>99</v>
      </c>
      <c r="E85" s="1" t="s">
        <v>100</v>
      </c>
      <c r="F85" s="1" t="s">
        <v>101</v>
      </c>
      <c r="G85" s="1" t="s">
        <v>46</v>
      </c>
      <c r="H85" s="1" t="s">
        <v>47</v>
      </c>
      <c r="I85" s="1">
        <v>1411</v>
      </c>
      <c r="J85" s="1">
        <v>38055</v>
      </c>
      <c r="K85" s="1">
        <v>1</v>
      </c>
      <c r="L85" s="1">
        <v>63</v>
      </c>
      <c r="M85" s="1">
        <v>1583</v>
      </c>
      <c r="N85" s="1" t="s">
        <v>48</v>
      </c>
      <c r="O85" s="1">
        <v>198828</v>
      </c>
      <c r="P85" s="1">
        <v>90</v>
      </c>
      <c r="Q85" s="1" t="s">
        <v>98</v>
      </c>
      <c r="R85" s="1" t="s">
        <v>50</v>
      </c>
      <c r="S85" s="1">
        <v>0</v>
      </c>
      <c r="T85" s="1">
        <v>0</v>
      </c>
      <c r="U85" s="1">
        <v>91.424000000000007</v>
      </c>
      <c r="V85" s="1">
        <v>22.026</v>
      </c>
      <c r="W85" s="1">
        <v>1.33</v>
      </c>
      <c r="X85" s="1">
        <v>2.16</v>
      </c>
      <c r="Y85" s="1">
        <v>24.186</v>
      </c>
      <c r="Z85" s="1">
        <v>1.7999999999999999E-2</v>
      </c>
      <c r="AA85" s="1">
        <v>-0.9</v>
      </c>
      <c r="AB85" s="1">
        <v>-2.7</v>
      </c>
      <c r="AC85" s="1">
        <v>-2.7</v>
      </c>
      <c r="AD85" s="1">
        <v>2.16</v>
      </c>
      <c r="AE85" s="1">
        <v>0</v>
      </c>
      <c r="AF85" s="1">
        <v>3.0000000000000001E-3</v>
      </c>
      <c r="AI85" s="1">
        <v>0</v>
      </c>
      <c r="AJ85" s="1">
        <v>0</v>
      </c>
      <c r="AK85" s="1">
        <v>0</v>
      </c>
      <c r="AL85" s="1">
        <v>1</v>
      </c>
      <c r="AM85" s="1">
        <v>86400</v>
      </c>
      <c r="AN85" s="1">
        <v>56989</v>
      </c>
      <c r="AO85" s="1">
        <v>29411</v>
      </c>
      <c r="AP85" s="1">
        <v>86043</v>
      </c>
      <c r="AQ85" s="1">
        <v>6.674082864382977</v>
      </c>
    </row>
    <row r="86" spans="1:43" x14ac:dyDescent="0.45">
      <c r="A86" s="1">
        <v>85</v>
      </c>
      <c r="B86" s="1">
        <v>143</v>
      </c>
      <c r="C86" s="1">
        <v>64</v>
      </c>
      <c r="D86" s="1" t="s">
        <v>99</v>
      </c>
      <c r="E86" s="1" t="s">
        <v>100</v>
      </c>
      <c r="F86" s="1" t="s">
        <v>101</v>
      </c>
      <c r="G86" s="1" t="s">
        <v>46</v>
      </c>
      <c r="H86" s="1" t="s">
        <v>47</v>
      </c>
      <c r="I86" s="1">
        <v>1411</v>
      </c>
      <c r="J86" s="1">
        <v>38055</v>
      </c>
      <c r="K86" s="1">
        <v>1</v>
      </c>
      <c r="L86" s="1">
        <v>63</v>
      </c>
      <c r="M86" s="1">
        <v>1585</v>
      </c>
      <c r="N86" s="1" t="s">
        <v>48</v>
      </c>
      <c r="O86" s="1">
        <v>198830</v>
      </c>
      <c r="P86" s="1">
        <v>90</v>
      </c>
      <c r="Q86" s="1" t="s">
        <v>98</v>
      </c>
      <c r="R86" s="1" t="s">
        <v>50</v>
      </c>
      <c r="S86" s="1">
        <v>0</v>
      </c>
      <c r="T86" s="1">
        <v>0</v>
      </c>
      <c r="U86" s="1">
        <v>91.95</v>
      </c>
      <c r="V86" s="1">
        <v>22.048999999999999</v>
      </c>
      <c r="W86" s="1">
        <v>1.33</v>
      </c>
      <c r="X86" s="1">
        <v>2.137</v>
      </c>
      <c r="Y86" s="1">
        <v>24.186</v>
      </c>
      <c r="Z86" s="1">
        <v>1.6E-2</v>
      </c>
      <c r="AA86" s="1">
        <v>3.1</v>
      </c>
      <c r="AB86" s="1">
        <v>-1.6</v>
      </c>
      <c r="AC86" s="1">
        <v>-1.6</v>
      </c>
      <c r="AD86" s="1">
        <v>2.137</v>
      </c>
      <c r="AE86" s="1">
        <v>1E-3</v>
      </c>
      <c r="AF86" s="1">
        <v>8.9999999999999993E-3</v>
      </c>
      <c r="AI86" s="1">
        <v>0</v>
      </c>
      <c r="AJ86" s="1">
        <v>0</v>
      </c>
      <c r="AK86" s="1">
        <v>0</v>
      </c>
      <c r="AL86" s="1">
        <v>1</v>
      </c>
      <c r="AM86" s="1">
        <v>86400</v>
      </c>
      <c r="AN86" s="1">
        <v>55520</v>
      </c>
      <c r="AO86" s="1">
        <v>30880</v>
      </c>
      <c r="AP86" s="1">
        <v>86074</v>
      </c>
      <c r="AQ86" s="1">
        <v>9.6542195110212443</v>
      </c>
    </row>
    <row r="87" spans="1:43" x14ac:dyDescent="0.45">
      <c r="A87" s="1">
        <v>86</v>
      </c>
      <c r="B87" s="1">
        <v>143</v>
      </c>
      <c r="C87" s="1">
        <v>64</v>
      </c>
      <c r="D87" s="1" t="s">
        <v>99</v>
      </c>
      <c r="E87" s="1" t="s">
        <v>100</v>
      </c>
      <c r="F87" s="1" t="s">
        <v>101</v>
      </c>
      <c r="G87" s="1" t="s">
        <v>46</v>
      </c>
      <c r="H87" s="1" t="s">
        <v>47</v>
      </c>
      <c r="I87" s="1">
        <v>1411</v>
      </c>
      <c r="J87" s="1">
        <v>38055</v>
      </c>
      <c r="K87" s="1">
        <v>1</v>
      </c>
      <c r="L87" s="1">
        <v>63</v>
      </c>
      <c r="M87" s="1">
        <v>1586</v>
      </c>
      <c r="N87" s="1" t="s">
        <v>48</v>
      </c>
      <c r="O87" s="1">
        <v>198831</v>
      </c>
      <c r="P87" s="1">
        <v>90</v>
      </c>
      <c r="Q87" s="1" t="s">
        <v>98</v>
      </c>
      <c r="R87" s="1" t="s">
        <v>50</v>
      </c>
      <c r="S87" s="1">
        <v>0</v>
      </c>
      <c r="T87" s="1">
        <v>0</v>
      </c>
      <c r="U87" s="1">
        <v>52.819000000000003</v>
      </c>
      <c r="V87" s="1">
        <v>22.129000000000001</v>
      </c>
      <c r="W87" s="1">
        <v>1.31</v>
      </c>
      <c r="X87" s="1">
        <v>2.0569999999999999</v>
      </c>
      <c r="Y87" s="1">
        <v>24.186</v>
      </c>
      <c r="Z87" s="1">
        <v>3.6999999999999998E-2</v>
      </c>
      <c r="AA87" s="1">
        <v>-2.1</v>
      </c>
      <c r="AB87" s="1">
        <v>-2.7</v>
      </c>
      <c r="AC87" s="1">
        <v>-2.7</v>
      </c>
      <c r="AD87" s="1">
        <v>2.0569999999999999</v>
      </c>
      <c r="AE87" s="1">
        <v>1E-3</v>
      </c>
      <c r="AF87" s="1">
        <v>0.01</v>
      </c>
      <c r="AI87" s="1">
        <v>0</v>
      </c>
      <c r="AJ87" s="1">
        <v>0</v>
      </c>
      <c r="AK87" s="1">
        <v>0</v>
      </c>
      <c r="AL87" s="1">
        <v>1</v>
      </c>
      <c r="AM87" s="1">
        <v>86400</v>
      </c>
      <c r="AN87" s="1">
        <v>51394</v>
      </c>
      <c r="AO87" s="1">
        <v>35006</v>
      </c>
      <c r="AP87" s="1">
        <v>86234</v>
      </c>
      <c r="AQ87" s="1">
        <v>2.63378111287494</v>
      </c>
    </row>
    <row r="88" spans="1:43" x14ac:dyDescent="0.45">
      <c r="A88" s="1">
        <v>87</v>
      </c>
      <c r="B88" s="1">
        <v>143</v>
      </c>
      <c r="C88" s="1">
        <v>64</v>
      </c>
      <c r="D88" s="1" t="s">
        <v>99</v>
      </c>
      <c r="E88" s="1" t="s">
        <v>100</v>
      </c>
      <c r="F88" s="1" t="s">
        <v>101</v>
      </c>
      <c r="G88" s="1" t="s">
        <v>46</v>
      </c>
      <c r="H88" s="1" t="s">
        <v>47</v>
      </c>
      <c r="I88" s="1">
        <v>1411</v>
      </c>
      <c r="J88" s="1">
        <v>38055</v>
      </c>
      <c r="K88" s="1">
        <v>1</v>
      </c>
      <c r="L88" s="1">
        <v>63</v>
      </c>
      <c r="M88" s="1">
        <v>1587</v>
      </c>
      <c r="N88" s="1" t="s">
        <v>48</v>
      </c>
      <c r="O88" s="1">
        <v>198878</v>
      </c>
      <c r="P88" s="1">
        <v>90</v>
      </c>
      <c r="Q88" s="1" t="s">
        <v>98</v>
      </c>
      <c r="R88" s="1" t="s">
        <v>50</v>
      </c>
      <c r="S88" s="1">
        <v>0</v>
      </c>
      <c r="T88" s="1">
        <v>0</v>
      </c>
      <c r="U88" s="1">
        <v>73.399000000000001</v>
      </c>
      <c r="V88" s="1">
        <v>22.128</v>
      </c>
      <c r="W88" s="1">
        <v>1.31</v>
      </c>
      <c r="X88" s="1">
        <v>2.0579999999999998</v>
      </c>
      <c r="Y88" s="1">
        <v>24.186</v>
      </c>
      <c r="Z88" s="1">
        <v>5.2999999999999999E-2</v>
      </c>
      <c r="AA88" s="1">
        <v>-2.9</v>
      </c>
      <c r="AB88" s="1">
        <v>1.9</v>
      </c>
      <c r="AC88" s="1">
        <v>1.9</v>
      </c>
      <c r="AD88" s="1">
        <v>2.0579999999999998</v>
      </c>
      <c r="AE88" s="1">
        <v>5.0000000000000001E-3</v>
      </c>
      <c r="AF88" s="1">
        <v>3.3000000000000002E-2</v>
      </c>
      <c r="AI88" s="1">
        <v>0</v>
      </c>
      <c r="AJ88" s="1">
        <v>0</v>
      </c>
      <c r="AK88" s="1">
        <v>0</v>
      </c>
      <c r="AL88" s="1">
        <v>1</v>
      </c>
      <c r="AM88" s="1">
        <v>86400</v>
      </c>
      <c r="AN88" s="1">
        <v>51454</v>
      </c>
      <c r="AO88" s="1">
        <v>34946</v>
      </c>
      <c r="AP88" s="1">
        <v>86060</v>
      </c>
      <c r="AQ88" s="1">
        <v>7.1280436310846298</v>
      </c>
    </row>
    <row r="89" spans="1:43" x14ac:dyDescent="0.45">
      <c r="A89" s="1">
        <v>88</v>
      </c>
      <c r="B89" s="1">
        <v>143</v>
      </c>
      <c r="C89" s="1">
        <v>64</v>
      </c>
      <c r="D89" s="1" t="s">
        <v>99</v>
      </c>
      <c r="E89" s="1" t="s">
        <v>100</v>
      </c>
      <c r="F89" s="1" t="s">
        <v>101</v>
      </c>
      <c r="G89" s="1" t="s">
        <v>46</v>
      </c>
      <c r="H89" s="1" t="s">
        <v>47</v>
      </c>
      <c r="I89" s="1">
        <v>1411</v>
      </c>
      <c r="J89" s="1">
        <v>38055</v>
      </c>
      <c r="K89" s="1">
        <v>1</v>
      </c>
      <c r="L89" s="1">
        <v>63</v>
      </c>
      <c r="M89" s="1">
        <v>1588</v>
      </c>
      <c r="N89" s="1" t="s">
        <v>48</v>
      </c>
      <c r="O89" s="1">
        <v>198880</v>
      </c>
      <c r="P89" s="1">
        <v>90</v>
      </c>
      <c r="Q89" s="1" t="s">
        <v>98</v>
      </c>
      <c r="R89" s="1" t="s">
        <v>50</v>
      </c>
      <c r="S89" s="1">
        <v>0</v>
      </c>
      <c r="T89" s="1">
        <v>0</v>
      </c>
      <c r="U89" s="1">
        <v>136.09700000000001</v>
      </c>
      <c r="V89" s="1">
        <v>21.954999999999998</v>
      </c>
      <c r="W89" s="1">
        <v>1.34</v>
      </c>
      <c r="X89" s="1">
        <v>2.2309999999999999</v>
      </c>
      <c r="Y89" s="1">
        <v>24.186</v>
      </c>
      <c r="Z89" s="1">
        <v>3.1E-2</v>
      </c>
      <c r="AA89" s="1">
        <v>-0.7</v>
      </c>
      <c r="AB89" s="1">
        <v>1.9</v>
      </c>
      <c r="AC89" s="1">
        <v>1.9</v>
      </c>
      <c r="AD89" s="1">
        <v>2.2309999999999999</v>
      </c>
      <c r="AE89" s="1">
        <v>0</v>
      </c>
      <c r="AF89" s="1">
        <v>4.0000000000000001E-3</v>
      </c>
      <c r="AG89" s="1">
        <v>-0.7</v>
      </c>
      <c r="AI89" s="1">
        <v>0</v>
      </c>
      <c r="AJ89" s="1">
        <v>0</v>
      </c>
      <c r="AK89" s="1">
        <v>0</v>
      </c>
      <c r="AL89" s="1">
        <v>1</v>
      </c>
      <c r="AM89" s="1">
        <v>86400</v>
      </c>
      <c r="AN89" s="1">
        <v>62484</v>
      </c>
      <c r="AO89" s="1">
        <v>23916</v>
      </c>
      <c r="AP89" s="1">
        <v>86149</v>
      </c>
      <c r="AQ89" s="1">
        <v>7.2449964355107257</v>
      </c>
    </row>
    <row r="90" spans="1:43" x14ac:dyDescent="0.45">
      <c r="A90" s="1">
        <v>89</v>
      </c>
      <c r="B90" s="1">
        <v>181</v>
      </c>
      <c r="C90" s="1">
        <v>75</v>
      </c>
      <c r="D90" s="1" t="s">
        <v>64</v>
      </c>
      <c r="E90" s="1" t="s">
        <v>65</v>
      </c>
      <c r="F90" s="1" t="s">
        <v>66</v>
      </c>
      <c r="G90" s="1" t="s">
        <v>46</v>
      </c>
      <c r="H90" s="1" t="s">
        <v>47</v>
      </c>
      <c r="I90" s="1">
        <v>1170</v>
      </c>
      <c r="J90" s="1">
        <v>33499</v>
      </c>
      <c r="K90" s="1">
        <v>1</v>
      </c>
      <c r="L90" s="1">
        <v>74</v>
      </c>
      <c r="M90" s="1">
        <v>1394</v>
      </c>
      <c r="N90" s="1" t="s">
        <v>48</v>
      </c>
      <c r="O90" s="1">
        <v>193959</v>
      </c>
      <c r="P90" s="1">
        <v>90</v>
      </c>
      <c r="Q90" s="1" t="s">
        <v>98</v>
      </c>
      <c r="R90" s="1" t="s">
        <v>50</v>
      </c>
      <c r="S90" s="1">
        <v>0</v>
      </c>
      <c r="T90" s="1">
        <v>0</v>
      </c>
      <c r="U90" s="1">
        <v>510.173</v>
      </c>
      <c r="V90" s="1">
        <v>24.927</v>
      </c>
      <c r="W90" s="1">
        <v>0.54</v>
      </c>
      <c r="X90" s="1">
        <v>0.20599999999999999</v>
      </c>
      <c r="Y90" s="1">
        <v>25.132000000000001</v>
      </c>
      <c r="Z90" s="1">
        <v>0.20200000000000001</v>
      </c>
      <c r="AA90" s="1">
        <v>-2.6</v>
      </c>
      <c r="AB90" s="1">
        <v>-2.6</v>
      </c>
      <c r="AC90" s="1">
        <v>-2.6</v>
      </c>
      <c r="AD90" s="1">
        <v>0.20599999999999999</v>
      </c>
      <c r="AE90" s="1">
        <v>0.20200000000000001</v>
      </c>
      <c r="AF90" s="1">
        <v>4.2000000000000003E-2</v>
      </c>
      <c r="AG90" s="1">
        <v>-2.6</v>
      </c>
      <c r="AI90" s="1">
        <v>0</v>
      </c>
      <c r="AJ90" s="1">
        <v>0</v>
      </c>
      <c r="AK90" s="1">
        <v>0</v>
      </c>
      <c r="AL90" s="1">
        <v>1</v>
      </c>
      <c r="AM90" s="1">
        <v>86400</v>
      </c>
      <c r="AN90" s="1">
        <v>77882</v>
      </c>
      <c r="AO90" s="1">
        <v>8518</v>
      </c>
      <c r="AP90" s="1">
        <v>47387</v>
      </c>
      <c r="AQ90" s="1">
        <v>39.084261990656927</v>
      </c>
    </row>
    <row r="91" spans="1:43" x14ac:dyDescent="0.45">
      <c r="A91" s="1">
        <v>90</v>
      </c>
      <c r="B91" s="1">
        <v>181</v>
      </c>
      <c r="C91" s="1">
        <v>75</v>
      </c>
      <c r="D91" s="1" t="s">
        <v>64</v>
      </c>
      <c r="E91" s="1" t="s">
        <v>65</v>
      </c>
      <c r="F91" s="1" t="s">
        <v>66</v>
      </c>
      <c r="G91" s="1" t="s">
        <v>46</v>
      </c>
      <c r="H91" s="1" t="s">
        <v>47</v>
      </c>
      <c r="I91" s="1">
        <v>1170</v>
      </c>
      <c r="J91" s="1">
        <v>33499</v>
      </c>
      <c r="K91" s="1">
        <v>1</v>
      </c>
      <c r="L91" s="1">
        <v>74</v>
      </c>
      <c r="M91" s="1">
        <v>1395</v>
      </c>
      <c r="N91" s="1" t="s">
        <v>48</v>
      </c>
      <c r="O91" s="1">
        <v>193961</v>
      </c>
      <c r="P91" s="1">
        <v>90</v>
      </c>
      <c r="Q91" s="1" t="s">
        <v>98</v>
      </c>
      <c r="R91" s="1" t="s">
        <v>50</v>
      </c>
      <c r="S91" s="1">
        <v>0</v>
      </c>
      <c r="T91" s="1">
        <v>0</v>
      </c>
      <c r="U91" s="1">
        <v>510.173</v>
      </c>
      <c r="V91" s="1">
        <v>24.913</v>
      </c>
      <c r="W91" s="1">
        <v>0.54</v>
      </c>
      <c r="X91" s="1">
        <v>0.219</v>
      </c>
      <c r="Y91" s="1">
        <v>25.132000000000001</v>
      </c>
      <c r="Z91" s="1">
        <v>0.21199999999999999</v>
      </c>
      <c r="AA91" s="1">
        <v>2.2000000000000002</v>
      </c>
      <c r="AB91" s="1">
        <v>2.2000000000000002</v>
      </c>
      <c r="AC91" s="1">
        <v>2.2000000000000002</v>
      </c>
      <c r="AD91" s="1">
        <v>0.219</v>
      </c>
      <c r="AE91" s="1">
        <v>0.21199999999999999</v>
      </c>
      <c r="AF91" s="1">
        <v>4.5999999999999999E-2</v>
      </c>
      <c r="AG91" s="1">
        <v>2.2000000000000002</v>
      </c>
      <c r="AI91" s="1">
        <v>0</v>
      </c>
      <c r="AJ91" s="1">
        <v>0</v>
      </c>
      <c r="AK91" s="1">
        <v>0</v>
      </c>
      <c r="AL91" s="1">
        <v>1</v>
      </c>
      <c r="AM91" s="1">
        <v>86400</v>
      </c>
      <c r="AN91" s="1">
        <v>78752</v>
      </c>
      <c r="AO91" s="1">
        <v>7648</v>
      </c>
      <c r="AP91" s="1">
        <v>47269</v>
      </c>
      <c r="AQ91" s="1">
        <v>47.839602141328243</v>
      </c>
    </row>
    <row r="92" spans="1:43" x14ac:dyDescent="0.45">
      <c r="A92" s="1">
        <v>91</v>
      </c>
      <c r="B92" s="1">
        <v>181</v>
      </c>
      <c r="C92" s="1">
        <v>75</v>
      </c>
      <c r="D92" s="1" t="s">
        <v>64</v>
      </c>
      <c r="E92" s="1" t="s">
        <v>65</v>
      </c>
      <c r="F92" s="1" t="s">
        <v>66</v>
      </c>
      <c r="G92" s="1" t="s">
        <v>46</v>
      </c>
      <c r="H92" s="1" t="s">
        <v>47</v>
      </c>
      <c r="I92" s="1">
        <v>1170</v>
      </c>
      <c r="J92" s="1">
        <v>33499</v>
      </c>
      <c r="K92" s="1">
        <v>1</v>
      </c>
      <c r="L92" s="1">
        <v>74</v>
      </c>
      <c r="M92" s="1">
        <v>1396</v>
      </c>
      <c r="N92" s="1" t="s">
        <v>48</v>
      </c>
      <c r="O92" s="1">
        <v>194014</v>
      </c>
      <c r="P92" s="1">
        <v>90</v>
      </c>
      <c r="Q92" s="1" t="s">
        <v>98</v>
      </c>
      <c r="R92" s="1" t="s">
        <v>50</v>
      </c>
      <c r="S92" s="1">
        <v>0</v>
      </c>
      <c r="T92" s="1">
        <v>0</v>
      </c>
      <c r="U92" s="1">
        <v>551.16899999999998</v>
      </c>
      <c r="V92" s="1">
        <v>24.986999999999998</v>
      </c>
      <c r="W92" s="1">
        <v>0.53</v>
      </c>
      <c r="X92" s="1">
        <v>0.21099999999999999</v>
      </c>
      <c r="Y92" s="1">
        <v>25.198</v>
      </c>
      <c r="Z92" s="1">
        <v>0.10299999999999999</v>
      </c>
      <c r="AA92" s="1">
        <v>2.2000000000000002</v>
      </c>
      <c r="AB92" s="1">
        <v>2.2000000000000002</v>
      </c>
      <c r="AC92" s="1">
        <v>2.2000000000000002</v>
      </c>
      <c r="AD92" s="1">
        <v>0.21099999999999999</v>
      </c>
      <c r="AE92" s="1">
        <v>0.10299999999999999</v>
      </c>
      <c r="AF92" s="1">
        <v>2.1999999999999999E-2</v>
      </c>
      <c r="AG92" s="1">
        <v>2.2000000000000002</v>
      </c>
      <c r="AI92" s="1">
        <v>0</v>
      </c>
      <c r="AJ92" s="1">
        <v>0</v>
      </c>
      <c r="AK92" s="1">
        <v>0</v>
      </c>
      <c r="AL92" s="1">
        <v>1</v>
      </c>
      <c r="AM92" s="1">
        <v>86400</v>
      </c>
      <c r="AN92" s="1">
        <v>78183</v>
      </c>
      <c r="AO92" s="1">
        <v>8217</v>
      </c>
      <c r="AP92" s="1">
        <v>43784</v>
      </c>
      <c r="AQ92" s="1">
        <v>1.590368793303959</v>
      </c>
    </row>
    <row r="93" spans="1:43" x14ac:dyDescent="0.45">
      <c r="A93" s="1">
        <v>92</v>
      </c>
      <c r="B93" s="1">
        <v>181</v>
      </c>
      <c r="C93" s="1">
        <v>75</v>
      </c>
      <c r="D93" s="1" t="s">
        <v>64</v>
      </c>
      <c r="E93" s="1" t="s">
        <v>65</v>
      </c>
      <c r="F93" s="1" t="s">
        <v>66</v>
      </c>
      <c r="G93" s="1" t="s">
        <v>46</v>
      </c>
      <c r="H93" s="1" t="s">
        <v>47</v>
      </c>
      <c r="I93" s="1">
        <v>1170</v>
      </c>
      <c r="J93" s="1">
        <v>33499</v>
      </c>
      <c r="K93" s="1">
        <v>1</v>
      </c>
      <c r="L93" s="1">
        <v>74</v>
      </c>
      <c r="M93" s="1">
        <v>1397</v>
      </c>
      <c r="N93" s="1" t="s">
        <v>48</v>
      </c>
      <c r="O93" s="1">
        <v>194021</v>
      </c>
      <c r="P93" s="1">
        <v>90</v>
      </c>
      <c r="Q93" s="1" t="s">
        <v>98</v>
      </c>
      <c r="R93" s="1" t="s">
        <v>50</v>
      </c>
      <c r="S93" s="1">
        <v>0</v>
      </c>
      <c r="T93" s="1">
        <v>0</v>
      </c>
      <c r="U93" s="1">
        <v>595.303</v>
      </c>
      <c r="V93" s="1">
        <v>24.879000000000001</v>
      </c>
      <c r="W93" s="1">
        <v>0.55000000000000004</v>
      </c>
      <c r="X93" s="1">
        <v>0.254</v>
      </c>
      <c r="Y93" s="1">
        <v>25.132999999999999</v>
      </c>
      <c r="Z93" s="1">
        <v>0.32600000000000001</v>
      </c>
      <c r="AA93" s="1">
        <v>2.2999999999999998</v>
      </c>
      <c r="AB93" s="1">
        <v>2.2999999999999998</v>
      </c>
      <c r="AC93" s="1">
        <v>2.2999999999999998</v>
      </c>
      <c r="AD93" s="1">
        <v>0.254</v>
      </c>
      <c r="AE93" s="1">
        <v>0.32600000000000001</v>
      </c>
      <c r="AF93" s="1">
        <v>8.3000000000000004E-2</v>
      </c>
      <c r="AG93" s="1">
        <v>2.2999999999999998</v>
      </c>
      <c r="AI93" s="1">
        <v>0</v>
      </c>
      <c r="AJ93" s="1">
        <v>0</v>
      </c>
      <c r="AK93" s="1">
        <v>0</v>
      </c>
      <c r="AL93" s="1">
        <v>1</v>
      </c>
      <c r="AM93" s="1">
        <v>86400</v>
      </c>
      <c r="AN93" s="1">
        <v>80567</v>
      </c>
      <c r="AO93" s="1">
        <v>5833</v>
      </c>
      <c r="AP93" s="1">
        <v>47026</v>
      </c>
      <c r="AQ93" s="1">
        <v>2.7063584476982121</v>
      </c>
    </row>
    <row r="94" spans="1:43" x14ac:dyDescent="0.45">
      <c r="A94" s="1">
        <v>93</v>
      </c>
      <c r="B94" s="1">
        <v>181</v>
      </c>
      <c r="C94" s="1">
        <v>75</v>
      </c>
      <c r="D94" s="1" t="s">
        <v>64</v>
      </c>
      <c r="E94" s="1" t="s">
        <v>65</v>
      </c>
      <c r="F94" s="1" t="s">
        <v>66</v>
      </c>
      <c r="G94" s="1" t="s">
        <v>46</v>
      </c>
      <c r="H94" s="1" t="s">
        <v>47</v>
      </c>
      <c r="I94" s="1">
        <v>1170</v>
      </c>
      <c r="J94" s="1">
        <v>33499</v>
      </c>
      <c r="K94" s="1">
        <v>1</v>
      </c>
      <c r="L94" s="1">
        <v>74</v>
      </c>
      <c r="M94" s="1">
        <v>1398</v>
      </c>
      <c r="N94" s="1" t="s">
        <v>48</v>
      </c>
      <c r="O94" s="1">
        <v>194022</v>
      </c>
      <c r="P94" s="1">
        <v>90</v>
      </c>
      <c r="Q94" s="1" t="s">
        <v>98</v>
      </c>
      <c r="R94" s="1" t="s">
        <v>50</v>
      </c>
      <c r="S94" s="1">
        <v>0</v>
      </c>
      <c r="T94" s="1">
        <v>0</v>
      </c>
      <c r="U94" s="1">
        <v>889.76199999999994</v>
      </c>
      <c r="V94" s="1">
        <v>24.957000000000001</v>
      </c>
      <c r="W94" s="1">
        <v>0.53</v>
      </c>
      <c r="X94" s="1">
        <v>0.17299999999999999</v>
      </c>
      <c r="Y94" s="1">
        <v>25.13</v>
      </c>
      <c r="Z94" s="1">
        <v>0.217</v>
      </c>
      <c r="AA94" s="1">
        <v>-2.6</v>
      </c>
      <c r="AB94" s="1">
        <v>-2.6</v>
      </c>
      <c r="AC94" s="1">
        <v>-2.6</v>
      </c>
      <c r="AD94" s="1">
        <v>0.17299999999999999</v>
      </c>
      <c r="AE94" s="1">
        <v>0.217</v>
      </c>
      <c r="AF94" s="1">
        <v>3.6999999999999998E-2</v>
      </c>
      <c r="AG94" s="1">
        <v>-2.6</v>
      </c>
      <c r="AI94" s="1">
        <v>0</v>
      </c>
      <c r="AJ94" s="1">
        <v>0</v>
      </c>
      <c r="AK94" s="1">
        <v>0</v>
      </c>
      <c r="AL94" s="1">
        <v>1</v>
      </c>
      <c r="AM94" s="1">
        <v>86400</v>
      </c>
      <c r="AN94" s="1">
        <v>74744</v>
      </c>
      <c r="AO94" s="1">
        <v>11656</v>
      </c>
      <c r="AP94" s="1">
        <v>47504</v>
      </c>
      <c r="AQ94" s="1">
        <v>0.32259802925756131</v>
      </c>
    </row>
    <row r="95" spans="1:43" x14ac:dyDescent="0.45">
      <c r="A95" s="1">
        <v>94</v>
      </c>
      <c r="B95" s="1">
        <v>181</v>
      </c>
      <c r="C95" s="1">
        <v>75</v>
      </c>
      <c r="D95" s="1" t="s">
        <v>64</v>
      </c>
      <c r="E95" s="1" t="s">
        <v>65</v>
      </c>
      <c r="F95" s="1" t="s">
        <v>66</v>
      </c>
      <c r="G95" s="1" t="s">
        <v>46</v>
      </c>
      <c r="H95" s="1" t="s">
        <v>47</v>
      </c>
      <c r="I95" s="1">
        <v>1170</v>
      </c>
      <c r="J95" s="1">
        <v>33499</v>
      </c>
      <c r="K95" s="1">
        <v>1</v>
      </c>
      <c r="L95" s="1">
        <v>74</v>
      </c>
      <c r="M95" s="1">
        <v>1399</v>
      </c>
      <c r="N95" s="1" t="s">
        <v>48</v>
      </c>
      <c r="O95" s="1">
        <v>194023</v>
      </c>
      <c r="P95" s="1">
        <v>90</v>
      </c>
      <c r="Q95" s="1" t="s">
        <v>98</v>
      </c>
      <c r="R95" s="1" t="s">
        <v>50</v>
      </c>
      <c r="S95" s="1">
        <v>0</v>
      </c>
      <c r="T95" s="1">
        <v>0</v>
      </c>
      <c r="U95" s="1">
        <v>495.976</v>
      </c>
      <c r="V95" s="1">
        <v>24.9</v>
      </c>
      <c r="W95" s="1">
        <v>0.54</v>
      </c>
      <c r="X95" s="1">
        <v>0.22800000000000001</v>
      </c>
      <c r="Y95" s="1">
        <v>25.129000000000001</v>
      </c>
      <c r="Z95" s="1">
        <v>0.17799999999999999</v>
      </c>
      <c r="AA95" s="1">
        <v>-2.7</v>
      </c>
      <c r="AB95" s="1">
        <v>-2.7</v>
      </c>
      <c r="AC95" s="1">
        <v>-2.7</v>
      </c>
      <c r="AD95" s="1">
        <v>0.22800000000000001</v>
      </c>
      <c r="AE95" s="1">
        <v>0.17799999999999999</v>
      </c>
      <c r="AF95" s="1">
        <v>4.1000000000000002E-2</v>
      </c>
      <c r="AG95" s="1">
        <v>-2.7</v>
      </c>
      <c r="AI95" s="1">
        <v>0</v>
      </c>
      <c r="AJ95" s="1">
        <v>0</v>
      </c>
      <c r="AK95" s="1">
        <v>0</v>
      </c>
      <c r="AL95" s="1">
        <v>1</v>
      </c>
      <c r="AM95" s="1">
        <v>86400</v>
      </c>
      <c r="AN95" s="1">
        <v>79229</v>
      </c>
      <c r="AO95" s="1">
        <v>7171</v>
      </c>
      <c r="AP95" s="1">
        <v>47459</v>
      </c>
      <c r="AQ95" s="1">
        <v>26.101421947845822</v>
      </c>
    </row>
    <row r="96" spans="1:43" x14ac:dyDescent="0.45">
      <c r="A96" s="1">
        <v>95</v>
      </c>
      <c r="B96" s="1">
        <v>181</v>
      </c>
      <c r="C96" s="1">
        <v>75</v>
      </c>
      <c r="D96" s="1" t="s">
        <v>64</v>
      </c>
      <c r="E96" s="1" t="s">
        <v>65</v>
      </c>
      <c r="F96" s="1" t="s">
        <v>66</v>
      </c>
      <c r="G96" s="1" t="s">
        <v>46</v>
      </c>
      <c r="H96" s="1" t="s">
        <v>47</v>
      </c>
      <c r="I96" s="1">
        <v>1170</v>
      </c>
      <c r="J96" s="1">
        <v>33499</v>
      </c>
      <c r="K96" s="1">
        <v>1</v>
      </c>
      <c r="L96" s="1">
        <v>74</v>
      </c>
      <c r="M96" s="1">
        <v>1400</v>
      </c>
      <c r="N96" s="1" t="s">
        <v>48</v>
      </c>
      <c r="O96" s="1">
        <v>194024</v>
      </c>
      <c r="P96" s="1">
        <v>90</v>
      </c>
      <c r="Q96" s="1" t="s">
        <v>98</v>
      </c>
      <c r="R96" s="1" t="s">
        <v>50</v>
      </c>
      <c r="S96" s="1">
        <v>0</v>
      </c>
      <c r="T96" s="1">
        <v>0</v>
      </c>
      <c r="U96" s="1">
        <v>236.39</v>
      </c>
      <c r="V96" s="1">
        <v>24.927</v>
      </c>
      <c r="W96" s="1">
        <v>0.53</v>
      </c>
      <c r="X96" s="1">
        <v>0.19900000000000001</v>
      </c>
      <c r="Y96" s="1">
        <v>25.126000000000001</v>
      </c>
      <c r="Z96" s="1">
        <v>0.16800000000000001</v>
      </c>
      <c r="AA96" s="1">
        <v>-2.2999999999999998</v>
      </c>
      <c r="AB96" s="1">
        <v>-2.2999999999999998</v>
      </c>
      <c r="AC96" s="1">
        <v>-2.2999999999999998</v>
      </c>
      <c r="AD96" s="1">
        <v>0.19900000000000001</v>
      </c>
      <c r="AE96" s="1">
        <v>0.16700000000000001</v>
      </c>
      <c r="AF96" s="1">
        <v>3.3000000000000002E-2</v>
      </c>
      <c r="AG96" s="1">
        <v>-2.2999999999999998</v>
      </c>
      <c r="AI96" s="1">
        <v>0</v>
      </c>
      <c r="AJ96" s="1">
        <v>0</v>
      </c>
      <c r="AK96" s="1">
        <v>0</v>
      </c>
      <c r="AL96" s="1">
        <v>1</v>
      </c>
      <c r="AM96" s="1">
        <v>86400</v>
      </c>
      <c r="AN96" s="1">
        <v>77516</v>
      </c>
      <c r="AO96" s="1">
        <v>8884</v>
      </c>
      <c r="AP96" s="1">
        <v>47663</v>
      </c>
      <c r="AQ96" s="1">
        <v>0.1408123542554123</v>
      </c>
    </row>
    <row r="97" spans="1:43" x14ac:dyDescent="0.45">
      <c r="A97" s="1">
        <v>96</v>
      </c>
      <c r="B97" s="1">
        <v>181</v>
      </c>
      <c r="C97" s="1">
        <v>75</v>
      </c>
      <c r="D97" s="1" t="s">
        <v>64</v>
      </c>
      <c r="E97" s="1" t="s">
        <v>65</v>
      </c>
      <c r="F97" s="1" t="s">
        <v>66</v>
      </c>
      <c r="G97" s="1" t="s">
        <v>46</v>
      </c>
      <c r="H97" s="1" t="s">
        <v>47</v>
      </c>
      <c r="I97" s="1">
        <v>1170</v>
      </c>
      <c r="J97" s="1">
        <v>33499</v>
      </c>
      <c r="K97" s="1">
        <v>1</v>
      </c>
      <c r="L97" s="1">
        <v>74</v>
      </c>
      <c r="M97" s="1">
        <v>1403</v>
      </c>
      <c r="N97" s="1" t="s">
        <v>48</v>
      </c>
      <c r="O97" s="1">
        <v>194037</v>
      </c>
      <c r="P97" s="1">
        <v>90</v>
      </c>
      <c r="Q97" s="1" t="s">
        <v>98</v>
      </c>
      <c r="R97" s="1" t="s">
        <v>50</v>
      </c>
      <c r="S97" s="1">
        <v>0</v>
      </c>
      <c r="T97" s="1">
        <v>0</v>
      </c>
      <c r="U97" s="1">
        <v>71.201999999999998</v>
      </c>
      <c r="V97" s="1">
        <v>24.815999999999999</v>
      </c>
      <c r="W97" s="1">
        <v>0.55000000000000004</v>
      </c>
      <c r="X97" s="1">
        <v>0.314</v>
      </c>
      <c r="Y97" s="1">
        <v>25.13</v>
      </c>
      <c r="Z97" s="1">
        <v>0.13400000000000001</v>
      </c>
      <c r="AA97" s="1">
        <v>0.8</v>
      </c>
      <c r="AB97" s="1">
        <v>0.8</v>
      </c>
      <c r="AC97" s="1">
        <v>0.8</v>
      </c>
      <c r="AD97" s="1">
        <v>0.314</v>
      </c>
      <c r="AE97" s="1">
        <v>0.13400000000000001</v>
      </c>
      <c r="AF97" s="1">
        <v>4.2000000000000003E-2</v>
      </c>
      <c r="AG97" s="1">
        <v>0.8</v>
      </c>
      <c r="AI97" s="1">
        <v>0</v>
      </c>
      <c r="AJ97" s="1">
        <v>0</v>
      </c>
      <c r="AK97" s="1">
        <v>0</v>
      </c>
      <c r="AL97" s="1">
        <v>1</v>
      </c>
      <c r="AM97" s="1">
        <v>86400</v>
      </c>
      <c r="AN97" s="1">
        <v>80936</v>
      </c>
      <c r="AO97" s="1">
        <v>5464</v>
      </c>
      <c r="AP97" s="1">
        <v>47356</v>
      </c>
      <c r="AQ97" s="1">
        <v>12.96701355991765</v>
      </c>
    </row>
    <row r="98" spans="1:43" x14ac:dyDescent="0.45">
      <c r="A98" s="1">
        <v>97</v>
      </c>
      <c r="B98" s="1">
        <v>181</v>
      </c>
      <c r="C98" s="1">
        <v>75</v>
      </c>
      <c r="D98" s="1" t="s">
        <v>64</v>
      </c>
      <c r="E98" s="1" t="s">
        <v>65</v>
      </c>
      <c r="F98" s="1" t="s">
        <v>66</v>
      </c>
      <c r="G98" s="1" t="s">
        <v>46</v>
      </c>
      <c r="H98" s="1" t="s">
        <v>47</v>
      </c>
      <c r="I98" s="1">
        <v>1170</v>
      </c>
      <c r="J98" s="1">
        <v>33499</v>
      </c>
      <c r="K98" s="1">
        <v>1</v>
      </c>
      <c r="L98" s="1">
        <v>74</v>
      </c>
      <c r="M98" s="1">
        <v>1425</v>
      </c>
      <c r="N98" s="1" t="s">
        <v>48</v>
      </c>
      <c r="O98" s="1">
        <v>194098</v>
      </c>
      <c r="P98" s="1">
        <v>90</v>
      </c>
      <c r="Q98" s="1" t="s">
        <v>98</v>
      </c>
      <c r="R98" s="1" t="s">
        <v>50</v>
      </c>
      <c r="S98" s="1">
        <v>0</v>
      </c>
      <c r="T98" s="1">
        <v>0</v>
      </c>
      <c r="U98" s="1">
        <v>590.79899999999998</v>
      </c>
      <c r="V98" s="1">
        <v>25.291</v>
      </c>
      <c r="W98" s="1">
        <v>0.53</v>
      </c>
      <c r="X98" s="1">
        <v>0.2</v>
      </c>
      <c r="Y98" s="1">
        <v>25.49</v>
      </c>
      <c r="Z98" s="1">
        <v>5.2999999999999999E-2</v>
      </c>
      <c r="AA98" s="1">
        <v>-3</v>
      </c>
      <c r="AB98" s="1">
        <v>-3</v>
      </c>
      <c r="AC98" s="1">
        <v>-3</v>
      </c>
      <c r="AD98" s="1">
        <v>0.2</v>
      </c>
      <c r="AE98" s="1">
        <v>5.2999999999999999E-2</v>
      </c>
      <c r="AF98" s="1">
        <v>1.0999999999999999E-2</v>
      </c>
      <c r="AG98" s="1">
        <v>-3</v>
      </c>
      <c r="AI98" s="1">
        <v>0</v>
      </c>
      <c r="AJ98" s="1">
        <v>0</v>
      </c>
      <c r="AK98" s="1">
        <v>0</v>
      </c>
      <c r="AL98" s="1">
        <v>1</v>
      </c>
      <c r="AM98" s="1">
        <v>86400</v>
      </c>
      <c r="AN98" s="1">
        <v>75187</v>
      </c>
      <c r="AO98" s="1">
        <v>11213</v>
      </c>
      <c r="AP98" s="1">
        <v>43618</v>
      </c>
      <c r="AQ98" s="1">
        <v>2.1861732595933532</v>
      </c>
    </row>
    <row r="99" spans="1:43" x14ac:dyDescent="0.45">
      <c r="A99" s="1">
        <v>98</v>
      </c>
      <c r="B99" s="1">
        <v>181</v>
      </c>
      <c r="C99" s="1">
        <v>75</v>
      </c>
      <c r="D99" s="1" t="s">
        <v>64</v>
      </c>
      <c r="E99" s="1" t="s">
        <v>65</v>
      </c>
      <c r="F99" s="1" t="s">
        <v>66</v>
      </c>
      <c r="G99" s="1" t="s">
        <v>46</v>
      </c>
      <c r="H99" s="1" t="s">
        <v>47</v>
      </c>
      <c r="I99" s="1">
        <v>1170</v>
      </c>
      <c r="J99" s="1">
        <v>33499</v>
      </c>
      <c r="K99" s="1">
        <v>1</v>
      </c>
      <c r="L99" s="1">
        <v>74</v>
      </c>
      <c r="M99" s="1">
        <v>1426</v>
      </c>
      <c r="N99" s="1" t="s">
        <v>48</v>
      </c>
      <c r="O99" s="1">
        <v>194101</v>
      </c>
      <c r="P99" s="1">
        <v>90</v>
      </c>
      <c r="Q99" s="1" t="s">
        <v>98</v>
      </c>
      <c r="R99" s="1" t="s">
        <v>50</v>
      </c>
      <c r="S99" s="1">
        <v>0</v>
      </c>
      <c r="T99" s="1">
        <v>0</v>
      </c>
      <c r="U99" s="1">
        <v>715.21299999999997</v>
      </c>
      <c r="V99" s="1">
        <v>25.327000000000002</v>
      </c>
      <c r="W99" s="1">
        <v>0.53</v>
      </c>
      <c r="X99" s="1">
        <v>0.16300000000000001</v>
      </c>
      <c r="Y99" s="1">
        <v>25.491</v>
      </c>
      <c r="Z99" s="1">
        <v>0.09</v>
      </c>
      <c r="AA99" s="1">
        <v>3</v>
      </c>
      <c r="AB99" s="1">
        <v>3</v>
      </c>
      <c r="AC99" s="1">
        <v>3</v>
      </c>
      <c r="AD99" s="1">
        <v>0.16300000000000001</v>
      </c>
      <c r="AE99" s="1">
        <v>0.09</v>
      </c>
      <c r="AF99" s="1">
        <v>1.4999999999999999E-2</v>
      </c>
      <c r="AG99" s="1">
        <v>3</v>
      </c>
      <c r="AI99" s="1">
        <v>0</v>
      </c>
      <c r="AJ99" s="1">
        <v>0</v>
      </c>
      <c r="AK99" s="1">
        <v>0</v>
      </c>
      <c r="AL99" s="1">
        <v>1</v>
      </c>
      <c r="AM99" s="1">
        <v>86400</v>
      </c>
      <c r="AN99" s="1">
        <v>76856</v>
      </c>
      <c r="AO99" s="1">
        <v>9544</v>
      </c>
      <c r="AP99" s="1">
        <v>46916</v>
      </c>
      <c r="AQ99" s="1">
        <v>1.705766435611443</v>
      </c>
    </row>
    <row r="100" spans="1:43" x14ac:dyDescent="0.45">
      <c r="A100" s="1">
        <v>99</v>
      </c>
      <c r="B100" s="1">
        <v>181</v>
      </c>
      <c r="C100" s="1">
        <v>75</v>
      </c>
      <c r="D100" s="1" t="s">
        <v>64</v>
      </c>
      <c r="E100" s="1" t="s">
        <v>65</v>
      </c>
      <c r="F100" s="1" t="s">
        <v>66</v>
      </c>
      <c r="G100" s="1" t="s">
        <v>46</v>
      </c>
      <c r="H100" s="1" t="s">
        <v>47</v>
      </c>
      <c r="I100" s="1">
        <v>1170</v>
      </c>
      <c r="J100" s="1">
        <v>33499</v>
      </c>
      <c r="K100" s="1">
        <v>1</v>
      </c>
      <c r="L100" s="1">
        <v>74</v>
      </c>
      <c r="M100" s="1">
        <v>1564</v>
      </c>
      <c r="N100" s="1" t="s">
        <v>48</v>
      </c>
      <c r="O100" s="1">
        <v>198606</v>
      </c>
      <c r="P100" s="1">
        <v>90</v>
      </c>
      <c r="Q100" s="1" t="s">
        <v>98</v>
      </c>
      <c r="R100" s="1" t="s">
        <v>50</v>
      </c>
      <c r="S100" s="1">
        <v>0</v>
      </c>
      <c r="T100" s="1">
        <v>0</v>
      </c>
      <c r="U100" s="1">
        <v>92.590999999999994</v>
      </c>
      <c r="V100" s="1">
        <v>25.254000000000001</v>
      </c>
      <c r="W100" s="1">
        <v>0.52</v>
      </c>
      <c r="X100" s="1">
        <v>0.127</v>
      </c>
      <c r="Y100" s="1">
        <v>25.381</v>
      </c>
      <c r="Z100" s="1">
        <v>0.10299999999999999</v>
      </c>
      <c r="AA100" s="1">
        <v>0.9</v>
      </c>
      <c r="AB100" s="1">
        <v>0.4</v>
      </c>
      <c r="AC100" s="1">
        <v>0.4</v>
      </c>
      <c r="AD100" s="1">
        <v>0.127</v>
      </c>
      <c r="AE100" s="1">
        <v>6.5000000000000002E-2</v>
      </c>
      <c r="AF100" s="1">
        <v>8.9999999999999993E-3</v>
      </c>
      <c r="AG100" s="1">
        <v>0.9</v>
      </c>
      <c r="AI100" s="1">
        <v>0</v>
      </c>
      <c r="AJ100" s="1">
        <v>0</v>
      </c>
      <c r="AK100" s="1">
        <v>0</v>
      </c>
      <c r="AL100" s="1">
        <v>1</v>
      </c>
      <c r="AM100" s="1">
        <v>86400</v>
      </c>
      <c r="AN100" s="1">
        <v>79659</v>
      </c>
      <c r="AO100" s="1">
        <v>6741</v>
      </c>
      <c r="AP100" s="1">
        <v>49768</v>
      </c>
      <c r="AQ100" s="1">
        <v>16.327837453438821</v>
      </c>
    </row>
    <row r="101" spans="1:43" x14ac:dyDescent="0.45">
      <c r="A101" s="1">
        <v>100</v>
      </c>
      <c r="B101" s="1">
        <v>181</v>
      </c>
      <c r="C101" s="1">
        <v>75</v>
      </c>
      <c r="D101" s="1" t="s">
        <v>64</v>
      </c>
      <c r="E101" s="1" t="s">
        <v>65</v>
      </c>
      <c r="F101" s="1" t="s">
        <v>66</v>
      </c>
      <c r="G101" s="1" t="s">
        <v>46</v>
      </c>
      <c r="H101" s="1" t="s">
        <v>47</v>
      </c>
      <c r="I101" s="1">
        <v>1170</v>
      </c>
      <c r="J101" s="1">
        <v>33499</v>
      </c>
      <c r="K101" s="1">
        <v>1</v>
      </c>
      <c r="L101" s="1">
        <v>74</v>
      </c>
      <c r="M101" s="1">
        <v>1565</v>
      </c>
      <c r="N101" s="1" t="s">
        <v>48</v>
      </c>
      <c r="O101" s="1">
        <v>198607</v>
      </c>
      <c r="P101" s="1">
        <v>90</v>
      </c>
      <c r="Q101" s="1" t="s">
        <v>98</v>
      </c>
      <c r="R101" s="1" t="s">
        <v>50</v>
      </c>
      <c r="S101" s="1">
        <v>0</v>
      </c>
      <c r="T101" s="1">
        <v>0</v>
      </c>
      <c r="U101" s="1">
        <v>71.430000000000007</v>
      </c>
      <c r="V101" s="1">
        <v>25.236000000000001</v>
      </c>
      <c r="W101" s="1">
        <v>0.52</v>
      </c>
      <c r="X101" s="1">
        <v>0.14499999999999999</v>
      </c>
      <c r="Y101" s="1">
        <v>25.381</v>
      </c>
      <c r="Z101" s="1">
        <v>0.112</v>
      </c>
      <c r="AA101" s="1">
        <v>-0.7</v>
      </c>
      <c r="AB101" s="1">
        <v>-0.6</v>
      </c>
      <c r="AC101" s="1">
        <v>-0.6</v>
      </c>
      <c r="AD101" s="1">
        <v>0.14499999999999999</v>
      </c>
      <c r="AE101" s="1">
        <v>7.8E-2</v>
      </c>
      <c r="AF101" s="1">
        <v>1.0999999999999999E-2</v>
      </c>
      <c r="AG101" s="1">
        <v>-0.7</v>
      </c>
      <c r="AI101" s="1">
        <v>0</v>
      </c>
      <c r="AJ101" s="1">
        <v>0</v>
      </c>
      <c r="AK101" s="1">
        <v>0</v>
      </c>
      <c r="AL101" s="1">
        <v>1</v>
      </c>
      <c r="AM101" s="1">
        <v>86400</v>
      </c>
      <c r="AN101" s="1">
        <v>80461</v>
      </c>
      <c r="AO101" s="1">
        <v>5939</v>
      </c>
      <c r="AP101" s="1">
        <v>48909</v>
      </c>
      <c r="AQ101" s="1">
        <v>1.7753314003685849</v>
      </c>
    </row>
    <row r="102" spans="1:43" x14ac:dyDescent="0.45">
      <c r="A102" s="1">
        <v>101</v>
      </c>
      <c r="B102" s="1">
        <v>181</v>
      </c>
      <c r="C102" s="1">
        <v>75</v>
      </c>
      <c r="D102" s="1" t="s">
        <v>64</v>
      </c>
      <c r="E102" s="1" t="s">
        <v>65</v>
      </c>
      <c r="F102" s="1" t="s">
        <v>66</v>
      </c>
      <c r="G102" s="1" t="s">
        <v>46</v>
      </c>
      <c r="H102" s="1" t="s">
        <v>47</v>
      </c>
      <c r="I102" s="1">
        <v>1170</v>
      </c>
      <c r="J102" s="1">
        <v>33499</v>
      </c>
      <c r="K102" s="1">
        <v>1</v>
      </c>
      <c r="L102" s="1">
        <v>74</v>
      </c>
      <c r="M102" s="1">
        <v>1566</v>
      </c>
      <c r="N102" s="1" t="s">
        <v>48</v>
      </c>
      <c r="O102" s="1">
        <v>198616</v>
      </c>
      <c r="P102" s="1">
        <v>90</v>
      </c>
      <c r="Q102" s="1" t="s">
        <v>98</v>
      </c>
      <c r="R102" s="1" t="s">
        <v>50</v>
      </c>
      <c r="S102" s="1">
        <v>0</v>
      </c>
      <c r="T102" s="1">
        <v>0</v>
      </c>
      <c r="U102" s="1">
        <v>155.554</v>
      </c>
      <c r="V102" s="1">
        <v>25.196999999999999</v>
      </c>
      <c r="W102" s="1">
        <v>0.53</v>
      </c>
      <c r="X102" s="1">
        <v>0.21</v>
      </c>
      <c r="Y102" s="1">
        <v>25.407</v>
      </c>
      <c r="Z102" s="1">
        <v>2.5999999999999999E-2</v>
      </c>
      <c r="AA102" s="1">
        <v>-0.6</v>
      </c>
      <c r="AB102" s="1">
        <v>-0.6</v>
      </c>
      <c r="AC102" s="1">
        <v>-0.6</v>
      </c>
      <c r="AD102" s="1">
        <v>0.21</v>
      </c>
      <c r="AE102" s="1">
        <v>2.5999999999999999E-2</v>
      </c>
      <c r="AF102" s="1">
        <v>5.0000000000000001E-3</v>
      </c>
      <c r="AG102" s="1">
        <v>-0.6</v>
      </c>
      <c r="AI102" s="1">
        <v>0</v>
      </c>
      <c r="AJ102" s="1">
        <v>0</v>
      </c>
      <c r="AK102" s="1">
        <v>0</v>
      </c>
      <c r="AL102" s="1">
        <v>1</v>
      </c>
      <c r="AM102" s="1">
        <v>86400</v>
      </c>
      <c r="AN102" s="1">
        <v>74308</v>
      </c>
      <c r="AO102" s="1">
        <v>12092</v>
      </c>
      <c r="AP102" s="1">
        <v>46962</v>
      </c>
      <c r="AQ102" s="1">
        <v>0.4976457584433836</v>
      </c>
    </row>
    <row r="103" spans="1:43" x14ac:dyDescent="0.45">
      <c r="A103" s="1">
        <v>102</v>
      </c>
      <c r="B103" s="1">
        <v>332</v>
      </c>
      <c r="C103" s="1">
        <v>25</v>
      </c>
      <c r="D103" s="1" t="s">
        <v>70</v>
      </c>
      <c r="E103" s="1" t="s">
        <v>71</v>
      </c>
      <c r="F103" s="1" t="s">
        <v>72</v>
      </c>
      <c r="G103" s="1" t="s">
        <v>46</v>
      </c>
      <c r="H103" s="1" t="s">
        <v>47</v>
      </c>
      <c r="I103" s="1">
        <v>664</v>
      </c>
      <c r="J103" s="1">
        <v>19970</v>
      </c>
      <c r="K103" s="1">
        <v>1</v>
      </c>
      <c r="L103" s="1">
        <v>24</v>
      </c>
      <c r="M103" s="1">
        <v>1363</v>
      </c>
      <c r="N103" s="1" t="s">
        <v>48</v>
      </c>
      <c r="O103" s="1">
        <v>183770</v>
      </c>
      <c r="P103" s="1">
        <v>90</v>
      </c>
      <c r="Q103" s="1" t="s">
        <v>98</v>
      </c>
      <c r="R103" s="1" t="s">
        <v>50</v>
      </c>
      <c r="S103" s="1">
        <v>0</v>
      </c>
      <c r="T103" s="1">
        <v>0</v>
      </c>
      <c r="U103" s="1">
        <v>134.53299999999999</v>
      </c>
      <c r="V103" s="1">
        <v>25.527000000000001</v>
      </c>
      <c r="W103" s="1">
        <v>1.29</v>
      </c>
      <c r="X103" s="1">
        <v>1.75</v>
      </c>
      <c r="Y103" s="1">
        <v>27.277000000000001</v>
      </c>
      <c r="Z103" s="1">
        <v>0.13800000000000001</v>
      </c>
      <c r="AA103" s="1">
        <v>2.7</v>
      </c>
      <c r="AB103" s="1">
        <v>2.8</v>
      </c>
      <c r="AC103" s="1">
        <v>2.7</v>
      </c>
      <c r="AD103" s="1">
        <v>1.75</v>
      </c>
      <c r="AE103" s="1">
        <v>0.13800000000000001</v>
      </c>
      <c r="AF103" s="1">
        <v>0.24099999999999999</v>
      </c>
      <c r="AG103" s="1">
        <v>2.7</v>
      </c>
      <c r="AI103" s="1">
        <v>0</v>
      </c>
      <c r="AJ103" s="1">
        <v>0</v>
      </c>
      <c r="AK103" s="1">
        <v>0</v>
      </c>
      <c r="AL103" s="1">
        <v>1</v>
      </c>
      <c r="AM103" s="1">
        <v>86400</v>
      </c>
      <c r="AN103" s="1">
        <v>79080</v>
      </c>
      <c r="AO103" s="1">
        <v>7320</v>
      </c>
      <c r="AP103" s="1">
        <v>43384</v>
      </c>
      <c r="AQ103" s="1">
        <v>14.97557869697212</v>
      </c>
    </row>
    <row r="104" spans="1:43" x14ac:dyDescent="0.45">
      <c r="A104" s="1">
        <v>103</v>
      </c>
      <c r="B104" s="1">
        <v>332</v>
      </c>
      <c r="C104" s="1">
        <v>25</v>
      </c>
      <c r="D104" s="1" t="s">
        <v>70</v>
      </c>
      <c r="E104" s="1" t="s">
        <v>71</v>
      </c>
      <c r="F104" s="1" t="s">
        <v>72</v>
      </c>
      <c r="G104" s="1" t="s">
        <v>46</v>
      </c>
      <c r="H104" s="1" t="s">
        <v>47</v>
      </c>
      <c r="I104" s="1">
        <v>664</v>
      </c>
      <c r="J104" s="1">
        <v>19970</v>
      </c>
      <c r="K104" s="1">
        <v>1</v>
      </c>
      <c r="L104" s="1">
        <v>24</v>
      </c>
      <c r="M104" s="1">
        <v>1365</v>
      </c>
      <c r="N104" s="1" t="s">
        <v>48</v>
      </c>
      <c r="O104" s="1">
        <v>183857</v>
      </c>
      <c r="P104" s="1">
        <v>90</v>
      </c>
      <c r="Q104" s="1" t="s">
        <v>98</v>
      </c>
      <c r="R104" s="1" t="s">
        <v>50</v>
      </c>
      <c r="S104" s="1">
        <v>0</v>
      </c>
      <c r="T104" s="1">
        <v>0</v>
      </c>
      <c r="U104" s="1">
        <v>97.05</v>
      </c>
      <c r="V104" s="1">
        <v>27.024000000000001</v>
      </c>
      <c r="W104" s="1">
        <v>0.53</v>
      </c>
      <c r="X104" s="1">
        <v>0.156</v>
      </c>
      <c r="Y104" s="1">
        <v>27.18</v>
      </c>
      <c r="Z104" s="1">
        <v>0.19500000000000001</v>
      </c>
      <c r="AA104" s="1">
        <v>-1.6</v>
      </c>
      <c r="AB104" s="1">
        <v>-1.6</v>
      </c>
      <c r="AC104" s="1">
        <v>-1.6</v>
      </c>
      <c r="AD104" s="1">
        <v>0.156</v>
      </c>
      <c r="AE104" s="1">
        <v>0.19400000000000001</v>
      </c>
      <c r="AF104" s="1">
        <v>0.03</v>
      </c>
      <c r="AG104" s="1">
        <v>-1.6</v>
      </c>
      <c r="AI104" s="1">
        <v>0</v>
      </c>
      <c r="AJ104" s="1">
        <v>0</v>
      </c>
      <c r="AK104" s="1">
        <v>0</v>
      </c>
      <c r="AL104" s="1">
        <v>1</v>
      </c>
      <c r="AM104" s="1">
        <v>86400</v>
      </c>
      <c r="AN104" s="1">
        <v>61308</v>
      </c>
      <c r="AO104" s="1">
        <v>22138</v>
      </c>
      <c r="AP104" s="1">
        <v>46882</v>
      </c>
      <c r="AQ104" s="1">
        <v>12.13985088347876</v>
      </c>
    </row>
    <row r="105" spans="1:43" x14ac:dyDescent="0.45">
      <c r="A105" s="1">
        <v>104</v>
      </c>
      <c r="B105" s="1">
        <v>333</v>
      </c>
      <c r="C105" s="1">
        <v>24</v>
      </c>
      <c r="D105" s="1" t="s">
        <v>73</v>
      </c>
      <c r="E105" s="1" t="s">
        <v>74</v>
      </c>
      <c r="F105" s="1" t="s">
        <v>75</v>
      </c>
      <c r="G105" s="1" t="s">
        <v>46</v>
      </c>
      <c r="H105" s="1" t="s">
        <v>47</v>
      </c>
      <c r="I105" s="1">
        <v>586</v>
      </c>
      <c r="J105" s="1">
        <v>18129</v>
      </c>
      <c r="K105" s="1">
        <v>1</v>
      </c>
      <c r="L105" s="1">
        <v>23</v>
      </c>
      <c r="M105" s="1">
        <v>1363</v>
      </c>
      <c r="N105" s="1" t="s">
        <v>48</v>
      </c>
      <c r="O105" s="1">
        <v>183770</v>
      </c>
      <c r="P105" s="1">
        <v>90</v>
      </c>
      <c r="Q105" s="1" t="s">
        <v>98</v>
      </c>
      <c r="R105" s="1" t="s">
        <v>50</v>
      </c>
      <c r="S105" s="1">
        <v>0</v>
      </c>
      <c r="T105" s="1">
        <v>0</v>
      </c>
      <c r="U105" s="1">
        <v>134.53299999999999</v>
      </c>
      <c r="V105" s="1">
        <v>25.527000000000001</v>
      </c>
      <c r="W105" s="1">
        <v>1.29</v>
      </c>
      <c r="X105" s="1">
        <v>1.75</v>
      </c>
      <c r="Y105" s="1">
        <v>27.277000000000001</v>
      </c>
      <c r="Z105" s="1">
        <v>0.13800000000000001</v>
      </c>
      <c r="AA105" s="1">
        <v>2.7</v>
      </c>
      <c r="AB105" s="1">
        <v>2.8</v>
      </c>
      <c r="AC105" s="1">
        <v>2.7</v>
      </c>
      <c r="AD105" s="1">
        <v>1.75</v>
      </c>
      <c r="AE105" s="1">
        <v>0.13800000000000001</v>
      </c>
      <c r="AF105" s="1">
        <v>0.24099999999999999</v>
      </c>
      <c r="AG105" s="1">
        <v>2.7</v>
      </c>
      <c r="AI105" s="1">
        <v>0</v>
      </c>
      <c r="AJ105" s="1">
        <v>0</v>
      </c>
      <c r="AK105" s="1">
        <v>0</v>
      </c>
      <c r="AL105" s="1">
        <v>1</v>
      </c>
      <c r="AM105" s="1">
        <v>86400</v>
      </c>
      <c r="AN105" s="1">
        <v>79080</v>
      </c>
      <c r="AO105" s="1">
        <v>7320</v>
      </c>
      <c r="AP105" s="1">
        <v>43384</v>
      </c>
      <c r="AQ105" s="1">
        <v>1.107249760698368</v>
      </c>
    </row>
    <row r="106" spans="1:43" x14ac:dyDescent="0.45">
      <c r="A106" s="1">
        <v>105</v>
      </c>
      <c r="B106" s="1">
        <v>334</v>
      </c>
      <c r="C106" s="1">
        <v>25</v>
      </c>
      <c r="D106" s="1" t="s">
        <v>70</v>
      </c>
      <c r="E106" s="1" t="s">
        <v>71</v>
      </c>
      <c r="F106" s="1" t="s">
        <v>72</v>
      </c>
      <c r="G106" s="1" t="s">
        <v>46</v>
      </c>
      <c r="H106" s="1" t="s">
        <v>47</v>
      </c>
      <c r="I106" s="1">
        <v>664</v>
      </c>
      <c r="J106" s="1">
        <v>19970</v>
      </c>
      <c r="K106" s="1">
        <v>1</v>
      </c>
      <c r="L106" s="1">
        <v>24</v>
      </c>
      <c r="M106" s="1">
        <v>1363</v>
      </c>
      <c r="N106" s="1" t="s">
        <v>48</v>
      </c>
      <c r="O106" s="1">
        <v>183770</v>
      </c>
      <c r="P106" s="1">
        <v>90</v>
      </c>
      <c r="Q106" s="1" t="s">
        <v>98</v>
      </c>
      <c r="R106" s="1" t="s">
        <v>50</v>
      </c>
      <c r="S106" s="1">
        <v>0</v>
      </c>
      <c r="T106" s="1">
        <v>0</v>
      </c>
      <c r="U106" s="1">
        <v>134.53299999999999</v>
      </c>
      <c r="V106" s="1">
        <v>25.527000000000001</v>
      </c>
      <c r="W106" s="1">
        <v>1.29</v>
      </c>
      <c r="X106" s="1">
        <v>1.75</v>
      </c>
      <c r="Y106" s="1">
        <v>27.277000000000001</v>
      </c>
      <c r="Z106" s="1">
        <v>0.13800000000000001</v>
      </c>
      <c r="AA106" s="1">
        <v>2.7</v>
      </c>
      <c r="AB106" s="1">
        <v>2.8</v>
      </c>
      <c r="AC106" s="1">
        <v>2.7</v>
      </c>
      <c r="AD106" s="1">
        <v>1.75</v>
      </c>
      <c r="AE106" s="1">
        <v>0.13800000000000001</v>
      </c>
      <c r="AF106" s="1">
        <v>0.24099999999999999</v>
      </c>
      <c r="AG106" s="1">
        <v>2.7</v>
      </c>
      <c r="AI106" s="1">
        <v>0</v>
      </c>
      <c r="AJ106" s="1">
        <v>0</v>
      </c>
      <c r="AK106" s="1">
        <v>0</v>
      </c>
      <c r="AL106" s="1">
        <v>1</v>
      </c>
      <c r="AM106" s="1">
        <v>86400</v>
      </c>
      <c r="AN106" s="1">
        <v>79080</v>
      </c>
      <c r="AO106" s="1">
        <v>7320</v>
      </c>
      <c r="AP106" s="1">
        <v>43384</v>
      </c>
      <c r="AQ106" s="1">
        <v>1.092180301669939</v>
      </c>
    </row>
    <row r="107" spans="1:43" x14ac:dyDescent="0.45">
      <c r="A107" s="1">
        <v>106</v>
      </c>
      <c r="B107" s="1">
        <v>351</v>
      </c>
      <c r="C107" s="1">
        <v>63</v>
      </c>
      <c r="D107" s="1" t="s">
        <v>76</v>
      </c>
      <c r="E107" s="1" t="s">
        <v>77</v>
      </c>
      <c r="F107" s="1" t="s">
        <v>78</v>
      </c>
      <c r="G107" s="1" t="s">
        <v>46</v>
      </c>
      <c r="H107" s="1" t="s">
        <v>47</v>
      </c>
      <c r="I107" s="1">
        <v>1247</v>
      </c>
      <c r="J107" s="1">
        <v>27398</v>
      </c>
      <c r="K107" s="1">
        <v>1</v>
      </c>
      <c r="L107" s="1">
        <v>62</v>
      </c>
      <c r="M107" s="1">
        <v>1358</v>
      </c>
      <c r="N107" s="1" t="s">
        <v>48</v>
      </c>
      <c r="O107" s="1">
        <v>181344</v>
      </c>
      <c r="P107" s="1">
        <v>90</v>
      </c>
      <c r="Q107" s="1" t="s">
        <v>98</v>
      </c>
      <c r="R107" s="1" t="s">
        <v>50</v>
      </c>
      <c r="S107" s="1">
        <v>0</v>
      </c>
      <c r="T107" s="1">
        <v>0</v>
      </c>
      <c r="U107" s="1">
        <v>509.673</v>
      </c>
      <c r="V107" s="1">
        <v>23.771999999999998</v>
      </c>
      <c r="W107" s="1">
        <v>0.63</v>
      </c>
      <c r="X107" s="1">
        <v>0.76700000000000002</v>
      </c>
      <c r="Y107" s="1">
        <v>24.539000000000001</v>
      </c>
      <c r="Z107" s="1">
        <v>0.128</v>
      </c>
      <c r="AA107" s="1">
        <v>-3</v>
      </c>
      <c r="AB107" s="1">
        <v>-3</v>
      </c>
      <c r="AC107" s="1">
        <v>-3</v>
      </c>
      <c r="AD107" s="1">
        <v>0.76700000000000002</v>
      </c>
      <c r="AE107" s="1">
        <v>0.127</v>
      </c>
      <c r="AF107" s="1">
        <v>9.8000000000000004E-2</v>
      </c>
      <c r="AG107" s="1">
        <v>-3</v>
      </c>
      <c r="AI107" s="1">
        <v>0</v>
      </c>
      <c r="AJ107" s="1">
        <v>0</v>
      </c>
      <c r="AK107" s="1">
        <v>0</v>
      </c>
      <c r="AL107" s="1">
        <v>1</v>
      </c>
      <c r="AM107" s="1">
        <v>86400</v>
      </c>
      <c r="AN107" s="1">
        <v>78625</v>
      </c>
      <c r="AO107" s="1">
        <v>7775</v>
      </c>
      <c r="AP107" s="1">
        <v>43459</v>
      </c>
      <c r="AQ107" s="1">
        <v>25.565098127340359</v>
      </c>
    </row>
    <row r="108" spans="1:43" x14ac:dyDescent="0.45">
      <c r="A108" s="1">
        <v>107</v>
      </c>
      <c r="B108" s="1">
        <v>351</v>
      </c>
      <c r="C108" s="1">
        <v>63</v>
      </c>
      <c r="D108" s="1" t="s">
        <v>76</v>
      </c>
      <c r="E108" s="1" t="s">
        <v>77</v>
      </c>
      <c r="F108" s="1" t="s">
        <v>78</v>
      </c>
      <c r="G108" s="1" t="s">
        <v>46</v>
      </c>
      <c r="H108" s="1" t="s">
        <v>47</v>
      </c>
      <c r="I108" s="1">
        <v>1247</v>
      </c>
      <c r="J108" s="1">
        <v>27398</v>
      </c>
      <c r="K108" s="1">
        <v>1</v>
      </c>
      <c r="L108" s="1">
        <v>62</v>
      </c>
      <c r="M108" s="1">
        <v>1367</v>
      </c>
      <c r="N108" s="1" t="s">
        <v>48</v>
      </c>
      <c r="O108" s="1">
        <v>184182</v>
      </c>
      <c r="P108" s="1">
        <v>90</v>
      </c>
      <c r="Q108" s="1" t="s">
        <v>98</v>
      </c>
      <c r="R108" s="1" t="s">
        <v>50</v>
      </c>
      <c r="S108" s="1">
        <v>0</v>
      </c>
      <c r="T108" s="1">
        <v>0</v>
      </c>
      <c r="U108" s="1">
        <v>51.722999999999999</v>
      </c>
      <c r="V108" s="1">
        <v>24.972999999999999</v>
      </c>
      <c r="W108" s="1">
        <v>0.54</v>
      </c>
      <c r="X108" s="1">
        <v>0.22900000000000001</v>
      </c>
      <c r="Y108" s="1">
        <v>25.202000000000002</v>
      </c>
      <c r="Z108" s="1">
        <v>0.108</v>
      </c>
      <c r="AA108" s="1">
        <v>-2.8</v>
      </c>
      <c r="AB108" s="1">
        <v>-2.8</v>
      </c>
      <c r="AC108" s="1">
        <v>-2.8</v>
      </c>
      <c r="AD108" s="1">
        <v>0.22900000000000001</v>
      </c>
      <c r="AE108" s="1">
        <v>0.108</v>
      </c>
      <c r="AF108" s="1">
        <v>2.5000000000000001E-2</v>
      </c>
      <c r="AG108" s="1">
        <v>-2.8</v>
      </c>
      <c r="AI108" s="1">
        <v>0</v>
      </c>
      <c r="AJ108" s="1">
        <v>0</v>
      </c>
      <c r="AK108" s="1">
        <v>0</v>
      </c>
      <c r="AL108" s="1">
        <v>1</v>
      </c>
      <c r="AM108" s="1">
        <v>86400</v>
      </c>
      <c r="AN108" s="1">
        <v>80786</v>
      </c>
      <c r="AO108" s="1">
        <v>5614</v>
      </c>
      <c r="AP108" s="1">
        <v>46942</v>
      </c>
      <c r="AQ108" s="1">
        <v>12.851985611736319</v>
      </c>
    </row>
    <row r="109" spans="1:43" x14ac:dyDescent="0.45">
      <c r="A109" s="1">
        <v>108</v>
      </c>
      <c r="B109" s="1">
        <v>351</v>
      </c>
      <c r="C109" s="1">
        <v>63</v>
      </c>
      <c r="D109" s="1" t="s">
        <v>76</v>
      </c>
      <c r="E109" s="1" t="s">
        <v>77</v>
      </c>
      <c r="F109" s="1" t="s">
        <v>78</v>
      </c>
      <c r="G109" s="1" t="s">
        <v>46</v>
      </c>
      <c r="H109" s="1" t="s">
        <v>47</v>
      </c>
      <c r="I109" s="1">
        <v>1247</v>
      </c>
      <c r="J109" s="1">
        <v>27398</v>
      </c>
      <c r="K109" s="1">
        <v>1</v>
      </c>
      <c r="L109" s="1">
        <v>62</v>
      </c>
      <c r="M109" s="1">
        <v>1368</v>
      </c>
      <c r="N109" s="1" t="s">
        <v>48</v>
      </c>
      <c r="O109" s="1">
        <v>184187</v>
      </c>
      <c r="P109" s="1">
        <v>90</v>
      </c>
      <c r="Q109" s="1" t="s">
        <v>98</v>
      </c>
      <c r="R109" s="1" t="s">
        <v>50</v>
      </c>
      <c r="S109" s="1">
        <v>0</v>
      </c>
      <c r="T109" s="1">
        <v>0</v>
      </c>
      <c r="U109" s="1">
        <v>148.02699999999999</v>
      </c>
      <c r="V109" s="1">
        <v>25.082999999999998</v>
      </c>
      <c r="W109" s="1">
        <v>0.52</v>
      </c>
      <c r="X109" s="1">
        <v>0.13300000000000001</v>
      </c>
      <c r="Y109" s="1">
        <v>25.216000000000001</v>
      </c>
      <c r="Z109" s="1">
        <v>0.24099999999999999</v>
      </c>
      <c r="AA109" s="1">
        <v>1.9</v>
      </c>
      <c r="AB109" s="1">
        <v>1.9</v>
      </c>
      <c r="AC109" s="1">
        <v>1.9</v>
      </c>
      <c r="AD109" s="1">
        <v>0.13300000000000001</v>
      </c>
      <c r="AE109" s="1">
        <v>0.24099999999999999</v>
      </c>
      <c r="AF109" s="1">
        <v>3.2000000000000001E-2</v>
      </c>
      <c r="AG109" s="1">
        <v>1.9</v>
      </c>
      <c r="AI109" s="1">
        <v>0</v>
      </c>
      <c r="AJ109" s="1">
        <v>0</v>
      </c>
      <c r="AK109" s="1">
        <v>0</v>
      </c>
      <c r="AL109" s="1">
        <v>1</v>
      </c>
      <c r="AM109" s="1">
        <v>86400</v>
      </c>
      <c r="AN109" s="1">
        <v>80935</v>
      </c>
      <c r="AO109" s="1">
        <v>5465</v>
      </c>
      <c r="AP109" s="1">
        <v>47166</v>
      </c>
      <c r="AQ109" s="1">
        <v>2.804081138854984</v>
      </c>
    </row>
    <row r="110" spans="1:43" x14ac:dyDescent="0.45">
      <c r="A110" s="1">
        <v>109</v>
      </c>
      <c r="B110" s="1">
        <v>384</v>
      </c>
      <c r="C110" s="1">
        <v>19</v>
      </c>
      <c r="D110" s="1" t="s">
        <v>102</v>
      </c>
      <c r="E110" s="1" t="s">
        <v>103</v>
      </c>
      <c r="F110" s="1" t="s">
        <v>104</v>
      </c>
      <c r="G110" s="1" t="s">
        <v>46</v>
      </c>
      <c r="H110" s="1" t="s">
        <v>47</v>
      </c>
      <c r="I110" s="1">
        <v>806</v>
      </c>
      <c r="J110" s="1">
        <v>27768</v>
      </c>
      <c r="K110" s="1">
        <v>1</v>
      </c>
      <c r="L110" s="1">
        <v>18</v>
      </c>
      <c r="M110" s="1">
        <v>1393</v>
      </c>
      <c r="N110" s="1" t="s">
        <v>48</v>
      </c>
      <c r="O110" s="1">
        <v>185253</v>
      </c>
      <c r="P110" s="1">
        <v>90</v>
      </c>
      <c r="Q110" s="1" t="s">
        <v>98</v>
      </c>
      <c r="R110" s="1" t="s">
        <v>50</v>
      </c>
      <c r="S110" s="1">
        <v>0</v>
      </c>
      <c r="T110" s="1">
        <v>0</v>
      </c>
      <c r="U110" s="1">
        <v>256.815</v>
      </c>
      <c r="V110" s="1">
        <v>24.222999999999999</v>
      </c>
      <c r="W110" s="1">
        <v>0.52</v>
      </c>
      <c r="X110" s="1">
        <v>0.10199999999999999</v>
      </c>
      <c r="Y110" s="1">
        <v>24.324999999999999</v>
      </c>
      <c r="Z110" s="1">
        <v>0.21099999999999999</v>
      </c>
      <c r="AA110" s="1">
        <v>2.9</v>
      </c>
      <c r="AB110" s="1">
        <v>2.9</v>
      </c>
      <c r="AC110" s="1">
        <v>2.9</v>
      </c>
      <c r="AD110" s="1">
        <v>0.10199999999999999</v>
      </c>
      <c r="AE110" s="1">
        <v>0.20899999999999999</v>
      </c>
      <c r="AF110" s="1">
        <v>2.1000000000000001E-2</v>
      </c>
      <c r="AG110" s="1">
        <v>2.9</v>
      </c>
      <c r="AI110" s="1">
        <v>0</v>
      </c>
      <c r="AJ110" s="1">
        <v>0</v>
      </c>
      <c r="AK110" s="1">
        <v>0</v>
      </c>
      <c r="AL110" s="1">
        <v>1</v>
      </c>
      <c r="AM110" s="1">
        <v>86400</v>
      </c>
      <c r="AN110" s="1">
        <v>79618</v>
      </c>
      <c r="AO110" s="1">
        <v>6782</v>
      </c>
      <c r="AP110" s="1">
        <v>43731</v>
      </c>
      <c r="AQ110" s="1">
        <v>13.49032915473626</v>
      </c>
    </row>
    <row r="111" spans="1:43" x14ac:dyDescent="0.45">
      <c r="A111" s="1">
        <v>110</v>
      </c>
      <c r="B111" s="1">
        <v>425</v>
      </c>
      <c r="C111" s="1">
        <v>24</v>
      </c>
      <c r="D111" s="1" t="s">
        <v>73</v>
      </c>
      <c r="E111" s="1" t="s">
        <v>74</v>
      </c>
      <c r="F111" s="1" t="s">
        <v>75</v>
      </c>
      <c r="G111" s="1" t="s">
        <v>46</v>
      </c>
      <c r="H111" s="1" t="s">
        <v>47</v>
      </c>
      <c r="I111" s="1">
        <v>586</v>
      </c>
      <c r="J111" s="1">
        <v>18129</v>
      </c>
      <c r="K111" s="1">
        <v>1</v>
      </c>
      <c r="L111" s="1">
        <v>23</v>
      </c>
      <c r="M111" s="1">
        <v>1361</v>
      </c>
      <c r="N111" s="1" t="s">
        <v>48</v>
      </c>
      <c r="O111" s="1">
        <v>183748</v>
      </c>
      <c r="P111" s="1">
        <v>90</v>
      </c>
      <c r="Q111" s="1" t="s">
        <v>98</v>
      </c>
      <c r="R111" s="1" t="s">
        <v>50</v>
      </c>
      <c r="S111" s="1">
        <v>0</v>
      </c>
      <c r="T111" s="1">
        <v>0</v>
      </c>
      <c r="U111" s="1">
        <v>288.11500000000001</v>
      </c>
      <c r="V111" s="1">
        <v>27.244</v>
      </c>
      <c r="W111" s="1">
        <v>0.56000000000000005</v>
      </c>
      <c r="X111" s="1">
        <v>0.374</v>
      </c>
      <c r="Y111" s="1">
        <v>27.617000000000001</v>
      </c>
      <c r="Z111" s="1">
        <v>0.17699999999999999</v>
      </c>
      <c r="AA111" s="1">
        <v>-2.4</v>
      </c>
      <c r="AB111" s="1">
        <v>-2.4</v>
      </c>
      <c r="AC111" s="1">
        <v>-2.4</v>
      </c>
      <c r="AD111" s="1">
        <v>0.374</v>
      </c>
      <c r="AE111" s="1">
        <v>0.17699999999999999</v>
      </c>
      <c r="AF111" s="1">
        <v>6.6000000000000003E-2</v>
      </c>
      <c r="AG111" s="1">
        <v>-2.4</v>
      </c>
      <c r="AI111" s="1">
        <v>0</v>
      </c>
      <c r="AJ111" s="1">
        <v>0</v>
      </c>
      <c r="AK111" s="1">
        <v>0</v>
      </c>
      <c r="AL111" s="1">
        <v>1</v>
      </c>
      <c r="AM111" s="1">
        <v>86400</v>
      </c>
      <c r="AN111" s="1">
        <v>80007</v>
      </c>
      <c r="AO111" s="1">
        <v>6393</v>
      </c>
      <c r="AP111" s="1">
        <v>43400</v>
      </c>
      <c r="AQ111" s="1">
        <v>17.13936196617848</v>
      </c>
    </row>
    <row r="112" spans="1:43" x14ac:dyDescent="0.45">
      <c r="A112" s="1">
        <v>111</v>
      </c>
      <c r="B112" s="1">
        <v>425</v>
      </c>
      <c r="C112" s="1">
        <v>24</v>
      </c>
      <c r="D112" s="1" t="s">
        <v>73</v>
      </c>
      <c r="E112" s="1" t="s">
        <v>74</v>
      </c>
      <c r="F112" s="1" t="s">
        <v>75</v>
      </c>
      <c r="G112" s="1" t="s">
        <v>46</v>
      </c>
      <c r="H112" s="1" t="s">
        <v>47</v>
      </c>
      <c r="I112" s="1">
        <v>586</v>
      </c>
      <c r="J112" s="1">
        <v>18129</v>
      </c>
      <c r="K112" s="1">
        <v>1</v>
      </c>
      <c r="L112" s="1">
        <v>23</v>
      </c>
      <c r="M112" s="1">
        <v>1362</v>
      </c>
      <c r="N112" s="1" t="s">
        <v>48</v>
      </c>
      <c r="O112" s="1">
        <v>183760</v>
      </c>
      <c r="P112" s="1">
        <v>90</v>
      </c>
      <c r="Q112" s="1" t="s">
        <v>98</v>
      </c>
      <c r="R112" s="1" t="s">
        <v>50</v>
      </c>
      <c r="S112" s="1">
        <v>0</v>
      </c>
      <c r="T112" s="1">
        <v>0</v>
      </c>
      <c r="U112" s="1">
        <v>463.62599999999998</v>
      </c>
      <c r="V112" s="1">
        <v>27.099</v>
      </c>
      <c r="W112" s="1">
        <v>0.52</v>
      </c>
      <c r="X112" s="1">
        <v>0.11799999999999999</v>
      </c>
      <c r="Y112" s="1">
        <v>27.216999999999999</v>
      </c>
      <c r="Z112" s="1">
        <v>0.108</v>
      </c>
      <c r="AA112" s="1">
        <v>-1.5</v>
      </c>
      <c r="AB112" s="1">
        <v>-1.5</v>
      </c>
      <c r="AC112" s="1">
        <v>-1.5</v>
      </c>
      <c r="AD112" s="1">
        <v>0.11799999999999999</v>
      </c>
      <c r="AE112" s="1">
        <v>0.107</v>
      </c>
      <c r="AF112" s="1">
        <v>1.2999999999999999E-2</v>
      </c>
      <c r="AG112" s="1">
        <v>-1.5</v>
      </c>
      <c r="AI112" s="1">
        <v>0</v>
      </c>
      <c r="AJ112" s="1">
        <v>0</v>
      </c>
      <c r="AK112" s="1">
        <v>0</v>
      </c>
      <c r="AL112" s="1">
        <v>1</v>
      </c>
      <c r="AM112" s="1">
        <v>86400</v>
      </c>
      <c r="AN112" s="1">
        <v>77984</v>
      </c>
      <c r="AO112" s="1">
        <v>8416</v>
      </c>
      <c r="AP112" s="1">
        <v>47091</v>
      </c>
      <c r="AQ112" s="1">
        <v>22.064773613282629</v>
      </c>
    </row>
    <row r="113" spans="1:43" x14ac:dyDescent="0.45">
      <c r="A113" s="1">
        <v>112</v>
      </c>
      <c r="B113" s="1">
        <v>425</v>
      </c>
      <c r="C113" s="1">
        <v>24</v>
      </c>
      <c r="D113" s="1" t="s">
        <v>73</v>
      </c>
      <c r="E113" s="1" t="s">
        <v>74</v>
      </c>
      <c r="F113" s="1" t="s">
        <v>75</v>
      </c>
      <c r="G113" s="1" t="s">
        <v>46</v>
      </c>
      <c r="H113" s="1" t="s">
        <v>47</v>
      </c>
      <c r="I113" s="1">
        <v>586</v>
      </c>
      <c r="J113" s="1">
        <v>18129</v>
      </c>
      <c r="K113" s="1">
        <v>1</v>
      </c>
      <c r="L113" s="1">
        <v>23</v>
      </c>
      <c r="M113" s="1">
        <v>1363</v>
      </c>
      <c r="N113" s="1" t="s">
        <v>48</v>
      </c>
      <c r="O113" s="1">
        <v>183770</v>
      </c>
      <c r="P113" s="1">
        <v>90</v>
      </c>
      <c r="Q113" s="1" t="s">
        <v>98</v>
      </c>
      <c r="R113" s="1" t="s">
        <v>50</v>
      </c>
      <c r="S113" s="1">
        <v>0</v>
      </c>
      <c r="T113" s="1">
        <v>0</v>
      </c>
      <c r="U113" s="1">
        <v>134.53299999999999</v>
      </c>
      <c r="V113" s="1">
        <v>25.527000000000001</v>
      </c>
      <c r="W113" s="1">
        <v>1.29</v>
      </c>
      <c r="X113" s="1">
        <v>1.75</v>
      </c>
      <c r="Y113" s="1">
        <v>27.277000000000001</v>
      </c>
      <c r="Z113" s="1">
        <v>0.13800000000000001</v>
      </c>
      <c r="AA113" s="1">
        <v>2.7</v>
      </c>
      <c r="AB113" s="1">
        <v>2.8</v>
      </c>
      <c r="AC113" s="1">
        <v>2.7</v>
      </c>
      <c r="AD113" s="1">
        <v>1.75</v>
      </c>
      <c r="AE113" s="1">
        <v>0.13800000000000001</v>
      </c>
      <c r="AF113" s="1">
        <v>0.24099999999999999</v>
      </c>
      <c r="AG113" s="1">
        <v>2.7</v>
      </c>
      <c r="AI113" s="1">
        <v>0</v>
      </c>
      <c r="AJ113" s="1">
        <v>0</v>
      </c>
      <c r="AK113" s="1">
        <v>0</v>
      </c>
      <c r="AL113" s="1">
        <v>1</v>
      </c>
      <c r="AM113" s="1">
        <v>86400</v>
      </c>
      <c r="AN113" s="1">
        <v>79080</v>
      </c>
      <c r="AO113" s="1">
        <v>7320</v>
      </c>
      <c r="AP113" s="1">
        <v>43384</v>
      </c>
      <c r="AQ113" s="1">
        <v>15.60055264735368</v>
      </c>
    </row>
    <row r="114" spans="1:43" x14ac:dyDescent="0.45">
      <c r="A114" s="1">
        <v>113</v>
      </c>
      <c r="B114" s="1">
        <v>425</v>
      </c>
      <c r="C114" s="1">
        <v>24</v>
      </c>
      <c r="D114" s="1" t="s">
        <v>73</v>
      </c>
      <c r="E114" s="1" t="s">
        <v>74</v>
      </c>
      <c r="F114" s="1" t="s">
        <v>75</v>
      </c>
      <c r="G114" s="1" t="s">
        <v>46</v>
      </c>
      <c r="H114" s="1" t="s">
        <v>47</v>
      </c>
      <c r="I114" s="1">
        <v>586</v>
      </c>
      <c r="J114" s="1">
        <v>18129</v>
      </c>
      <c r="K114" s="1">
        <v>1</v>
      </c>
      <c r="L114" s="1">
        <v>23</v>
      </c>
      <c r="M114" s="1">
        <v>1364</v>
      </c>
      <c r="N114" s="1" t="s">
        <v>48</v>
      </c>
      <c r="O114" s="1">
        <v>183771</v>
      </c>
      <c r="P114" s="1">
        <v>90</v>
      </c>
      <c r="Q114" s="1" t="s">
        <v>98</v>
      </c>
      <c r="R114" s="1" t="s">
        <v>50</v>
      </c>
      <c r="S114" s="1">
        <v>0</v>
      </c>
      <c r="T114" s="1">
        <v>0</v>
      </c>
      <c r="U114" s="1">
        <v>106.956</v>
      </c>
      <c r="V114" s="1">
        <v>27.111999999999998</v>
      </c>
      <c r="W114" s="1">
        <v>0.53</v>
      </c>
      <c r="X114" s="1">
        <v>0.16600000000000001</v>
      </c>
      <c r="Y114" s="1">
        <v>27.277999999999999</v>
      </c>
      <c r="Z114" s="1">
        <v>0.19400000000000001</v>
      </c>
      <c r="AA114" s="1">
        <v>-1.1000000000000001</v>
      </c>
      <c r="AB114" s="1">
        <v>-1.1000000000000001</v>
      </c>
      <c r="AC114" s="1">
        <v>-1.1000000000000001</v>
      </c>
      <c r="AD114" s="1">
        <v>0.16600000000000001</v>
      </c>
      <c r="AE114" s="1">
        <v>0.19400000000000001</v>
      </c>
      <c r="AF114" s="1">
        <v>3.2000000000000001E-2</v>
      </c>
      <c r="AG114" s="1">
        <v>-1.1000000000000001</v>
      </c>
      <c r="AI114" s="1">
        <v>0</v>
      </c>
      <c r="AJ114" s="1">
        <v>0</v>
      </c>
      <c r="AK114" s="1">
        <v>0</v>
      </c>
      <c r="AL114" s="1">
        <v>1</v>
      </c>
      <c r="AM114" s="1">
        <v>86400</v>
      </c>
      <c r="AN114" s="1">
        <v>78925</v>
      </c>
      <c r="AO114" s="1">
        <v>7475</v>
      </c>
      <c r="AP114" s="1">
        <v>46866</v>
      </c>
      <c r="AQ114" s="1">
        <v>5.9693195119678606</v>
      </c>
    </row>
    <row r="115" spans="1:43" x14ac:dyDescent="0.45">
      <c r="A115" s="1">
        <v>114</v>
      </c>
      <c r="B115" s="1">
        <v>431</v>
      </c>
      <c r="C115" s="1">
        <v>91</v>
      </c>
      <c r="D115" s="1" t="s">
        <v>79</v>
      </c>
      <c r="E115" s="1" t="s">
        <v>80</v>
      </c>
      <c r="F115" s="1" t="s">
        <v>81</v>
      </c>
      <c r="G115" s="1" t="s">
        <v>54</v>
      </c>
      <c r="H115" s="1" t="s">
        <v>47</v>
      </c>
      <c r="I115" s="1">
        <v>764</v>
      </c>
      <c r="J115" s="1">
        <v>21102</v>
      </c>
      <c r="K115" s="1">
        <v>1</v>
      </c>
      <c r="L115" s="1">
        <v>90</v>
      </c>
      <c r="M115" s="1">
        <v>1371</v>
      </c>
      <c r="N115" s="1" t="s">
        <v>48</v>
      </c>
      <c r="O115" s="1">
        <v>184863</v>
      </c>
      <c r="P115" s="1">
        <v>90</v>
      </c>
      <c r="Q115" s="1" t="s">
        <v>98</v>
      </c>
      <c r="R115" s="1" t="s">
        <v>50</v>
      </c>
      <c r="S115" s="1">
        <v>0</v>
      </c>
      <c r="T115" s="1">
        <v>0</v>
      </c>
      <c r="U115" s="1">
        <v>325.68799999999999</v>
      </c>
      <c r="V115" s="1">
        <v>24.777999999999999</v>
      </c>
      <c r="W115" s="1">
        <v>0.53</v>
      </c>
      <c r="X115" s="1">
        <v>0.16</v>
      </c>
      <c r="Y115" s="1">
        <v>24.937999999999999</v>
      </c>
      <c r="Z115" s="1">
        <v>9.1999999999999998E-2</v>
      </c>
      <c r="AA115" s="1">
        <v>1.5</v>
      </c>
      <c r="AB115" s="1">
        <v>1.5</v>
      </c>
      <c r="AC115" s="1">
        <v>1.5</v>
      </c>
      <c r="AD115" s="1">
        <v>0.16</v>
      </c>
      <c r="AE115" s="1">
        <v>9.1999999999999998E-2</v>
      </c>
      <c r="AF115" s="1">
        <v>1.4999999999999999E-2</v>
      </c>
      <c r="AG115" s="1">
        <v>1.5</v>
      </c>
      <c r="AI115" s="1">
        <v>0</v>
      </c>
      <c r="AJ115" s="1">
        <v>0</v>
      </c>
      <c r="AK115" s="1">
        <v>0</v>
      </c>
      <c r="AL115" s="1">
        <v>1</v>
      </c>
      <c r="AM115" s="1">
        <v>86400</v>
      </c>
      <c r="AN115" s="1">
        <v>80395</v>
      </c>
      <c r="AO115" s="1">
        <v>6005</v>
      </c>
      <c r="AP115" s="1">
        <v>46956</v>
      </c>
      <c r="AQ115" s="1">
        <v>1.7066617168632481</v>
      </c>
    </row>
    <row r="116" spans="1:43" x14ac:dyDescent="0.45">
      <c r="A116" s="1">
        <v>115</v>
      </c>
      <c r="B116" s="1">
        <v>439</v>
      </c>
      <c r="C116" s="1">
        <v>94</v>
      </c>
      <c r="D116" s="1" t="s">
        <v>82</v>
      </c>
      <c r="E116" s="1" t="s">
        <v>83</v>
      </c>
      <c r="F116" s="1" t="s">
        <v>84</v>
      </c>
      <c r="G116" s="1" t="s">
        <v>46</v>
      </c>
      <c r="H116" s="1" t="s">
        <v>47</v>
      </c>
      <c r="I116" s="1">
        <v>490</v>
      </c>
      <c r="J116" s="1">
        <v>12595</v>
      </c>
      <c r="K116" s="1">
        <v>1</v>
      </c>
      <c r="L116" s="1">
        <v>93</v>
      </c>
      <c r="M116" s="1">
        <v>1377</v>
      </c>
      <c r="N116" s="1" t="s">
        <v>48</v>
      </c>
      <c r="O116" s="1">
        <v>184940</v>
      </c>
      <c r="P116" s="1">
        <v>90</v>
      </c>
      <c r="Q116" s="1" t="s">
        <v>98</v>
      </c>
      <c r="R116" s="1" t="s">
        <v>50</v>
      </c>
      <c r="S116" s="1">
        <v>0</v>
      </c>
      <c r="T116" s="1">
        <v>0</v>
      </c>
      <c r="U116" s="1">
        <v>261.22399999999999</v>
      </c>
      <c r="V116" s="1">
        <v>23.815999999999999</v>
      </c>
      <c r="W116" s="1">
        <v>0.57999999999999996</v>
      </c>
      <c r="X116" s="1">
        <v>0.434</v>
      </c>
      <c r="Y116" s="1">
        <v>24.25</v>
      </c>
      <c r="Z116" s="1">
        <v>0.307</v>
      </c>
      <c r="AA116" s="1">
        <v>-1.9</v>
      </c>
      <c r="AB116" s="1">
        <v>-1.9</v>
      </c>
      <c r="AC116" s="1">
        <v>-1.9</v>
      </c>
      <c r="AD116" s="1">
        <v>0.434</v>
      </c>
      <c r="AE116" s="1">
        <v>0.307</v>
      </c>
      <c r="AF116" s="1">
        <v>0.13300000000000001</v>
      </c>
      <c r="AG116" s="1">
        <v>-1.9</v>
      </c>
      <c r="AI116" s="1">
        <v>0</v>
      </c>
      <c r="AJ116" s="1">
        <v>0</v>
      </c>
      <c r="AK116" s="1">
        <v>0</v>
      </c>
      <c r="AL116" s="1">
        <v>1</v>
      </c>
      <c r="AM116" s="1">
        <v>86400</v>
      </c>
      <c r="AN116" s="1">
        <v>80981</v>
      </c>
      <c r="AO116" s="1">
        <v>5419</v>
      </c>
      <c r="AP116" s="1">
        <v>46941</v>
      </c>
      <c r="AQ116" s="1">
        <v>42.510154089918373</v>
      </c>
    </row>
    <row r="117" spans="1:43" x14ac:dyDescent="0.45">
      <c r="A117" s="1">
        <v>116</v>
      </c>
      <c r="B117" s="1">
        <v>439</v>
      </c>
      <c r="C117" s="1">
        <v>94</v>
      </c>
      <c r="D117" s="1" t="s">
        <v>82</v>
      </c>
      <c r="E117" s="1" t="s">
        <v>83</v>
      </c>
      <c r="F117" s="1" t="s">
        <v>84</v>
      </c>
      <c r="G117" s="1" t="s">
        <v>46</v>
      </c>
      <c r="H117" s="1" t="s">
        <v>47</v>
      </c>
      <c r="I117" s="1">
        <v>490</v>
      </c>
      <c r="J117" s="1">
        <v>12595</v>
      </c>
      <c r="K117" s="1">
        <v>1</v>
      </c>
      <c r="L117" s="1">
        <v>93</v>
      </c>
      <c r="M117" s="1">
        <v>1379</v>
      </c>
      <c r="N117" s="1" t="s">
        <v>48</v>
      </c>
      <c r="O117" s="1">
        <v>185010</v>
      </c>
      <c r="P117" s="1">
        <v>90</v>
      </c>
      <c r="Q117" s="1" t="s">
        <v>98</v>
      </c>
      <c r="R117" s="1" t="s">
        <v>50</v>
      </c>
      <c r="S117" s="1">
        <v>0</v>
      </c>
      <c r="T117" s="1">
        <v>0</v>
      </c>
      <c r="U117" s="1">
        <v>53.661000000000001</v>
      </c>
      <c r="V117" s="1">
        <v>23.934999999999999</v>
      </c>
      <c r="W117" s="1">
        <v>0.53</v>
      </c>
      <c r="X117" s="1">
        <v>0.125</v>
      </c>
      <c r="Y117" s="1">
        <v>24.06</v>
      </c>
      <c r="Z117" s="1">
        <v>1.091</v>
      </c>
      <c r="AA117" s="1">
        <v>-2.9</v>
      </c>
      <c r="AB117" s="1">
        <v>-2.9</v>
      </c>
      <c r="AC117" s="1">
        <v>-2.9</v>
      </c>
      <c r="AD117" s="1">
        <v>0.125</v>
      </c>
      <c r="AE117" s="1">
        <v>1.089</v>
      </c>
      <c r="AF117" s="1">
        <v>0.13600000000000001</v>
      </c>
      <c r="AG117" s="1">
        <v>-2.9</v>
      </c>
      <c r="AI117" s="1">
        <v>0</v>
      </c>
      <c r="AJ117" s="1">
        <v>0</v>
      </c>
      <c r="AK117" s="1">
        <v>0</v>
      </c>
      <c r="AL117" s="1">
        <v>1</v>
      </c>
      <c r="AM117" s="1">
        <v>86400</v>
      </c>
      <c r="AN117" s="1">
        <v>74913</v>
      </c>
      <c r="AO117" s="1">
        <v>11487</v>
      </c>
      <c r="AP117" s="1">
        <v>46890</v>
      </c>
      <c r="AQ117" s="1">
        <v>12.012680811710871</v>
      </c>
    </row>
    <row r="118" spans="1:43" x14ac:dyDescent="0.45">
      <c r="A118" s="1">
        <v>117</v>
      </c>
      <c r="B118" s="1">
        <v>439</v>
      </c>
      <c r="C118" s="1">
        <v>94</v>
      </c>
      <c r="D118" s="1" t="s">
        <v>82</v>
      </c>
      <c r="E118" s="1" t="s">
        <v>83</v>
      </c>
      <c r="F118" s="1" t="s">
        <v>84</v>
      </c>
      <c r="G118" s="1" t="s">
        <v>46</v>
      </c>
      <c r="H118" s="1" t="s">
        <v>47</v>
      </c>
      <c r="I118" s="1">
        <v>490</v>
      </c>
      <c r="J118" s="1">
        <v>12595</v>
      </c>
      <c r="K118" s="1">
        <v>1</v>
      </c>
      <c r="L118" s="1">
        <v>93</v>
      </c>
      <c r="M118" s="1">
        <v>1380</v>
      </c>
      <c r="N118" s="1" t="s">
        <v>48</v>
      </c>
      <c r="O118" s="1">
        <v>185014</v>
      </c>
      <c r="P118" s="1">
        <v>90</v>
      </c>
      <c r="Q118" s="1" t="s">
        <v>98</v>
      </c>
      <c r="R118" s="1" t="s">
        <v>50</v>
      </c>
      <c r="S118" s="1">
        <v>0</v>
      </c>
      <c r="T118" s="1">
        <v>0</v>
      </c>
      <c r="U118" s="1">
        <v>475.46899999999999</v>
      </c>
      <c r="V118" s="1">
        <v>23.841000000000001</v>
      </c>
      <c r="W118" s="1">
        <v>0.53</v>
      </c>
      <c r="X118" s="1">
        <v>0.189</v>
      </c>
      <c r="Y118" s="1">
        <v>24.03</v>
      </c>
      <c r="Z118" s="1">
        <v>0.29399999999999998</v>
      </c>
      <c r="AA118" s="1">
        <v>-2.7</v>
      </c>
      <c r="AB118" s="1">
        <v>-2.7</v>
      </c>
      <c r="AC118" s="1">
        <v>-2.7</v>
      </c>
      <c r="AD118" s="1">
        <v>0.189</v>
      </c>
      <c r="AE118" s="1">
        <v>0.29299999999999998</v>
      </c>
      <c r="AF118" s="1">
        <v>5.5E-2</v>
      </c>
      <c r="AG118" s="1">
        <v>-2.7</v>
      </c>
      <c r="AI118" s="1">
        <v>0</v>
      </c>
      <c r="AJ118" s="1">
        <v>0</v>
      </c>
      <c r="AK118" s="1">
        <v>0</v>
      </c>
      <c r="AL118" s="1">
        <v>1</v>
      </c>
      <c r="AM118" s="1">
        <v>86400</v>
      </c>
      <c r="AN118" s="1">
        <v>78826</v>
      </c>
      <c r="AO118" s="1">
        <v>7574</v>
      </c>
      <c r="AP118" s="1">
        <v>47159</v>
      </c>
      <c r="AQ118" s="1">
        <v>45.30645802650001</v>
      </c>
    </row>
    <row r="119" spans="1:43" x14ac:dyDescent="0.45">
      <c r="A119" s="1">
        <v>118</v>
      </c>
      <c r="B119" s="1">
        <v>439</v>
      </c>
      <c r="C119" s="1">
        <v>94</v>
      </c>
      <c r="D119" s="1" t="s">
        <v>82</v>
      </c>
      <c r="E119" s="1" t="s">
        <v>83</v>
      </c>
      <c r="F119" s="1" t="s">
        <v>84</v>
      </c>
      <c r="G119" s="1" t="s">
        <v>46</v>
      </c>
      <c r="H119" s="1" t="s">
        <v>47</v>
      </c>
      <c r="I119" s="1">
        <v>490</v>
      </c>
      <c r="J119" s="1">
        <v>12595</v>
      </c>
      <c r="K119" s="1">
        <v>1</v>
      </c>
      <c r="L119" s="1">
        <v>93</v>
      </c>
      <c r="M119" s="1">
        <v>1382</v>
      </c>
      <c r="N119" s="1" t="s">
        <v>48</v>
      </c>
      <c r="O119" s="1">
        <v>185061</v>
      </c>
      <c r="P119" s="1">
        <v>90</v>
      </c>
      <c r="Q119" s="1" t="s">
        <v>98</v>
      </c>
      <c r="R119" s="1" t="s">
        <v>50</v>
      </c>
      <c r="S119" s="1">
        <v>0</v>
      </c>
      <c r="T119" s="1">
        <v>0</v>
      </c>
      <c r="U119" s="1">
        <v>504.226</v>
      </c>
      <c r="V119" s="1">
        <v>23.829000000000001</v>
      </c>
      <c r="W119" s="1">
        <v>0.54</v>
      </c>
      <c r="X119" s="1">
        <v>0.19900000000000001</v>
      </c>
      <c r="Y119" s="1">
        <v>24.027999999999999</v>
      </c>
      <c r="Z119" s="1">
        <v>0.32</v>
      </c>
      <c r="AA119" s="1">
        <v>-2.8</v>
      </c>
      <c r="AB119" s="1">
        <v>-2.8</v>
      </c>
      <c r="AC119" s="1">
        <v>-2.8</v>
      </c>
      <c r="AD119" s="1">
        <v>0.19900000000000001</v>
      </c>
      <c r="AE119" s="1">
        <v>0.31900000000000001</v>
      </c>
      <c r="AF119" s="1">
        <v>6.3E-2</v>
      </c>
      <c r="AG119" s="1">
        <v>-2.8</v>
      </c>
      <c r="AI119" s="1">
        <v>0</v>
      </c>
      <c r="AJ119" s="1">
        <v>0</v>
      </c>
      <c r="AK119" s="1">
        <v>0</v>
      </c>
      <c r="AL119" s="1">
        <v>1</v>
      </c>
      <c r="AM119" s="1">
        <v>86400</v>
      </c>
      <c r="AN119" s="1">
        <v>79262</v>
      </c>
      <c r="AO119" s="1">
        <v>7138</v>
      </c>
      <c r="AP119" s="1">
        <v>47335</v>
      </c>
      <c r="AQ119" s="1">
        <v>0.85267399366333962</v>
      </c>
    </row>
    <row r="120" spans="1:43" x14ac:dyDescent="0.45">
      <c r="A120" s="1">
        <v>119</v>
      </c>
      <c r="B120" s="1">
        <v>439</v>
      </c>
      <c r="C120" s="1">
        <v>94</v>
      </c>
      <c r="D120" s="1" t="s">
        <v>82</v>
      </c>
      <c r="E120" s="1" t="s">
        <v>83</v>
      </c>
      <c r="F120" s="1" t="s">
        <v>84</v>
      </c>
      <c r="G120" s="1" t="s">
        <v>46</v>
      </c>
      <c r="H120" s="1" t="s">
        <v>47</v>
      </c>
      <c r="I120" s="1">
        <v>490</v>
      </c>
      <c r="J120" s="1">
        <v>12595</v>
      </c>
      <c r="K120" s="1">
        <v>1</v>
      </c>
      <c r="L120" s="1">
        <v>93</v>
      </c>
      <c r="M120" s="1">
        <v>1383</v>
      </c>
      <c r="N120" s="1" t="s">
        <v>48</v>
      </c>
      <c r="O120" s="1">
        <v>185062</v>
      </c>
      <c r="P120" s="1">
        <v>90</v>
      </c>
      <c r="Q120" s="1" t="s">
        <v>98</v>
      </c>
      <c r="R120" s="1" t="s">
        <v>50</v>
      </c>
      <c r="S120" s="1">
        <v>0</v>
      </c>
      <c r="T120" s="1">
        <v>0</v>
      </c>
      <c r="U120" s="1">
        <v>817.89</v>
      </c>
      <c r="V120" s="1">
        <v>23.803000000000001</v>
      </c>
      <c r="W120" s="1">
        <v>0.54</v>
      </c>
      <c r="X120" s="1">
        <v>0.22500000000000001</v>
      </c>
      <c r="Y120" s="1">
        <v>24.027999999999999</v>
      </c>
      <c r="Z120" s="1">
        <v>0.34</v>
      </c>
      <c r="AA120" s="1">
        <v>-3</v>
      </c>
      <c r="AB120" s="1">
        <v>-3</v>
      </c>
      <c r="AC120" s="1">
        <v>-3</v>
      </c>
      <c r="AD120" s="1">
        <v>0.22500000000000001</v>
      </c>
      <c r="AE120" s="1">
        <v>0.33900000000000002</v>
      </c>
      <c r="AF120" s="1">
        <v>7.5999999999999998E-2</v>
      </c>
      <c r="AG120" s="1">
        <v>-3</v>
      </c>
      <c r="AI120" s="1">
        <v>0</v>
      </c>
      <c r="AJ120" s="1">
        <v>0</v>
      </c>
      <c r="AK120" s="1">
        <v>0</v>
      </c>
      <c r="AL120" s="1">
        <v>1</v>
      </c>
      <c r="AM120" s="1">
        <v>86400</v>
      </c>
      <c r="AN120" s="1">
        <v>80572</v>
      </c>
      <c r="AO120" s="1">
        <v>5828</v>
      </c>
      <c r="AP120" s="1">
        <v>47163</v>
      </c>
      <c r="AQ120" s="1">
        <v>1.100552351128296</v>
      </c>
    </row>
    <row r="121" spans="1:43" x14ac:dyDescent="0.45">
      <c r="A121" s="1">
        <v>120</v>
      </c>
      <c r="B121" s="1">
        <v>439</v>
      </c>
      <c r="C121" s="1">
        <v>94</v>
      </c>
      <c r="D121" s="1" t="s">
        <v>82</v>
      </c>
      <c r="E121" s="1" t="s">
        <v>83</v>
      </c>
      <c r="F121" s="1" t="s">
        <v>84</v>
      </c>
      <c r="G121" s="1" t="s">
        <v>46</v>
      </c>
      <c r="H121" s="1" t="s">
        <v>47</v>
      </c>
      <c r="I121" s="1">
        <v>490</v>
      </c>
      <c r="J121" s="1">
        <v>12595</v>
      </c>
      <c r="K121" s="1">
        <v>1</v>
      </c>
      <c r="L121" s="1">
        <v>93</v>
      </c>
      <c r="M121" s="1">
        <v>1384</v>
      </c>
      <c r="N121" s="1" t="s">
        <v>48</v>
      </c>
      <c r="O121" s="1">
        <v>185063</v>
      </c>
      <c r="P121" s="1">
        <v>90</v>
      </c>
      <c r="Q121" s="1" t="s">
        <v>98</v>
      </c>
      <c r="R121" s="1" t="s">
        <v>50</v>
      </c>
      <c r="S121" s="1">
        <v>0</v>
      </c>
      <c r="T121" s="1">
        <v>0</v>
      </c>
      <c r="U121" s="1">
        <v>330.41199999999998</v>
      </c>
      <c r="V121" s="1">
        <v>23.858000000000001</v>
      </c>
      <c r="W121" s="1">
        <v>0.53</v>
      </c>
      <c r="X121" s="1">
        <v>0.17199999999999999</v>
      </c>
      <c r="Y121" s="1">
        <v>24.03</v>
      </c>
      <c r="Z121" s="1">
        <v>0.41599999999999998</v>
      </c>
      <c r="AA121" s="1">
        <v>-3</v>
      </c>
      <c r="AB121" s="1">
        <v>-3</v>
      </c>
      <c r="AC121" s="1">
        <v>-3</v>
      </c>
      <c r="AD121" s="1">
        <v>0.17199999999999999</v>
      </c>
      <c r="AE121" s="1">
        <v>0.41499999999999998</v>
      </c>
      <c r="AF121" s="1">
        <v>7.1999999999999995E-2</v>
      </c>
      <c r="AG121" s="1">
        <v>-3</v>
      </c>
      <c r="AI121" s="1">
        <v>0</v>
      </c>
      <c r="AJ121" s="1">
        <v>0</v>
      </c>
      <c r="AK121" s="1">
        <v>0</v>
      </c>
      <c r="AL121" s="1">
        <v>1</v>
      </c>
      <c r="AM121" s="1">
        <v>86400</v>
      </c>
      <c r="AN121" s="1">
        <v>78150</v>
      </c>
      <c r="AO121" s="1">
        <v>8250</v>
      </c>
      <c r="AP121" s="1">
        <v>47411</v>
      </c>
      <c r="AQ121" s="1">
        <v>25.41992129785066</v>
      </c>
    </row>
    <row r="122" spans="1:43" x14ac:dyDescent="0.45">
      <c r="A122" s="1">
        <v>121</v>
      </c>
      <c r="B122" s="1">
        <v>439</v>
      </c>
      <c r="C122" s="1">
        <v>94</v>
      </c>
      <c r="D122" s="1" t="s">
        <v>82</v>
      </c>
      <c r="E122" s="1" t="s">
        <v>83</v>
      </c>
      <c r="F122" s="1" t="s">
        <v>84</v>
      </c>
      <c r="G122" s="1" t="s">
        <v>46</v>
      </c>
      <c r="H122" s="1" t="s">
        <v>47</v>
      </c>
      <c r="I122" s="1">
        <v>490</v>
      </c>
      <c r="J122" s="1">
        <v>12595</v>
      </c>
      <c r="K122" s="1">
        <v>1</v>
      </c>
      <c r="L122" s="1">
        <v>93</v>
      </c>
      <c r="M122" s="1">
        <v>1385</v>
      </c>
      <c r="N122" s="1" t="s">
        <v>48</v>
      </c>
      <c r="O122" s="1">
        <v>185064</v>
      </c>
      <c r="P122" s="1">
        <v>90</v>
      </c>
      <c r="Q122" s="1" t="s">
        <v>98</v>
      </c>
      <c r="R122" s="1" t="s">
        <v>50</v>
      </c>
      <c r="S122" s="1">
        <v>0</v>
      </c>
      <c r="T122" s="1">
        <v>0</v>
      </c>
      <c r="U122" s="1">
        <v>177.54</v>
      </c>
      <c r="V122" s="1">
        <v>23.756</v>
      </c>
      <c r="W122" s="1">
        <v>0.56000000000000005</v>
      </c>
      <c r="X122" s="1">
        <v>0.26400000000000001</v>
      </c>
      <c r="Y122" s="1">
        <v>24.02</v>
      </c>
      <c r="Z122" s="1">
        <v>0.63600000000000001</v>
      </c>
      <c r="AA122" s="1">
        <v>-2.9</v>
      </c>
      <c r="AB122" s="1">
        <v>-2.9</v>
      </c>
      <c r="AC122" s="1">
        <v>-2.9</v>
      </c>
      <c r="AD122" s="1">
        <v>0.26400000000000001</v>
      </c>
      <c r="AE122" s="1">
        <v>0.63600000000000001</v>
      </c>
      <c r="AF122" s="1">
        <v>0.16800000000000001</v>
      </c>
      <c r="AG122" s="1">
        <v>-2.9</v>
      </c>
      <c r="AI122" s="1">
        <v>0</v>
      </c>
      <c r="AJ122" s="1">
        <v>0</v>
      </c>
      <c r="AK122" s="1">
        <v>0</v>
      </c>
      <c r="AL122" s="1">
        <v>1</v>
      </c>
      <c r="AM122" s="1">
        <v>86400</v>
      </c>
      <c r="AN122" s="1">
        <v>80693</v>
      </c>
      <c r="AO122" s="1">
        <v>5707</v>
      </c>
      <c r="AP122" s="1">
        <v>47320</v>
      </c>
      <c r="AQ122" s="1">
        <v>1.259733542848309</v>
      </c>
    </row>
    <row r="123" spans="1:43" x14ac:dyDescent="0.45">
      <c r="A123" s="1">
        <v>122</v>
      </c>
      <c r="B123" s="1">
        <v>439</v>
      </c>
      <c r="C123" s="1">
        <v>94</v>
      </c>
      <c r="D123" s="1" t="s">
        <v>82</v>
      </c>
      <c r="E123" s="1" t="s">
        <v>83</v>
      </c>
      <c r="F123" s="1" t="s">
        <v>84</v>
      </c>
      <c r="G123" s="1" t="s">
        <v>46</v>
      </c>
      <c r="H123" s="1" t="s">
        <v>47</v>
      </c>
      <c r="I123" s="1">
        <v>490</v>
      </c>
      <c r="J123" s="1">
        <v>12595</v>
      </c>
      <c r="K123" s="1">
        <v>1</v>
      </c>
      <c r="L123" s="1">
        <v>93</v>
      </c>
      <c r="M123" s="1">
        <v>1387</v>
      </c>
      <c r="N123" s="1" t="s">
        <v>48</v>
      </c>
      <c r="O123" s="1">
        <v>185078</v>
      </c>
      <c r="P123" s="1">
        <v>90</v>
      </c>
      <c r="Q123" s="1" t="s">
        <v>98</v>
      </c>
      <c r="R123" s="1" t="s">
        <v>50</v>
      </c>
      <c r="S123" s="1">
        <v>0</v>
      </c>
      <c r="T123" s="1">
        <v>0</v>
      </c>
      <c r="U123" s="1">
        <v>88.46</v>
      </c>
      <c r="V123" s="1">
        <v>24.093</v>
      </c>
      <c r="W123" s="1">
        <v>0.54</v>
      </c>
      <c r="X123" s="1">
        <v>0.15</v>
      </c>
      <c r="Y123" s="1">
        <v>24.242999999999999</v>
      </c>
      <c r="Z123" s="1">
        <v>0.89</v>
      </c>
      <c r="AA123" s="1">
        <v>-3</v>
      </c>
      <c r="AB123" s="1">
        <v>-3</v>
      </c>
      <c r="AC123" s="1">
        <v>-3</v>
      </c>
      <c r="AD123" s="1">
        <v>0.15</v>
      </c>
      <c r="AE123" s="1">
        <v>0.88900000000000001</v>
      </c>
      <c r="AF123" s="1">
        <v>0.13300000000000001</v>
      </c>
      <c r="AG123" s="1">
        <v>-3</v>
      </c>
      <c r="AI123" s="1">
        <v>0</v>
      </c>
      <c r="AJ123" s="1">
        <v>0</v>
      </c>
      <c r="AK123" s="1">
        <v>0</v>
      </c>
      <c r="AL123" s="1">
        <v>1</v>
      </c>
      <c r="AM123" s="1">
        <v>65496</v>
      </c>
      <c r="AN123" s="1">
        <v>36650</v>
      </c>
      <c r="AO123" s="1">
        <v>28846</v>
      </c>
      <c r="AP123" s="1">
        <v>47277</v>
      </c>
      <c r="AQ123" s="1">
        <v>13.972522456240981</v>
      </c>
    </row>
    <row r="124" spans="1:43" x14ac:dyDescent="0.45">
      <c r="A124" s="1">
        <v>123</v>
      </c>
      <c r="B124" s="1">
        <v>439</v>
      </c>
      <c r="C124" s="1">
        <v>94</v>
      </c>
      <c r="D124" s="1" t="s">
        <v>82</v>
      </c>
      <c r="E124" s="1" t="s">
        <v>83</v>
      </c>
      <c r="F124" s="1" t="s">
        <v>84</v>
      </c>
      <c r="G124" s="1" t="s">
        <v>46</v>
      </c>
      <c r="H124" s="1" t="s">
        <v>47</v>
      </c>
      <c r="I124" s="1">
        <v>490</v>
      </c>
      <c r="J124" s="1">
        <v>12595</v>
      </c>
      <c r="K124" s="1">
        <v>1</v>
      </c>
      <c r="L124" s="1">
        <v>93</v>
      </c>
      <c r="M124" s="1">
        <v>1388</v>
      </c>
      <c r="N124" s="1" t="s">
        <v>48</v>
      </c>
      <c r="O124" s="1">
        <v>185085</v>
      </c>
      <c r="P124" s="1">
        <v>90</v>
      </c>
      <c r="Q124" s="1" t="s">
        <v>98</v>
      </c>
      <c r="R124" s="1" t="s">
        <v>50</v>
      </c>
      <c r="S124" s="1">
        <v>0</v>
      </c>
      <c r="T124" s="1">
        <v>0</v>
      </c>
      <c r="U124" s="1">
        <v>144.268</v>
      </c>
      <c r="V124" s="1">
        <v>24.087</v>
      </c>
      <c r="W124" s="1">
        <v>0.53</v>
      </c>
      <c r="X124" s="1">
        <v>0.16400000000000001</v>
      </c>
      <c r="Y124" s="1">
        <v>24.251000000000001</v>
      </c>
      <c r="Z124" s="1">
        <v>0.20200000000000001</v>
      </c>
      <c r="AA124" s="1">
        <v>-0.8</v>
      </c>
      <c r="AB124" s="1">
        <v>-0.9</v>
      </c>
      <c r="AC124" s="1">
        <v>-0.9</v>
      </c>
      <c r="AD124" s="1">
        <v>0.16400000000000001</v>
      </c>
      <c r="AE124" s="1">
        <v>0.17699999999999999</v>
      </c>
      <c r="AF124" s="1">
        <v>2.9000000000000001E-2</v>
      </c>
      <c r="AG124" s="1">
        <v>-0.8</v>
      </c>
      <c r="AI124" s="1">
        <v>0</v>
      </c>
      <c r="AJ124" s="1">
        <v>0</v>
      </c>
      <c r="AK124" s="1">
        <v>0</v>
      </c>
      <c r="AL124" s="1">
        <v>1</v>
      </c>
      <c r="AM124" s="1">
        <v>86400</v>
      </c>
      <c r="AN124" s="1">
        <v>76726</v>
      </c>
      <c r="AO124" s="1">
        <v>9674</v>
      </c>
      <c r="AP124" s="1">
        <v>47101</v>
      </c>
      <c r="AQ124" s="1">
        <v>20.343411932456</v>
      </c>
    </row>
    <row r="125" spans="1:43" x14ac:dyDescent="0.45">
      <c r="A125" s="1">
        <v>124</v>
      </c>
      <c r="B125" s="1">
        <v>439</v>
      </c>
      <c r="C125" s="1">
        <v>94</v>
      </c>
      <c r="D125" s="1" t="s">
        <v>82</v>
      </c>
      <c r="E125" s="1" t="s">
        <v>83</v>
      </c>
      <c r="F125" s="1" t="s">
        <v>84</v>
      </c>
      <c r="G125" s="1" t="s">
        <v>46</v>
      </c>
      <c r="H125" s="1" t="s">
        <v>47</v>
      </c>
      <c r="I125" s="1">
        <v>490</v>
      </c>
      <c r="J125" s="1">
        <v>12595</v>
      </c>
      <c r="K125" s="1">
        <v>1</v>
      </c>
      <c r="L125" s="1">
        <v>93</v>
      </c>
      <c r="M125" s="1">
        <v>1389</v>
      </c>
      <c r="N125" s="1" t="s">
        <v>48</v>
      </c>
      <c r="O125" s="1">
        <v>185086</v>
      </c>
      <c r="P125" s="1">
        <v>90</v>
      </c>
      <c r="Q125" s="1" t="s">
        <v>98</v>
      </c>
      <c r="R125" s="1" t="s">
        <v>50</v>
      </c>
      <c r="S125" s="1">
        <v>0</v>
      </c>
      <c r="T125" s="1">
        <v>0</v>
      </c>
      <c r="U125" s="1">
        <v>153.83099999999999</v>
      </c>
      <c r="V125" s="1">
        <v>24.013000000000002</v>
      </c>
      <c r="W125" s="1">
        <v>0.54</v>
      </c>
      <c r="X125" s="1">
        <v>0.23599999999999999</v>
      </c>
      <c r="Y125" s="1">
        <v>24.25</v>
      </c>
      <c r="Z125" s="1">
        <v>0.125</v>
      </c>
      <c r="AA125" s="1">
        <v>-1.5</v>
      </c>
      <c r="AB125" s="1">
        <v>-1.5</v>
      </c>
      <c r="AC125" s="1">
        <v>-1.5</v>
      </c>
      <c r="AD125" s="1">
        <v>0.23599999999999999</v>
      </c>
      <c r="AE125" s="1">
        <v>0.125</v>
      </c>
      <c r="AF125" s="1">
        <v>2.9000000000000001E-2</v>
      </c>
      <c r="AG125" s="1">
        <v>-1.5</v>
      </c>
      <c r="AI125" s="1">
        <v>0</v>
      </c>
      <c r="AJ125" s="1">
        <v>0</v>
      </c>
      <c r="AK125" s="1">
        <v>0</v>
      </c>
      <c r="AL125" s="1">
        <v>1</v>
      </c>
      <c r="AM125" s="1">
        <v>86400</v>
      </c>
      <c r="AN125" s="1">
        <v>78441</v>
      </c>
      <c r="AO125" s="1">
        <v>7959</v>
      </c>
      <c r="AP125" s="1">
        <v>47052</v>
      </c>
      <c r="AQ125" s="1">
        <v>1.639109390592568</v>
      </c>
    </row>
    <row r="126" spans="1:43" x14ac:dyDescent="0.45">
      <c r="A126" s="1">
        <v>125</v>
      </c>
      <c r="B126" s="1">
        <v>446</v>
      </c>
      <c r="C126" s="1">
        <v>97</v>
      </c>
      <c r="D126" s="1" t="s">
        <v>85</v>
      </c>
      <c r="E126" s="1" t="s">
        <v>86</v>
      </c>
      <c r="F126" s="1" t="s">
        <v>87</v>
      </c>
      <c r="G126" s="1" t="s">
        <v>46</v>
      </c>
      <c r="H126" s="1" t="s">
        <v>47</v>
      </c>
      <c r="I126" s="1">
        <v>1089</v>
      </c>
      <c r="J126" s="1">
        <v>26566</v>
      </c>
      <c r="K126" s="1">
        <v>1</v>
      </c>
      <c r="L126" s="1">
        <v>96</v>
      </c>
      <c r="M126" s="1">
        <v>1371</v>
      </c>
      <c r="N126" s="1" t="s">
        <v>48</v>
      </c>
      <c r="O126" s="1">
        <v>184863</v>
      </c>
      <c r="P126" s="1">
        <v>90</v>
      </c>
      <c r="Q126" s="1" t="s">
        <v>98</v>
      </c>
      <c r="R126" s="1" t="s">
        <v>50</v>
      </c>
      <c r="S126" s="1">
        <v>0</v>
      </c>
      <c r="T126" s="1">
        <v>0</v>
      </c>
      <c r="U126" s="1">
        <v>325.68799999999999</v>
      </c>
      <c r="V126" s="1">
        <v>24.777999999999999</v>
      </c>
      <c r="W126" s="1">
        <v>0.53</v>
      </c>
      <c r="X126" s="1">
        <v>0.16</v>
      </c>
      <c r="Y126" s="1">
        <v>24.937999999999999</v>
      </c>
      <c r="Z126" s="1">
        <v>9.1999999999999998E-2</v>
      </c>
      <c r="AA126" s="1">
        <v>1.5</v>
      </c>
      <c r="AB126" s="1">
        <v>1.5</v>
      </c>
      <c r="AC126" s="1">
        <v>1.5</v>
      </c>
      <c r="AD126" s="1">
        <v>0.16</v>
      </c>
      <c r="AE126" s="1">
        <v>9.1999999999999998E-2</v>
      </c>
      <c r="AF126" s="1">
        <v>1.4999999999999999E-2</v>
      </c>
      <c r="AG126" s="1">
        <v>1.5</v>
      </c>
      <c r="AI126" s="1">
        <v>0</v>
      </c>
      <c r="AJ126" s="1">
        <v>0</v>
      </c>
      <c r="AK126" s="1">
        <v>0</v>
      </c>
      <c r="AL126" s="1">
        <v>1</v>
      </c>
      <c r="AM126" s="1">
        <v>86400</v>
      </c>
      <c r="AN126" s="1">
        <v>80395</v>
      </c>
      <c r="AO126" s="1">
        <v>6005</v>
      </c>
      <c r="AP126" s="1">
        <v>46956</v>
      </c>
      <c r="AQ126" s="1">
        <v>15.74861294678051</v>
      </c>
    </row>
    <row r="127" spans="1:43" x14ac:dyDescent="0.45">
      <c r="A127" s="1">
        <v>126</v>
      </c>
      <c r="B127" s="1">
        <v>446</v>
      </c>
      <c r="C127" s="1">
        <v>97</v>
      </c>
      <c r="D127" s="1" t="s">
        <v>85</v>
      </c>
      <c r="E127" s="1" t="s">
        <v>86</v>
      </c>
      <c r="F127" s="1" t="s">
        <v>87</v>
      </c>
      <c r="G127" s="1" t="s">
        <v>46</v>
      </c>
      <c r="H127" s="1" t="s">
        <v>47</v>
      </c>
      <c r="I127" s="1">
        <v>1089</v>
      </c>
      <c r="J127" s="1">
        <v>26566</v>
      </c>
      <c r="K127" s="1">
        <v>1</v>
      </c>
      <c r="L127" s="1">
        <v>96</v>
      </c>
      <c r="M127" s="1">
        <v>1372</v>
      </c>
      <c r="N127" s="1" t="s">
        <v>48</v>
      </c>
      <c r="O127" s="1">
        <v>184866</v>
      </c>
      <c r="P127" s="1">
        <v>90</v>
      </c>
      <c r="Q127" s="1" t="s">
        <v>98</v>
      </c>
      <c r="R127" s="1" t="s">
        <v>50</v>
      </c>
      <c r="S127" s="1">
        <v>0</v>
      </c>
      <c r="T127" s="1">
        <v>0</v>
      </c>
      <c r="U127" s="1">
        <v>867.36900000000003</v>
      </c>
      <c r="V127" s="1">
        <v>24.741</v>
      </c>
      <c r="W127" s="1">
        <v>0.53</v>
      </c>
      <c r="X127" s="1">
        <v>0.19700000000000001</v>
      </c>
      <c r="Y127" s="1">
        <v>24.937999999999999</v>
      </c>
      <c r="Z127" s="1">
        <v>0.129</v>
      </c>
      <c r="AA127" s="1">
        <v>2.8</v>
      </c>
      <c r="AB127" s="1">
        <v>2.8</v>
      </c>
      <c r="AC127" s="1">
        <v>2.8</v>
      </c>
      <c r="AD127" s="1">
        <v>0.19700000000000001</v>
      </c>
      <c r="AE127" s="1">
        <v>0.128</v>
      </c>
      <c r="AF127" s="1">
        <v>2.5000000000000001E-2</v>
      </c>
      <c r="AG127" s="1">
        <v>2.8</v>
      </c>
      <c r="AI127" s="1">
        <v>0</v>
      </c>
      <c r="AJ127" s="1">
        <v>0</v>
      </c>
      <c r="AK127" s="1">
        <v>0</v>
      </c>
      <c r="AL127" s="1">
        <v>1</v>
      </c>
      <c r="AM127" s="1">
        <v>86400</v>
      </c>
      <c r="AN127" s="1">
        <v>72303</v>
      </c>
      <c r="AO127" s="1">
        <v>14097</v>
      </c>
      <c r="AP127" s="1">
        <v>43692</v>
      </c>
      <c r="AQ127" s="1">
        <v>1.37213259683311</v>
      </c>
    </row>
    <row r="128" spans="1:43" x14ac:dyDescent="0.45">
      <c r="A128" s="1">
        <v>127</v>
      </c>
      <c r="B128" s="1">
        <v>446</v>
      </c>
      <c r="C128" s="1">
        <v>97</v>
      </c>
      <c r="D128" s="1" t="s">
        <v>85</v>
      </c>
      <c r="E128" s="1" t="s">
        <v>86</v>
      </c>
      <c r="F128" s="1" t="s">
        <v>87</v>
      </c>
      <c r="G128" s="1" t="s">
        <v>46</v>
      </c>
      <c r="H128" s="1" t="s">
        <v>47</v>
      </c>
      <c r="I128" s="1">
        <v>1089</v>
      </c>
      <c r="J128" s="1">
        <v>26566</v>
      </c>
      <c r="K128" s="1">
        <v>1</v>
      </c>
      <c r="L128" s="1">
        <v>96</v>
      </c>
      <c r="M128" s="1">
        <v>1373</v>
      </c>
      <c r="N128" s="1" t="s">
        <v>48</v>
      </c>
      <c r="O128" s="1">
        <v>184873</v>
      </c>
      <c r="P128" s="1">
        <v>90</v>
      </c>
      <c r="Q128" s="1" t="s">
        <v>98</v>
      </c>
      <c r="R128" s="1" t="s">
        <v>50</v>
      </c>
      <c r="S128" s="1">
        <v>0</v>
      </c>
      <c r="T128" s="1">
        <v>0</v>
      </c>
      <c r="U128" s="1">
        <v>89.039000000000001</v>
      </c>
      <c r="V128" s="1">
        <v>24.5</v>
      </c>
      <c r="W128" s="1">
        <v>0.56999999999999995</v>
      </c>
      <c r="X128" s="1">
        <v>0.438</v>
      </c>
      <c r="Y128" s="1">
        <v>24.937999999999999</v>
      </c>
      <c r="Z128" s="1">
        <v>3.3000000000000002E-2</v>
      </c>
      <c r="AA128" s="1">
        <v>-0.9</v>
      </c>
      <c r="AB128" s="1">
        <v>-1.9</v>
      </c>
      <c r="AC128" s="1">
        <v>-1.9</v>
      </c>
      <c r="AD128" s="1">
        <v>0.438</v>
      </c>
      <c r="AE128" s="1">
        <v>1.2E-2</v>
      </c>
      <c r="AF128" s="1">
        <v>1.4E-2</v>
      </c>
      <c r="AG128" s="1">
        <v>-0.9</v>
      </c>
      <c r="AI128" s="1">
        <v>0</v>
      </c>
      <c r="AJ128" s="1">
        <v>0</v>
      </c>
      <c r="AK128" s="1">
        <v>0</v>
      </c>
      <c r="AL128" s="1">
        <v>1</v>
      </c>
      <c r="AM128" s="1">
        <v>86400</v>
      </c>
      <c r="AN128" s="1">
        <v>79373</v>
      </c>
      <c r="AO128" s="1">
        <v>7027</v>
      </c>
      <c r="AP128" s="1">
        <v>43570</v>
      </c>
      <c r="AQ128" s="1">
        <v>23.23517241928969</v>
      </c>
    </row>
    <row r="129" spans="1:43" x14ac:dyDescent="0.45">
      <c r="A129" s="1">
        <v>128</v>
      </c>
      <c r="B129" s="1">
        <v>446</v>
      </c>
      <c r="C129" s="1">
        <v>97</v>
      </c>
      <c r="D129" s="1" t="s">
        <v>85</v>
      </c>
      <c r="E129" s="1" t="s">
        <v>86</v>
      </c>
      <c r="F129" s="1" t="s">
        <v>87</v>
      </c>
      <c r="G129" s="1" t="s">
        <v>46</v>
      </c>
      <c r="H129" s="1" t="s">
        <v>47</v>
      </c>
      <c r="I129" s="1">
        <v>1089</v>
      </c>
      <c r="J129" s="1">
        <v>26566</v>
      </c>
      <c r="K129" s="1">
        <v>1</v>
      </c>
      <c r="L129" s="1">
        <v>96</v>
      </c>
      <c r="M129" s="1">
        <v>1374</v>
      </c>
      <c r="N129" s="1" t="s">
        <v>48</v>
      </c>
      <c r="O129" s="1">
        <v>184874</v>
      </c>
      <c r="P129" s="1">
        <v>90</v>
      </c>
      <c r="Q129" s="1" t="s">
        <v>98</v>
      </c>
      <c r="R129" s="1" t="s">
        <v>50</v>
      </c>
      <c r="S129" s="1">
        <v>0</v>
      </c>
      <c r="T129" s="1">
        <v>0</v>
      </c>
      <c r="U129" s="1">
        <v>429.66300000000001</v>
      </c>
      <c r="V129" s="1">
        <v>24.591999999999999</v>
      </c>
      <c r="W129" s="1">
        <v>0.55000000000000004</v>
      </c>
      <c r="X129" s="1">
        <v>0.34599999999999997</v>
      </c>
      <c r="Y129" s="1">
        <v>24.937999999999999</v>
      </c>
      <c r="Z129" s="1">
        <v>5.7000000000000002E-2</v>
      </c>
      <c r="AA129" s="1">
        <v>-2.6</v>
      </c>
      <c r="AB129" s="1">
        <v>-2.6</v>
      </c>
      <c r="AC129" s="1">
        <v>-2.6</v>
      </c>
      <c r="AD129" s="1">
        <v>0.34599999999999997</v>
      </c>
      <c r="AE129" s="1">
        <v>5.7000000000000002E-2</v>
      </c>
      <c r="AF129" s="1">
        <v>0.02</v>
      </c>
      <c r="AG129" s="1">
        <v>-2.6</v>
      </c>
      <c r="AI129" s="1">
        <v>0</v>
      </c>
      <c r="AJ129" s="1">
        <v>0</v>
      </c>
      <c r="AK129" s="1">
        <v>0</v>
      </c>
      <c r="AL129" s="1">
        <v>1</v>
      </c>
      <c r="AM129" s="1">
        <v>86400</v>
      </c>
      <c r="AN129" s="1">
        <v>77340</v>
      </c>
      <c r="AO129" s="1">
        <v>9060</v>
      </c>
      <c r="AP129" s="1">
        <v>43603</v>
      </c>
      <c r="AQ129" s="1">
        <v>36.228889069663921</v>
      </c>
    </row>
    <row r="130" spans="1:43" x14ac:dyDescent="0.45">
      <c r="A130" s="1">
        <v>129</v>
      </c>
      <c r="B130" s="1">
        <v>446</v>
      </c>
      <c r="C130" s="1">
        <v>97</v>
      </c>
      <c r="D130" s="1" t="s">
        <v>85</v>
      </c>
      <c r="E130" s="1" t="s">
        <v>86</v>
      </c>
      <c r="F130" s="1" t="s">
        <v>87</v>
      </c>
      <c r="G130" s="1" t="s">
        <v>46</v>
      </c>
      <c r="H130" s="1" t="s">
        <v>47</v>
      </c>
      <c r="I130" s="1">
        <v>1089</v>
      </c>
      <c r="J130" s="1">
        <v>26566</v>
      </c>
      <c r="K130" s="1">
        <v>1</v>
      </c>
      <c r="L130" s="1">
        <v>96</v>
      </c>
      <c r="M130" s="1">
        <v>1375</v>
      </c>
      <c r="N130" s="1" t="s">
        <v>48</v>
      </c>
      <c r="O130" s="1">
        <v>184875</v>
      </c>
      <c r="P130" s="1">
        <v>90</v>
      </c>
      <c r="Q130" s="1" t="s">
        <v>98</v>
      </c>
      <c r="R130" s="1" t="s">
        <v>50</v>
      </c>
      <c r="S130" s="1">
        <v>0</v>
      </c>
      <c r="T130" s="1">
        <v>0</v>
      </c>
      <c r="U130" s="1">
        <v>213.364</v>
      </c>
      <c r="V130" s="1">
        <v>24.367999999999999</v>
      </c>
      <c r="W130" s="1">
        <v>0.59</v>
      </c>
      <c r="X130" s="1">
        <v>0.56999999999999995</v>
      </c>
      <c r="Y130" s="1">
        <v>24.937999999999999</v>
      </c>
      <c r="Z130" s="1">
        <v>3.5000000000000003E-2</v>
      </c>
      <c r="AA130" s="1">
        <v>-0.9</v>
      </c>
      <c r="AB130" s="1">
        <v>2.7</v>
      </c>
      <c r="AC130" s="1">
        <v>2.7</v>
      </c>
      <c r="AD130" s="1">
        <v>0.56999999999999995</v>
      </c>
      <c r="AE130" s="1">
        <v>2.9000000000000001E-2</v>
      </c>
      <c r="AF130" s="1">
        <v>1.6E-2</v>
      </c>
      <c r="AG130" s="1">
        <v>-0.9</v>
      </c>
      <c r="AI130" s="1">
        <v>0</v>
      </c>
      <c r="AJ130" s="1">
        <v>0</v>
      </c>
      <c r="AK130" s="1">
        <v>0</v>
      </c>
      <c r="AL130" s="1">
        <v>1</v>
      </c>
      <c r="AM130" s="1">
        <v>86400</v>
      </c>
      <c r="AN130" s="1">
        <v>81094</v>
      </c>
      <c r="AO130" s="1">
        <v>5306</v>
      </c>
      <c r="AP130" s="1">
        <v>43971</v>
      </c>
      <c r="AQ130" s="1">
        <v>2.3289428131713419</v>
      </c>
    </row>
    <row r="131" spans="1:43" x14ac:dyDescent="0.45">
      <c r="A131" s="1">
        <v>130</v>
      </c>
      <c r="B131" s="1">
        <v>446</v>
      </c>
      <c r="C131" s="1">
        <v>97</v>
      </c>
      <c r="D131" s="1" t="s">
        <v>85</v>
      </c>
      <c r="E131" s="1" t="s">
        <v>86</v>
      </c>
      <c r="F131" s="1" t="s">
        <v>87</v>
      </c>
      <c r="G131" s="1" t="s">
        <v>46</v>
      </c>
      <c r="H131" s="1" t="s">
        <v>47</v>
      </c>
      <c r="I131" s="1">
        <v>1089</v>
      </c>
      <c r="J131" s="1">
        <v>26566</v>
      </c>
      <c r="K131" s="1">
        <v>1</v>
      </c>
      <c r="L131" s="1">
        <v>96</v>
      </c>
      <c r="M131" s="1">
        <v>1376</v>
      </c>
      <c r="N131" s="1" t="s">
        <v>48</v>
      </c>
      <c r="O131" s="1">
        <v>184876</v>
      </c>
      <c r="P131" s="1">
        <v>90</v>
      </c>
      <c r="Q131" s="1" t="s">
        <v>98</v>
      </c>
      <c r="R131" s="1" t="s">
        <v>50</v>
      </c>
      <c r="S131" s="1">
        <v>0</v>
      </c>
      <c r="T131" s="1">
        <v>0</v>
      </c>
      <c r="U131" s="1">
        <v>217.46</v>
      </c>
      <c r="V131" s="1">
        <v>24.515000000000001</v>
      </c>
      <c r="W131" s="1">
        <v>0.56999999999999995</v>
      </c>
      <c r="X131" s="1">
        <v>0.42299999999999999</v>
      </c>
      <c r="Y131" s="1">
        <v>24.937999999999999</v>
      </c>
      <c r="Z131" s="1">
        <v>4.1000000000000002E-2</v>
      </c>
      <c r="AA131" s="1">
        <v>0.7</v>
      </c>
      <c r="AB131" s="1">
        <v>0.8</v>
      </c>
      <c r="AC131" s="1">
        <v>0.8</v>
      </c>
      <c r="AD131" s="1">
        <v>0.42299999999999999</v>
      </c>
      <c r="AE131" s="1">
        <v>0.04</v>
      </c>
      <c r="AF131" s="1">
        <v>1.7000000000000001E-2</v>
      </c>
      <c r="AG131" s="1">
        <v>0.7</v>
      </c>
      <c r="AI131" s="1">
        <v>0</v>
      </c>
      <c r="AJ131" s="1">
        <v>0</v>
      </c>
      <c r="AK131" s="1">
        <v>0</v>
      </c>
      <c r="AL131" s="1">
        <v>1</v>
      </c>
      <c r="AM131" s="1">
        <v>86400</v>
      </c>
      <c r="AN131" s="1">
        <v>79025</v>
      </c>
      <c r="AO131" s="1">
        <v>7375</v>
      </c>
      <c r="AP131" s="1">
        <v>46819</v>
      </c>
      <c r="AQ131" s="1">
        <v>19.045530927795099</v>
      </c>
    </row>
    <row r="132" spans="1:43" x14ac:dyDescent="0.45">
      <c r="A132" s="1">
        <v>131</v>
      </c>
      <c r="B132" s="1">
        <v>446</v>
      </c>
      <c r="C132" s="1">
        <v>97</v>
      </c>
      <c r="D132" s="1" t="s">
        <v>85</v>
      </c>
      <c r="E132" s="1" t="s">
        <v>86</v>
      </c>
      <c r="F132" s="1" t="s">
        <v>87</v>
      </c>
      <c r="G132" s="1" t="s">
        <v>46</v>
      </c>
      <c r="H132" s="1" t="s">
        <v>47</v>
      </c>
      <c r="I132" s="1">
        <v>1089</v>
      </c>
      <c r="J132" s="1">
        <v>26566</v>
      </c>
      <c r="K132" s="1">
        <v>1</v>
      </c>
      <c r="L132" s="1">
        <v>96</v>
      </c>
      <c r="M132" s="1">
        <v>1378</v>
      </c>
      <c r="N132" s="1" t="s">
        <v>48</v>
      </c>
      <c r="O132" s="1">
        <v>184955</v>
      </c>
      <c r="P132" s="1">
        <v>90</v>
      </c>
      <c r="Q132" s="1" t="s">
        <v>98</v>
      </c>
      <c r="R132" s="1" t="s">
        <v>50</v>
      </c>
      <c r="S132" s="1">
        <v>0</v>
      </c>
      <c r="T132" s="1">
        <v>0</v>
      </c>
      <c r="U132" s="1">
        <v>142.041</v>
      </c>
      <c r="V132" s="1">
        <v>25.390999999999998</v>
      </c>
      <c r="W132" s="1">
        <v>0.52</v>
      </c>
      <c r="X132" s="1">
        <v>0.108</v>
      </c>
      <c r="Y132" s="1">
        <v>25.5</v>
      </c>
      <c r="Z132" s="1">
        <v>0.18099999999999999</v>
      </c>
      <c r="AA132" s="1">
        <v>-1.2</v>
      </c>
      <c r="AB132" s="1">
        <v>-1.2</v>
      </c>
      <c r="AC132" s="1">
        <v>-1.2</v>
      </c>
      <c r="AD132" s="1">
        <v>0.108</v>
      </c>
      <c r="AE132" s="1">
        <v>0.18099999999999999</v>
      </c>
      <c r="AF132" s="1">
        <v>0.02</v>
      </c>
      <c r="AG132" s="1">
        <v>-1.2</v>
      </c>
      <c r="AI132" s="1">
        <v>0</v>
      </c>
      <c r="AJ132" s="1">
        <v>0</v>
      </c>
      <c r="AK132" s="1">
        <v>0</v>
      </c>
      <c r="AL132" s="1">
        <v>1</v>
      </c>
      <c r="AM132" s="1">
        <v>86400</v>
      </c>
      <c r="AN132" s="1">
        <v>75463</v>
      </c>
      <c r="AO132" s="1">
        <v>10937</v>
      </c>
      <c r="AP132" s="1">
        <v>43960</v>
      </c>
      <c r="AQ132" s="1">
        <v>19.92750351117078</v>
      </c>
    </row>
    <row r="133" spans="1:43" x14ac:dyDescent="0.45">
      <c r="A133" s="1">
        <v>132</v>
      </c>
      <c r="B133" s="1">
        <v>454</v>
      </c>
      <c r="C133" s="1">
        <v>23</v>
      </c>
      <c r="D133" s="1" t="s">
        <v>88</v>
      </c>
      <c r="E133" s="1" t="s">
        <v>89</v>
      </c>
      <c r="F133" s="1" t="s">
        <v>90</v>
      </c>
      <c r="G133" s="1" t="s">
        <v>91</v>
      </c>
      <c r="H133" s="1" t="s">
        <v>47</v>
      </c>
      <c r="I133" s="1">
        <v>330</v>
      </c>
      <c r="J133" s="1">
        <v>5916</v>
      </c>
      <c r="K133" s="1">
        <v>1</v>
      </c>
      <c r="L133" s="1">
        <v>22</v>
      </c>
      <c r="M133" s="1">
        <v>1345</v>
      </c>
      <c r="N133" s="1" t="s">
        <v>48</v>
      </c>
      <c r="O133" s="1">
        <v>175496</v>
      </c>
      <c r="P133" s="1">
        <v>90</v>
      </c>
      <c r="Q133" s="1" t="s">
        <v>98</v>
      </c>
      <c r="R133" s="1" t="s">
        <v>50</v>
      </c>
      <c r="S133" s="1">
        <v>0</v>
      </c>
      <c r="T133" s="1">
        <v>0</v>
      </c>
      <c r="U133" s="1">
        <v>338.95299999999997</v>
      </c>
      <c r="V133" s="1">
        <v>24.632999999999999</v>
      </c>
      <c r="W133" s="1">
        <v>0.52</v>
      </c>
      <c r="X133" s="1">
        <v>0.108</v>
      </c>
      <c r="Y133" s="1">
        <v>24.741</v>
      </c>
      <c r="Z133" s="1">
        <v>5.2999999999999999E-2</v>
      </c>
      <c r="AA133" s="1">
        <v>2</v>
      </c>
      <c r="AB133" s="1">
        <v>2</v>
      </c>
      <c r="AC133" s="1">
        <v>2</v>
      </c>
      <c r="AD133" s="1">
        <v>0.108</v>
      </c>
      <c r="AE133" s="1">
        <v>5.2999999999999999E-2</v>
      </c>
      <c r="AF133" s="1">
        <v>6.0000000000000001E-3</v>
      </c>
      <c r="AG133" s="1">
        <v>2</v>
      </c>
      <c r="AI133" s="1">
        <v>0</v>
      </c>
      <c r="AJ133" s="1">
        <v>0</v>
      </c>
      <c r="AK133" s="1">
        <v>0</v>
      </c>
      <c r="AL133" s="1">
        <v>1</v>
      </c>
      <c r="AM133" s="1">
        <v>86400</v>
      </c>
      <c r="AN133" s="1">
        <v>75470</v>
      </c>
      <c r="AO133" s="1">
        <v>10930</v>
      </c>
      <c r="AP133" s="1">
        <v>43496</v>
      </c>
      <c r="AQ133" s="1">
        <v>2.5436351825059029</v>
      </c>
    </row>
    <row r="134" spans="1:43" x14ac:dyDescent="0.45">
      <c r="A134" s="1">
        <v>133</v>
      </c>
      <c r="B134" s="1">
        <v>454</v>
      </c>
      <c r="C134" s="1">
        <v>23</v>
      </c>
      <c r="D134" s="1" t="s">
        <v>88</v>
      </c>
      <c r="E134" s="1" t="s">
        <v>89</v>
      </c>
      <c r="F134" s="1" t="s">
        <v>90</v>
      </c>
      <c r="G134" s="1" t="s">
        <v>91</v>
      </c>
      <c r="H134" s="1" t="s">
        <v>47</v>
      </c>
      <c r="I134" s="1">
        <v>330</v>
      </c>
      <c r="J134" s="1">
        <v>5916</v>
      </c>
      <c r="K134" s="1">
        <v>1</v>
      </c>
      <c r="L134" s="1">
        <v>22</v>
      </c>
      <c r="M134" s="1">
        <v>1346</v>
      </c>
      <c r="N134" s="1" t="s">
        <v>48</v>
      </c>
      <c r="O134" s="1">
        <v>175913</v>
      </c>
      <c r="P134" s="1">
        <v>90</v>
      </c>
      <c r="Q134" s="1" t="s">
        <v>98</v>
      </c>
      <c r="R134" s="1" t="s">
        <v>50</v>
      </c>
      <c r="S134" s="1">
        <v>0</v>
      </c>
      <c r="T134" s="1">
        <v>0</v>
      </c>
      <c r="U134" s="1">
        <v>73.203000000000003</v>
      </c>
      <c r="V134" s="1">
        <v>25.163</v>
      </c>
      <c r="W134" s="1">
        <v>0.55000000000000004</v>
      </c>
      <c r="X134" s="1">
        <v>0.32400000000000001</v>
      </c>
      <c r="Y134" s="1">
        <v>25.486999999999998</v>
      </c>
      <c r="Z134" s="1">
        <v>4.3999999999999997E-2</v>
      </c>
      <c r="AA134" s="1">
        <v>-1.5</v>
      </c>
      <c r="AB134" s="1">
        <v>-1.5</v>
      </c>
      <c r="AC134" s="1">
        <v>-1.5</v>
      </c>
      <c r="AD134" s="1">
        <v>0.32400000000000001</v>
      </c>
      <c r="AE134" s="1">
        <v>4.3999999999999997E-2</v>
      </c>
      <c r="AF134" s="1">
        <v>1.4E-2</v>
      </c>
      <c r="AG134" s="1">
        <v>-1.5</v>
      </c>
      <c r="AI134" s="1">
        <v>0</v>
      </c>
      <c r="AJ134" s="1">
        <v>0</v>
      </c>
      <c r="AK134" s="1">
        <v>0</v>
      </c>
      <c r="AL134" s="1">
        <v>1</v>
      </c>
      <c r="AM134" s="1">
        <v>86400</v>
      </c>
      <c r="AN134" s="1">
        <v>79210</v>
      </c>
      <c r="AO134" s="1">
        <v>7190</v>
      </c>
      <c r="AP134" s="1">
        <v>46884</v>
      </c>
      <c r="AQ134" s="1">
        <v>12.51607896382912</v>
      </c>
    </row>
    <row r="135" spans="1:43" x14ac:dyDescent="0.45">
      <c r="A135" s="1">
        <v>134</v>
      </c>
      <c r="B135" s="1">
        <v>454</v>
      </c>
      <c r="C135" s="1">
        <v>23</v>
      </c>
      <c r="D135" s="1" t="s">
        <v>88</v>
      </c>
      <c r="E135" s="1" t="s">
        <v>89</v>
      </c>
      <c r="F135" s="1" t="s">
        <v>90</v>
      </c>
      <c r="G135" s="1" t="s">
        <v>91</v>
      </c>
      <c r="H135" s="1" t="s">
        <v>47</v>
      </c>
      <c r="I135" s="1">
        <v>330</v>
      </c>
      <c r="J135" s="1">
        <v>5916</v>
      </c>
      <c r="K135" s="1">
        <v>1</v>
      </c>
      <c r="L135" s="1">
        <v>22</v>
      </c>
      <c r="M135" s="1">
        <v>1347</v>
      </c>
      <c r="N135" s="1" t="s">
        <v>48</v>
      </c>
      <c r="O135" s="1">
        <v>175914</v>
      </c>
      <c r="P135" s="1">
        <v>90</v>
      </c>
      <c r="Q135" s="1" t="s">
        <v>98</v>
      </c>
      <c r="R135" s="1" t="s">
        <v>50</v>
      </c>
      <c r="S135" s="1">
        <v>0</v>
      </c>
      <c r="T135" s="1">
        <v>0</v>
      </c>
      <c r="U135" s="1">
        <v>92.867000000000004</v>
      </c>
      <c r="V135" s="1">
        <v>25.131</v>
      </c>
      <c r="W135" s="1">
        <v>0.56000000000000005</v>
      </c>
      <c r="X135" s="1">
        <v>0.35599999999999998</v>
      </c>
      <c r="Y135" s="1">
        <v>25.486999999999998</v>
      </c>
      <c r="Z135" s="1">
        <v>5.2999999999999999E-2</v>
      </c>
      <c r="AA135" s="1">
        <v>1.1000000000000001</v>
      </c>
      <c r="AB135" s="1">
        <v>1.1000000000000001</v>
      </c>
      <c r="AC135" s="1">
        <v>1.1000000000000001</v>
      </c>
      <c r="AD135" s="1">
        <v>0.35599999999999998</v>
      </c>
      <c r="AE135" s="1">
        <v>5.1999999999999998E-2</v>
      </c>
      <c r="AF135" s="1">
        <v>1.9E-2</v>
      </c>
      <c r="AG135" s="1">
        <v>1.1000000000000001</v>
      </c>
      <c r="AI135" s="1">
        <v>0</v>
      </c>
      <c r="AJ135" s="1">
        <v>0</v>
      </c>
      <c r="AK135" s="1">
        <v>0</v>
      </c>
      <c r="AL135" s="1">
        <v>1</v>
      </c>
      <c r="AM135" s="1">
        <v>86400</v>
      </c>
      <c r="AN135" s="1">
        <v>80660</v>
      </c>
      <c r="AO135" s="1">
        <v>5740</v>
      </c>
      <c r="AP135" s="1">
        <v>46900</v>
      </c>
      <c r="AQ135" s="1">
        <v>3.3747962790819219</v>
      </c>
    </row>
    <row r="136" spans="1:43" x14ac:dyDescent="0.45">
      <c r="A136" s="1">
        <v>135</v>
      </c>
      <c r="B136" s="1">
        <v>470</v>
      </c>
      <c r="C136" s="1">
        <v>97</v>
      </c>
      <c r="D136" s="1" t="s">
        <v>85</v>
      </c>
      <c r="E136" s="1" t="s">
        <v>86</v>
      </c>
      <c r="F136" s="1" t="s">
        <v>87</v>
      </c>
      <c r="G136" s="1" t="s">
        <v>46</v>
      </c>
      <c r="H136" s="1" t="s">
        <v>47</v>
      </c>
      <c r="I136" s="1">
        <v>1089</v>
      </c>
      <c r="J136" s="1">
        <v>26566</v>
      </c>
      <c r="K136" s="1">
        <v>1</v>
      </c>
      <c r="L136" s="1">
        <v>96</v>
      </c>
      <c r="M136" s="1">
        <v>1249</v>
      </c>
      <c r="N136" s="1" t="s">
        <v>48</v>
      </c>
      <c r="O136" s="1">
        <v>132942</v>
      </c>
      <c r="P136" s="1">
        <v>90</v>
      </c>
      <c r="Q136" s="1" t="s">
        <v>98</v>
      </c>
      <c r="R136" s="1" t="s">
        <v>50</v>
      </c>
      <c r="S136" s="1">
        <v>0</v>
      </c>
      <c r="T136" s="1">
        <v>0</v>
      </c>
      <c r="U136" s="1">
        <v>88.98</v>
      </c>
      <c r="V136" s="1">
        <v>25.22</v>
      </c>
      <c r="W136" s="1">
        <v>0.53</v>
      </c>
      <c r="X136" s="1">
        <v>0.152</v>
      </c>
      <c r="Y136" s="1">
        <v>25.372</v>
      </c>
      <c r="Z136" s="1">
        <v>0.185</v>
      </c>
      <c r="AA136" s="1">
        <v>-0.7</v>
      </c>
      <c r="AB136" s="1">
        <v>-0.7</v>
      </c>
      <c r="AC136" s="1">
        <v>-0.7</v>
      </c>
      <c r="AD136" s="1">
        <v>0.152</v>
      </c>
      <c r="AE136" s="1">
        <v>0.185</v>
      </c>
      <c r="AF136" s="1">
        <v>2.8000000000000001E-2</v>
      </c>
      <c r="AG136" s="1">
        <v>-0.7</v>
      </c>
      <c r="AI136" s="1">
        <v>0</v>
      </c>
      <c r="AJ136" s="1">
        <v>0</v>
      </c>
      <c r="AK136" s="1">
        <v>0</v>
      </c>
      <c r="AL136" s="1">
        <v>1</v>
      </c>
      <c r="AM136" s="1">
        <v>86400</v>
      </c>
      <c r="AN136" s="1">
        <v>80732</v>
      </c>
      <c r="AO136" s="1">
        <v>5668</v>
      </c>
      <c r="AP136" s="1">
        <v>43459</v>
      </c>
      <c r="AQ136" s="1">
        <v>13.500253100054801</v>
      </c>
    </row>
    <row r="137" spans="1:43" x14ac:dyDescent="0.45">
      <c r="A137" s="1">
        <v>136</v>
      </c>
      <c r="B137" s="1">
        <v>494</v>
      </c>
      <c r="C137" s="1">
        <v>67</v>
      </c>
      <c r="D137" s="1" t="s">
        <v>92</v>
      </c>
      <c r="E137" s="1" t="s">
        <v>93</v>
      </c>
      <c r="F137" s="1" t="s">
        <v>94</v>
      </c>
      <c r="G137" s="1" t="s">
        <v>46</v>
      </c>
      <c r="H137" s="1" t="s">
        <v>47</v>
      </c>
      <c r="I137" s="1">
        <v>1579</v>
      </c>
      <c r="J137" s="1">
        <v>67764</v>
      </c>
      <c r="K137" s="1">
        <v>1</v>
      </c>
      <c r="L137" s="1">
        <v>66</v>
      </c>
      <c r="M137" s="1">
        <v>1245</v>
      </c>
      <c r="N137" s="1" t="s">
        <v>48</v>
      </c>
      <c r="O137" s="1">
        <v>131020</v>
      </c>
      <c r="P137" s="1">
        <v>90</v>
      </c>
      <c r="Q137" s="1" t="s">
        <v>98</v>
      </c>
      <c r="R137" s="1" t="s">
        <v>50</v>
      </c>
      <c r="S137" s="1">
        <v>0</v>
      </c>
      <c r="T137" s="1">
        <v>0</v>
      </c>
      <c r="U137" s="1">
        <v>94.191999999999993</v>
      </c>
      <c r="V137" s="1">
        <v>25.324000000000002</v>
      </c>
      <c r="W137" s="1">
        <v>1.1399999999999999</v>
      </c>
      <c r="X137" s="1">
        <v>0.86799999999999999</v>
      </c>
      <c r="Y137" s="1">
        <v>26.192</v>
      </c>
      <c r="Z137" s="1">
        <v>4.8000000000000001E-2</v>
      </c>
      <c r="AA137" s="1">
        <v>0.9</v>
      </c>
      <c r="AB137" s="1">
        <v>0.9</v>
      </c>
      <c r="AC137" s="1">
        <v>0.9</v>
      </c>
      <c r="AD137" s="1">
        <v>0.86799999999999999</v>
      </c>
      <c r="AE137" s="1">
        <v>4.8000000000000001E-2</v>
      </c>
      <c r="AF137" s="1">
        <v>4.2000000000000003E-2</v>
      </c>
      <c r="AG137" s="1">
        <v>0.9</v>
      </c>
      <c r="AI137" s="1">
        <v>0</v>
      </c>
      <c r="AJ137" s="1">
        <v>0</v>
      </c>
      <c r="AK137" s="1">
        <v>0</v>
      </c>
      <c r="AL137" s="1">
        <v>1</v>
      </c>
      <c r="AM137" s="1">
        <v>86400</v>
      </c>
      <c r="AN137" s="1">
        <v>80554</v>
      </c>
      <c r="AO137" s="1">
        <v>5846</v>
      </c>
      <c r="AP137" s="1">
        <v>47030</v>
      </c>
      <c r="AQ137" s="1">
        <v>22.945877289242109</v>
      </c>
    </row>
    <row r="138" spans="1:43" x14ac:dyDescent="0.45">
      <c r="A138" s="1">
        <v>137</v>
      </c>
      <c r="B138" s="1">
        <v>494</v>
      </c>
      <c r="C138" s="1">
        <v>67</v>
      </c>
      <c r="D138" s="1" t="s">
        <v>92</v>
      </c>
      <c r="E138" s="1" t="s">
        <v>93</v>
      </c>
      <c r="F138" s="1" t="s">
        <v>94</v>
      </c>
      <c r="G138" s="1" t="s">
        <v>46</v>
      </c>
      <c r="H138" s="1" t="s">
        <v>47</v>
      </c>
      <c r="I138" s="1">
        <v>1579</v>
      </c>
      <c r="J138" s="1">
        <v>67764</v>
      </c>
      <c r="K138" s="1">
        <v>1</v>
      </c>
      <c r="L138" s="1">
        <v>66</v>
      </c>
      <c r="M138" s="1">
        <v>1246</v>
      </c>
      <c r="N138" s="1" t="s">
        <v>48</v>
      </c>
      <c r="O138" s="1">
        <v>131021</v>
      </c>
      <c r="P138" s="1">
        <v>90</v>
      </c>
      <c r="Q138" s="1" t="s">
        <v>98</v>
      </c>
      <c r="R138" s="1" t="s">
        <v>50</v>
      </c>
      <c r="S138" s="1">
        <v>0</v>
      </c>
      <c r="T138" s="1">
        <v>0</v>
      </c>
      <c r="U138" s="1">
        <v>89.78</v>
      </c>
      <c r="V138" s="1">
        <v>25.841999999999999</v>
      </c>
      <c r="W138" s="1">
        <v>0.55000000000000004</v>
      </c>
      <c r="X138" s="1">
        <v>0.35</v>
      </c>
      <c r="Y138" s="1">
        <v>26.192</v>
      </c>
      <c r="Z138" s="1">
        <v>4.1000000000000002E-2</v>
      </c>
      <c r="AA138" s="1">
        <v>-1</v>
      </c>
      <c r="AB138" s="1">
        <v>-2.9</v>
      </c>
      <c r="AC138" s="1">
        <v>-2.9</v>
      </c>
      <c r="AD138" s="1">
        <v>0.35</v>
      </c>
      <c r="AE138" s="1">
        <v>3.5999999999999997E-2</v>
      </c>
      <c r="AF138" s="1">
        <v>1.4E-2</v>
      </c>
      <c r="AI138" s="1">
        <v>0</v>
      </c>
      <c r="AJ138" s="1">
        <v>0</v>
      </c>
      <c r="AK138" s="1">
        <v>0</v>
      </c>
      <c r="AL138" s="1">
        <v>1</v>
      </c>
      <c r="AM138" s="1">
        <v>86400</v>
      </c>
      <c r="AN138" s="1">
        <v>68351</v>
      </c>
      <c r="AO138" s="1">
        <v>18049</v>
      </c>
      <c r="AP138" s="1">
        <v>46881</v>
      </c>
      <c r="AQ138" s="1">
        <v>6.4043930915015341</v>
      </c>
    </row>
    <row r="139" spans="1:43" x14ac:dyDescent="0.45">
      <c r="A139" s="1">
        <v>138</v>
      </c>
      <c r="B139" s="1">
        <v>494</v>
      </c>
      <c r="C139" s="1">
        <v>67</v>
      </c>
      <c r="D139" s="1" t="s">
        <v>92</v>
      </c>
      <c r="E139" s="1" t="s">
        <v>93</v>
      </c>
      <c r="F139" s="1" t="s">
        <v>94</v>
      </c>
      <c r="G139" s="1" t="s">
        <v>46</v>
      </c>
      <c r="H139" s="1" t="s">
        <v>47</v>
      </c>
      <c r="I139" s="1">
        <v>1579</v>
      </c>
      <c r="J139" s="1">
        <v>67764</v>
      </c>
      <c r="K139" s="1">
        <v>1</v>
      </c>
      <c r="L139" s="1">
        <v>66</v>
      </c>
      <c r="M139" s="1">
        <v>1247</v>
      </c>
      <c r="N139" s="1" t="s">
        <v>48</v>
      </c>
      <c r="O139" s="1">
        <v>131025</v>
      </c>
      <c r="P139" s="1">
        <v>90</v>
      </c>
      <c r="Q139" s="1" t="s">
        <v>98</v>
      </c>
      <c r="R139" s="1" t="s">
        <v>50</v>
      </c>
      <c r="S139" s="1">
        <v>0</v>
      </c>
      <c r="T139" s="1">
        <v>0</v>
      </c>
      <c r="U139" s="1">
        <v>51.036999999999999</v>
      </c>
      <c r="V139" s="1">
        <v>25.751999999999999</v>
      </c>
      <c r="W139" s="1">
        <v>0.56999999999999995</v>
      </c>
      <c r="X139" s="1">
        <v>0.44</v>
      </c>
      <c r="Y139" s="1">
        <v>26.192</v>
      </c>
      <c r="Z139" s="1">
        <v>0.192</v>
      </c>
      <c r="AA139" s="1">
        <v>-1.6</v>
      </c>
      <c r="AB139" s="1">
        <v>-1.6</v>
      </c>
      <c r="AC139" s="1">
        <v>-1.6</v>
      </c>
      <c r="AD139" s="1">
        <v>0.44</v>
      </c>
      <c r="AE139" s="1">
        <v>0.192</v>
      </c>
      <c r="AF139" s="1">
        <v>8.5000000000000006E-2</v>
      </c>
      <c r="AG139" s="1">
        <v>-1.6</v>
      </c>
      <c r="AI139" s="1">
        <v>0</v>
      </c>
      <c r="AJ139" s="1">
        <v>0</v>
      </c>
      <c r="AK139" s="1">
        <v>0</v>
      </c>
      <c r="AL139" s="1">
        <v>1</v>
      </c>
      <c r="AM139" s="1">
        <v>86400</v>
      </c>
      <c r="AN139" s="1">
        <v>71100</v>
      </c>
      <c r="AO139" s="1">
        <v>15300</v>
      </c>
      <c r="AP139" s="1">
        <v>43788</v>
      </c>
      <c r="AQ139" s="1">
        <v>12.58488408496922</v>
      </c>
    </row>
  </sheetData>
  <pageMargins left="0.75" right="0.75" top="1" bottom="1" header="0.5" footer="0.5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6799-35F9-4BAE-A3E4-4C7AAEAED68C}">
  <sheetPr codeName="Sheet4"/>
  <dimension ref="A1:AQ151"/>
  <sheetViews>
    <sheetView workbookViewId="0">
      <selection activeCell="F12" sqref="F12"/>
    </sheetView>
  </sheetViews>
  <sheetFormatPr defaultColWidth="9.1328125" defaultRowHeight="14.25" customHeight="1" x14ac:dyDescent="0.45"/>
  <cols>
    <col min="1" max="1" width="9.1328125" style="1" customWidth="1"/>
    <col min="2" max="4" width="9.1328125" style="1"/>
    <col min="5" max="5" width="29.9296875" style="1" bestFit="1" customWidth="1"/>
    <col min="6" max="6" width="26.59765625" style="1" bestFit="1" customWidth="1"/>
    <col min="7" max="16384" width="9.1328125" style="1"/>
  </cols>
  <sheetData>
    <row r="1" spans="1:43" ht="16.149999999999999" thickBot="1" x14ac:dyDescent="0.5500000000000000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105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</row>
    <row r="2" spans="1:43" x14ac:dyDescent="0.45">
      <c r="A2" s="1">
        <v>1</v>
      </c>
      <c r="B2" s="1">
        <v>1</v>
      </c>
      <c r="C2" s="1">
        <v>90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  <c r="I2" s="1">
        <v>535</v>
      </c>
      <c r="J2" s="1">
        <v>12723</v>
      </c>
      <c r="K2" s="1">
        <v>1</v>
      </c>
      <c r="L2" s="1">
        <v>89</v>
      </c>
      <c r="M2" s="1">
        <v>1272</v>
      </c>
      <c r="N2" s="1" t="s">
        <v>48</v>
      </c>
      <c r="O2" s="1">
        <v>20364</v>
      </c>
      <c r="P2" s="1">
        <v>91</v>
      </c>
      <c r="Q2" s="1" t="s">
        <v>106</v>
      </c>
      <c r="R2" s="1" t="s">
        <v>50</v>
      </c>
      <c r="S2" s="1">
        <v>0</v>
      </c>
      <c r="T2" s="1">
        <v>0</v>
      </c>
      <c r="U2" s="1">
        <v>205.73699999999999</v>
      </c>
      <c r="V2" s="1">
        <v>24.99</v>
      </c>
      <c r="W2" s="1">
        <v>0.52</v>
      </c>
      <c r="X2" s="1">
        <v>0.13800000000000001</v>
      </c>
      <c r="Y2" s="1">
        <v>25.128</v>
      </c>
      <c r="Z2" s="1">
        <v>4.8000000000000001E-2</v>
      </c>
      <c r="AA2" s="1">
        <v>-2.7</v>
      </c>
      <c r="AB2" s="1">
        <v>-2.7</v>
      </c>
      <c r="AC2" s="1">
        <v>-2.7</v>
      </c>
      <c r="AD2" s="1">
        <v>0.13800000000000001</v>
      </c>
      <c r="AE2" s="1">
        <v>4.8000000000000001E-2</v>
      </c>
      <c r="AF2" s="1">
        <v>7.0000000000000001E-3</v>
      </c>
      <c r="AG2" s="1">
        <v>-2.7</v>
      </c>
      <c r="AI2" s="1">
        <v>0</v>
      </c>
      <c r="AJ2" s="1">
        <v>0</v>
      </c>
      <c r="AK2" s="1">
        <v>0</v>
      </c>
      <c r="AL2" s="1">
        <v>1</v>
      </c>
      <c r="AM2" s="1">
        <v>86400</v>
      </c>
      <c r="AN2" s="1">
        <v>74198</v>
      </c>
      <c r="AO2" s="1">
        <v>12202</v>
      </c>
      <c r="AP2" s="1">
        <v>43470</v>
      </c>
      <c r="AQ2" s="1">
        <v>1.6932807555292719</v>
      </c>
    </row>
    <row r="3" spans="1:43" x14ac:dyDescent="0.45">
      <c r="A3" s="1">
        <v>2</v>
      </c>
      <c r="B3" s="1">
        <v>1</v>
      </c>
      <c r="C3" s="1">
        <v>90</v>
      </c>
      <c r="D3" s="1" t="s">
        <v>43</v>
      </c>
      <c r="E3" s="1" t="s">
        <v>44</v>
      </c>
      <c r="F3" s="1" t="s">
        <v>45</v>
      </c>
      <c r="G3" s="1" t="s">
        <v>46</v>
      </c>
      <c r="H3" s="1" t="s">
        <v>47</v>
      </c>
      <c r="I3" s="1">
        <v>535</v>
      </c>
      <c r="J3" s="1">
        <v>12723</v>
      </c>
      <c r="K3" s="1">
        <v>1</v>
      </c>
      <c r="L3" s="1">
        <v>89</v>
      </c>
      <c r="M3" s="1">
        <v>1273</v>
      </c>
      <c r="N3" s="1" t="s">
        <v>48</v>
      </c>
      <c r="O3" s="1">
        <v>20405</v>
      </c>
      <c r="P3" s="1">
        <v>91</v>
      </c>
      <c r="Q3" s="1" t="s">
        <v>106</v>
      </c>
      <c r="R3" s="1" t="s">
        <v>50</v>
      </c>
      <c r="S3" s="1">
        <v>0</v>
      </c>
      <c r="T3" s="1">
        <v>0</v>
      </c>
      <c r="U3" s="1">
        <v>63.332999999999998</v>
      </c>
      <c r="V3" s="1">
        <v>24.972999999999999</v>
      </c>
      <c r="W3" s="1">
        <v>0.52</v>
      </c>
      <c r="X3" s="1">
        <v>0.155</v>
      </c>
      <c r="Y3" s="1">
        <v>25.128</v>
      </c>
      <c r="Z3" s="1">
        <v>4.5999999999999999E-2</v>
      </c>
      <c r="AA3" s="1">
        <v>-2.9</v>
      </c>
      <c r="AB3" s="1">
        <v>-2.9</v>
      </c>
      <c r="AC3" s="1">
        <v>-2.9</v>
      </c>
      <c r="AD3" s="1">
        <v>0.155</v>
      </c>
      <c r="AE3" s="1">
        <v>4.5999999999999999E-2</v>
      </c>
      <c r="AF3" s="1">
        <v>7.0000000000000001E-3</v>
      </c>
      <c r="AG3" s="1">
        <v>-2.9</v>
      </c>
      <c r="AI3" s="1">
        <v>0</v>
      </c>
      <c r="AJ3" s="1">
        <v>0</v>
      </c>
      <c r="AK3" s="1">
        <v>0</v>
      </c>
      <c r="AL3" s="1">
        <v>1</v>
      </c>
      <c r="AM3" s="1">
        <v>86400</v>
      </c>
      <c r="AN3" s="1">
        <v>75408</v>
      </c>
      <c r="AO3" s="1">
        <v>10992</v>
      </c>
      <c r="AP3" s="1">
        <v>43422</v>
      </c>
      <c r="AQ3" s="1">
        <v>4.7032532732046244</v>
      </c>
    </row>
    <row r="4" spans="1:43" x14ac:dyDescent="0.45">
      <c r="A4" s="1">
        <v>3</v>
      </c>
      <c r="B4" s="1">
        <v>1</v>
      </c>
      <c r="C4" s="1">
        <v>90</v>
      </c>
      <c r="D4" s="1" t="s">
        <v>43</v>
      </c>
      <c r="E4" s="1" t="s">
        <v>44</v>
      </c>
      <c r="F4" s="1" t="s">
        <v>45</v>
      </c>
      <c r="G4" s="1" t="s">
        <v>46</v>
      </c>
      <c r="H4" s="1" t="s">
        <v>47</v>
      </c>
      <c r="I4" s="1">
        <v>535</v>
      </c>
      <c r="J4" s="1">
        <v>12723</v>
      </c>
      <c r="K4" s="1">
        <v>1</v>
      </c>
      <c r="L4" s="1">
        <v>89</v>
      </c>
      <c r="M4" s="1">
        <v>1274</v>
      </c>
      <c r="N4" s="1" t="s">
        <v>48</v>
      </c>
      <c r="O4" s="1">
        <v>20406</v>
      </c>
      <c r="P4" s="1">
        <v>91</v>
      </c>
      <c r="Q4" s="1" t="s">
        <v>106</v>
      </c>
      <c r="R4" s="1" t="s">
        <v>50</v>
      </c>
      <c r="S4" s="1">
        <v>0</v>
      </c>
      <c r="T4" s="1">
        <v>0</v>
      </c>
      <c r="U4" s="1">
        <v>69.885999999999996</v>
      </c>
      <c r="V4" s="1">
        <v>24.724</v>
      </c>
      <c r="W4" s="1">
        <v>0.56000000000000005</v>
      </c>
      <c r="X4" s="1">
        <v>0.40400000000000003</v>
      </c>
      <c r="Y4" s="1">
        <v>25.128</v>
      </c>
      <c r="Z4" s="1">
        <v>5.0999999999999997E-2</v>
      </c>
      <c r="AA4" s="1">
        <v>-2.7</v>
      </c>
      <c r="AB4" s="1">
        <v>-2.7</v>
      </c>
      <c r="AC4" s="1">
        <v>-2.7</v>
      </c>
      <c r="AD4" s="1">
        <v>0.40400000000000003</v>
      </c>
      <c r="AE4" s="1">
        <v>5.0999999999999997E-2</v>
      </c>
      <c r="AF4" s="1">
        <v>2.1000000000000001E-2</v>
      </c>
      <c r="AG4" s="1">
        <v>-2.7</v>
      </c>
      <c r="AI4" s="1">
        <v>0</v>
      </c>
      <c r="AJ4" s="1">
        <v>0</v>
      </c>
      <c r="AK4" s="1">
        <v>0</v>
      </c>
      <c r="AL4" s="1">
        <v>1</v>
      </c>
      <c r="AM4" s="1">
        <v>86400</v>
      </c>
      <c r="AN4" s="1">
        <v>80942</v>
      </c>
      <c r="AO4" s="1">
        <v>5458</v>
      </c>
      <c r="AP4" s="1">
        <v>43448</v>
      </c>
      <c r="AQ4" s="1">
        <v>14.25374788192698</v>
      </c>
    </row>
    <row r="5" spans="1:43" x14ac:dyDescent="0.45">
      <c r="A5" s="1">
        <v>4</v>
      </c>
      <c r="B5" s="1">
        <v>1</v>
      </c>
      <c r="C5" s="1">
        <v>90</v>
      </c>
      <c r="D5" s="1" t="s">
        <v>43</v>
      </c>
      <c r="E5" s="1" t="s">
        <v>44</v>
      </c>
      <c r="F5" s="1" t="s">
        <v>45</v>
      </c>
      <c r="G5" s="1" t="s">
        <v>46</v>
      </c>
      <c r="H5" s="1" t="s">
        <v>47</v>
      </c>
      <c r="I5" s="1">
        <v>535</v>
      </c>
      <c r="J5" s="1">
        <v>12723</v>
      </c>
      <c r="K5" s="1">
        <v>1</v>
      </c>
      <c r="L5" s="1">
        <v>89</v>
      </c>
      <c r="M5" s="1">
        <v>1275</v>
      </c>
      <c r="N5" s="1" t="s">
        <v>48</v>
      </c>
      <c r="O5" s="1">
        <v>20409</v>
      </c>
      <c r="P5" s="1">
        <v>91</v>
      </c>
      <c r="Q5" s="1" t="s">
        <v>106</v>
      </c>
      <c r="R5" s="1" t="s">
        <v>50</v>
      </c>
      <c r="S5" s="1">
        <v>0</v>
      </c>
      <c r="T5" s="1">
        <v>0</v>
      </c>
      <c r="U5" s="1">
        <v>197.97900000000001</v>
      </c>
      <c r="V5" s="1">
        <v>24.911999999999999</v>
      </c>
      <c r="W5" s="1">
        <v>0.54</v>
      </c>
      <c r="X5" s="1">
        <v>0.217</v>
      </c>
      <c r="Y5" s="1">
        <v>25.128</v>
      </c>
      <c r="Z5" s="1">
        <v>0.17599999999999999</v>
      </c>
      <c r="AA5" s="1">
        <v>-2.2999999999999998</v>
      </c>
      <c r="AB5" s="1">
        <v>-2.2999999999999998</v>
      </c>
      <c r="AC5" s="1">
        <v>-2.2999999999999998</v>
      </c>
      <c r="AD5" s="1">
        <v>0.217</v>
      </c>
      <c r="AE5" s="1">
        <v>0.17499999999999999</v>
      </c>
      <c r="AF5" s="1">
        <v>3.7999999999999999E-2</v>
      </c>
      <c r="AG5" s="1">
        <v>-2.2999999999999998</v>
      </c>
      <c r="AI5" s="1">
        <v>0</v>
      </c>
      <c r="AJ5" s="1">
        <v>0</v>
      </c>
      <c r="AK5" s="1">
        <v>0</v>
      </c>
      <c r="AL5" s="1">
        <v>1</v>
      </c>
      <c r="AM5" s="1">
        <v>86400</v>
      </c>
      <c r="AN5" s="1">
        <v>79829</v>
      </c>
      <c r="AO5" s="1">
        <v>6571</v>
      </c>
      <c r="AP5" s="1">
        <v>43456</v>
      </c>
      <c r="AQ5" s="1">
        <v>15.34256373566652</v>
      </c>
    </row>
    <row r="6" spans="1:43" x14ac:dyDescent="0.45">
      <c r="A6" s="1">
        <v>5</v>
      </c>
      <c r="B6" s="1">
        <v>1</v>
      </c>
      <c r="C6" s="1">
        <v>90</v>
      </c>
      <c r="D6" s="1" t="s">
        <v>43</v>
      </c>
      <c r="E6" s="1" t="s">
        <v>44</v>
      </c>
      <c r="F6" s="1" t="s">
        <v>45</v>
      </c>
      <c r="G6" s="1" t="s">
        <v>46</v>
      </c>
      <c r="H6" s="1" t="s">
        <v>47</v>
      </c>
      <c r="I6" s="1">
        <v>535</v>
      </c>
      <c r="J6" s="1">
        <v>12723</v>
      </c>
      <c r="K6" s="1">
        <v>1</v>
      </c>
      <c r="L6" s="1">
        <v>89</v>
      </c>
      <c r="M6" s="1">
        <v>1276</v>
      </c>
      <c r="N6" s="1" t="s">
        <v>48</v>
      </c>
      <c r="O6" s="1">
        <v>20411</v>
      </c>
      <c r="P6" s="1">
        <v>91</v>
      </c>
      <c r="Q6" s="1" t="s">
        <v>106</v>
      </c>
      <c r="R6" s="1" t="s">
        <v>50</v>
      </c>
      <c r="S6" s="1">
        <v>0</v>
      </c>
      <c r="T6" s="1">
        <v>0</v>
      </c>
      <c r="U6" s="1">
        <v>128.02099999999999</v>
      </c>
      <c r="V6" s="1">
        <v>24.83</v>
      </c>
      <c r="W6" s="1">
        <v>0.55000000000000004</v>
      </c>
      <c r="X6" s="1">
        <v>0.29499999999999998</v>
      </c>
      <c r="Y6" s="1">
        <v>25.125</v>
      </c>
      <c r="Z6" s="1">
        <v>0.154</v>
      </c>
      <c r="AA6" s="1">
        <v>-1.4</v>
      </c>
      <c r="AB6" s="1">
        <v>-1.4</v>
      </c>
      <c r="AC6" s="1">
        <v>-1.4</v>
      </c>
      <c r="AD6" s="1">
        <v>0.29499999999999998</v>
      </c>
      <c r="AE6" s="1">
        <v>0.154</v>
      </c>
      <c r="AF6" s="1">
        <v>4.4999999999999998E-2</v>
      </c>
      <c r="AG6" s="1">
        <v>-1.4</v>
      </c>
      <c r="AI6" s="1">
        <v>0</v>
      </c>
      <c r="AJ6" s="1">
        <v>0</v>
      </c>
      <c r="AK6" s="1">
        <v>0</v>
      </c>
      <c r="AL6" s="1">
        <v>1</v>
      </c>
      <c r="AM6" s="1">
        <v>86400</v>
      </c>
      <c r="AN6" s="1">
        <v>80189</v>
      </c>
      <c r="AO6" s="1">
        <v>6211</v>
      </c>
      <c r="AP6" s="1">
        <v>43433</v>
      </c>
      <c r="AQ6" s="1">
        <v>28.711608171234531</v>
      </c>
    </row>
    <row r="7" spans="1:43" x14ac:dyDescent="0.45">
      <c r="A7" s="1">
        <v>6</v>
      </c>
      <c r="B7" s="1">
        <v>26</v>
      </c>
      <c r="C7" s="1">
        <v>126</v>
      </c>
      <c r="D7" s="1" t="s">
        <v>51</v>
      </c>
      <c r="E7" s="1" t="s">
        <v>52</v>
      </c>
      <c r="F7" s="1" t="s">
        <v>53</v>
      </c>
      <c r="G7" s="1" t="s">
        <v>54</v>
      </c>
      <c r="H7" s="1" t="s">
        <v>47</v>
      </c>
      <c r="I7" s="1">
        <v>1113</v>
      </c>
      <c r="J7" s="1">
        <v>60690</v>
      </c>
      <c r="K7" s="1">
        <v>1</v>
      </c>
      <c r="L7" s="1">
        <v>125</v>
      </c>
      <c r="M7" s="1">
        <v>590</v>
      </c>
      <c r="N7" s="1" t="s">
        <v>48</v>
      </c>
      <c r="O7" s="1">
        <v>13931</v>
      </c>
      <c r="P7" s="1">
        <v>91</v>
      </c>
      <c r="Q7" s="1" t="s">
        <v>106</v>
      </c>
      <c r="R7" s="1" t="s">
        <v>50</v>
      </c>
      <c r="S7" s="1">
        <v>0</v>
      </c>
      <c r="T7" s="1">
        <v>0</v>
      </c>
      <c r="U7" s="1">
        <v>114.378</v>
      </c>
      <c r="V7" s="1">
        <v>26.774000000000001</v>
      </c>
      <c r="W7" s="1">
        <v>0.62</v>
      </c>
      <c r="X7" s="1">
        <v>0.56000000000000005</v>
      </c>
      <c r="Y7" s="1">
        <v>27.334</v>
      </c>
      <c r="Z7" s="1">
        <v>0.73499999999999999</v>
      </c>
      <c r="AA7" s="1">
        <v>0.8</v>
      </c>
      <c r="AB7" s="1">
        <v>0.8</v>
      </c>
      <c r="AC7" s="1">
        <v>0.8</v>
      </c>
      <c r="AD7" s="1">
        <v>0.56000000000000005</v>
      </c>
      <c r="AE7" s="1">
        <v>0.73499999999999999</v>
      </c>
      <c r="AF7" s="1">
        <v>0.41199999999999998</v>
      </c>
      <c r="AG7" s="1">
        <v>0.8</v>
      </c>
      <c r="AI7" s="1">
        <v>0</v>
      </c>
      <c r="AJ7" s="1">
        <v>0</v>
      </c>
      <c r="AK7" s="1">
        <v>0</v>
      </c>
      <c r="AL7" s="1">
        <v>1</v>
      </c>
      <c r="AM7" s="1">
        <v>86400</v>
      </c>
      <c r="AN7" s="1">
        <v>80762</v>
      </c>
      <c r="AO7" s="1">
        <v>5638</v>
      </c>
      <c r="AP7" s="1">
        <v>46898</v>
      </c>
      <c r="AQ7" s="1">
        <v>14.726650808541009</v>
      </c>
    </row>
    <row r="8" spans="1:43" x14ac:dyDescent="0.45">
      <c r="A8" s="1">
        <v>7</v>
      </c>
      <c r="B8" s="1">
        <v>26</v>
      </c>
      <c r="C8" s="1">
        <v>126</v>
      </c>
      <c r="D8" s="1" t="s">
        <v>51</v>
      </c>
      <c r="E8" s="1" t="s">
        <v>52</v>
      </c>
      <c r="F8" s="1" t="s">
        <v>53</v>
      </c>
      <c r="G8" s="1" t="s">
        <v>54</v>
      </c>
      <c r="H8" s="1" t="s">
        <v>47</v>
      </c>
      <c r="I8" s="1">
        <v>1113</v>
      </c>
      <c r="J8" s="1">
        <v>60690</v>
      </c>
      <c r="K8" s="1">
        <v>1</v>
      </c>
      <c r="L8" s="1">
        <v>125</v>
      </c>
      <c r="M8" s="1">
        <v>591</v>
      </c>
      <c r="N8" s="1" t="s">
        <v>48</v>
      </c>
      <c r="O8" s="1">
        <v>13937</v>
      </c>
      <c r="P8" s="1">
        <v>91</v>
      </c>
      <c r="Q8" s="1" t="s">
        <v>106</v>
      </c>
      <c r="R8" s="1" t="s">
        <v>50</v>
      </c>
      <c r="S8" s="1">
        <v>0</v>
      </c>
      <c r="T8" s="1">
        <v>0</v>
      </c>
      <c r="U8" s="1">
        <v>96.623000000000005</v>
      </c>
      <c r="V8" s="1">
        <v>25.923999999999999</v>
      </c>
      <c r="W8" s="1">
        <v>1.23</v>
      </c>
      <c r="X8" s="1">
        <v>0.98899999999999999</v>
      </c>
      <c r="Y8" s="1">
        <v>26.911999999999999</v>
      </c>
      <c r="Z8" s="1">
        <v>0.83599999999999997</v>
      </c>
      <c r="AA8" s="1">
        <v>0.4</v>
      </c>
      <c r="AB8" s="1">
        <v>0.4</v>
      </c>
      <c r="AC8" s="1">
        <v>0.4</v>
      </c>
      <c r="AD8" s="1">
        <v>0.98899999999999999</v>
      </c>
      <c r="AE8" s="1">
        <v>0.83499999999999996</v>
      </c>
      <c r="AF8" s="1">
        <v>0.82599999999999996</v>
      </c>
      <c r="AG8" s="1">
        <v>0.4</v>
      </c>
      <c r="AI8" s="1">
        <v>0</v>
      </c>
      <c r="AJ8" s="1">
        <v>0</v>
      </c>
      <c r="AK8" s="1">
        <v>0</v>
      </c>
      <c r="AL8" s="1">
        <v>1</v>
      </c>
      <c r="AM8" s="1">
        <v>86400</v>
      </c>
      <c r="AN8" s="1">
        <v>80950</v>
      </c>
      <c r="AO8" s="1">
        <v>5450</v>
      </c>
      <c r="AP8" s="1">
        <v>44014</v>
      </c>
      <c r="AQ8" s="1">
        <v>13.826346560234111</v>
      </c>
    </row>
    <row r="9" spans="1:43" x14ac:dyDescent="0.45">
      <c r="A9" s="1">
        <v>8</v>
      </c>
      <c r="B9" s="1">
        <v>26</v>
      </c>
      <c r="C9" s="1">
        <v>126</v>
      </c>
      <c r="D9" s="1" t="s">
        <v>51</v>
      </c>
      <c r="E9" s="1" t="s">
        <v>52</v>
      </c>
      <c r="F9" s="1" t="s">
        <v>53</v>
      </c>
      <c r="G9" s="1" t="s">
        <v>54</v>
      </c>
      <c r="H9" s="1" t="s">
        <v>47</v>
      </c>
      <c r="I9" s="1">
        <v>1113</v>
      </c>
      <c r="J9" s="1">
        <v>60690</v>
      </c>
      <c r="K9" s="1">
        <v>1</v>
      </c>
      <c r="L9" s="1">
        <v>125</v>
      </c>
      <c r="M9" s="1">
        <v>592</v>
      </c>
      <c r="N9" s="1" t="s">
        <v>48</v>
      </c>
      <c r="O9" s="1">
        <v>13939</v>
      </c>
      <c r="P9" s="1">
        <v>91</v>
      </c>
      <c r="Q9" s="1" t="s">
        <v>106</v>
      </c>
      <c r="R9" s="1" t="s">
        <v>50</v>
      </c>
      <c r="S9" s="1">
        <v>0</v>
      </c>
      <c r="T9" s="1">
        <v>0</v>
      </c>
      <c r="U9" s="1">
        <v>50.188000000000002</v>
      </c>
      <c r="V9" s="1">
        <v>26.661999999999999</v>
      </c>
      <c r="W9" s="1">
        <v>0.56000000000000005</v>
      </c>
      <c r="X9" s="1">
        <v>0.254</v>
      </c>
      <c r="Y9" s="1">
        <v>26.916</v>
      </c>
      <c r="Z9" s="1">
        <v>0.85299999999999998</v>
      </c>
      <c r="AA9" s="1">
        <v>0.4</v>
      </c>
      <c r="AB9" s="1">
        <v>0.4</v>
      </c>
      <c r="AC9" s="1">
        <v>0.4</v>
      </c>
      <c r="AD9" s="1">
        <v>0.254</v>
      </c>
      <c r="AE9" s="1">
        <v>0.85199999999999998</v>
      </c>
      <c r="AF9" s="1">
        <v>0.217</v>
      </c>
      <c r="AG9" s="1">
        <v>0.4</v>
      </c>
      <c r="AI9" s="1">
        <v>0</v>
      </c>
      <c r="AJ9" s="1">
        <v>0</v>
      </c>
      <c r="AK9" s="1">
        <v>0</v>
      </c>
      <c r="AL9" s="1">
        <v>1</v>
      </c>
      <c r="AM9" s="1">
        <v>86400</v>
      </c>
      <c r="AN9" s="1">
        <v>70383</v>
      </c>
      <c r="AO9" s="1">
        <v>16017</v>
      </c>
      <c r="AP9" s="1">
        <v>43942</v>
      </c>
      <c r="AQ9" s="1">
        <v>2.0159687930275378</v>
      </c>
    </row>
    <row r="10" spans="1:43" x14ac:dyDescent="0.45">
      <c r="A10" s="1">
        <v>9</v>
      </c>
      <c r="B10" s="1">
        <v>26</v>
      </c>
      <c r="C10" s="1">
        <v>126</v>
      </c>
      <c r="D10" s="1" t="s">
        <v>51</v>
      </c>
      <c r="E10" s="1" t="s">
        <v>52</v>
      </c>
      <c r="F10" s="1" t="s">
        <v>53</v>
      </c>
      <c r="G10" s="1" t="s">
        <v>54</v>
      </c>
      <c r="H10" s="1" t="s">
        <v>47</v>
      </c>
      <c r="I10" s="1">
        <v>1113</v>
      </c>
      <c r="J10" s="1">
        <v>60690</v>
      </c>
      <c r="K10" s="1">
        <v>1</v>
      </c>
      <c r="L10" s="1">
        <v>125</v>
      </c>
      <c r="M10" s="1">
        <v>593</v>
      </c>
      <c r="N10" s="1" t="s">
        <v>48</v>
      </c>
      <c r="O10" s="1">
        <v>13942</v>
      </c>
      <c r="P10" s="1">
        <v>91</v>
      </c>
      <c r="Q10" s="1" t="s">
        <v>106</v>
      </c>
      <c r="R10" s="1" t="s">
        <v>50</v>
      </c>
      <c r="S10" s="1">
        <v>0</v>
      </c>
      <c r="T10" s="1">
        <v>0</v>
      </c>
      <c r="U10" s="1">
        <v>103.935</v>
      </c>
      <c r="V10" s="1">
        <v>26.231999999999999</v>
      </c>
      <c r="W10" s="1">
        <v>0.54</v>
      </c>
      <c r="X10" s="1">
        <v>0.158</v>
      </c>
      <c r="Y10" s="1">
        <v>26.39</v>
      </c>
      <c r="Z10" s="1">
        <v>1.0669999999999999</v>
      </c>
      <c r="AA10" s="1">
        <v>0.7</v>
      </c>
      <c r="AB10" s="1">
        <v>0.7</v>
      </c>
      <c r="AC10" s="1">
        <v>0.7</v>
      </c>
      <c r="AD10" s="1">
        <v>0.158</v>
      </c>
      <c r="AE10" s="1">
        <v>1.0660000000000001</v>
      </c>
      <c r="AF10" s="1">
        <v>0.16800000000000001</v>
      </c>
      <c r="AG10" s="1">
        <v>0.7</v>
      </c>
      <c r="AI10" s="1">
        <v>0</v>
      </c>
      <c r="AJ10" s="1">
        <v>0</v>
      </c>
      <c r="AK10" s="1">
        <v>0</v>
      </c>
      <c r="AL10" s="1">
        <v>1</v>
      </c>
      <c r="AM10" s="1">
        <v>86400</v>
      </c>
      <c r="AN10" s="1">
        <v>80833</v>
      </c>
      <c r="AO10" s="1">
        <v>5567</v>
      </c>
      <c r="AP10" s="1">
        <v>46824</v>
      </c>
      <c r="AQ10" s="1">
        <v>13.86191296548439</v>
      </c>
    </row>
    <row r="11" spans="1:43" x14ac:dyDescent="0.45">
      <c r="A11" s="1">
        <v>10</v>
      </c>
      <c r="B11" s="1">
        <v>26</v>
      </c>
      <c r="C11" s="1">
        <v>126</v>
      </c>
      <c r="D11" s="1" t="s">
        <v>51</v>
      </c>
      <c r="E11" s="1" t="s">
        <v>52</v>
      </c>
      <c r="F11" s="1" t="s">
        <v>53</v>
      </c>
      <c r="G11" s="1" t="s">
        <v>54</v>
      </c>
      <c r="H11" s="1" t="s">
        <v>47</v>
      </c>
      <c r="I11" s="1">
        <v>1113</v>
      </c>
      <c r="J11" s="1">
        <v>60690</v>
      </c>
      <c r="K11" s="1">
        <v>1</v>
      </c>
      <c r="L11" s="1">
        <v>125</v>
      </c>
      <c r="M11" s="1">
        <v>594</v>
      </c>
      <c r="N11" s="1" t="s">
        <v>48</v>
      </c>
      <c r="O11" s="1">
        <v>13947</v>
      </c>
      <c r="P11" s="1">
        <v>91</v>
      </c>
      <c r="Q11" s="1" t="s">
        <v>106</v>
      </c>
      <c r="R11" s="1" t="s">
        <v>50</v>
      </c>
      <c r="S11" s="1">
        <v>0</v>
      </c>
      <c r="T11" s="1">
        <v>0</v>
      </c>
      <c r="U11" s="1">
        <v>65.254999999999995</v>
      </c>
      <c r="V11" s="1">
        <v>25.541</v>
      </c>
      <c r="W11" s="1">
        <v>0.54</v>
      </c>
      <c r="X11" s="1">
        <v>0.152</v>
      </c>
      <c r="Y11" s="1">
        <v>25.693000000000001</v>
      </c>
      <c r="Z11" s="1">
        <v>0.91400000000000003</v>
      </c>
      <c r="AA11" s="1">
        <v>1</v>
      </c>
      <c r="AB11" s="1">
        <v>1</v>
      </c>
      <c r="AC11" s="1">
        <v>1</v>
      </c>
      <c r="AD11" s="1">
        <v>0.152</v>
      </c>
      <c r="AE11" s="1">
        <v>0.91300000000000003</v>
      </c>
      <c r="AF11" s="1">
        <v>0.13900000000000001</v>
      </c>
      <c r="AG11" s="1">
        <v>1</v>
      </c>
      <c r="AI11" s="1">
        <v>0</v>
      </c>
      <c r="AJ11" s="1">
        <v>0</v>
      </c>
      <c r="AK11" s="1">
        <v>0</v>
      </c>
      <c r="AL11" s="1">
        <v>1</v>
      </c>
      <c r="AM11" s="1">
        <v>86400</v>
      </c>
      <c r="AN11" s="1">
        <v>81255</v>
      </c>
      <c r="AO11" s="1">
        <v>5145</v>
      </c>
      <c r="AP11" s="1">
        <v>46827</v>
      </c>
      <c r="AQ11" s="1">
        <v>8.1583103042716871</v>
      </c>
    </row>
    <row r="12" spans="1:43" x14ac:dyDescent="0.45">
      <c r="A12" s="1">
        <v>11</v>
      </c>
      <c r="B12" s="1">
        <v>26</v>
      </c>
      <c r="C12" s="1">
        <v>126</v>
      </c>
      <c r="D12" s="1" t="s">
        <v>51</v>
      </c>
      <c r="E12" s="1" t="s">
        <v>52</v>
      </c>
      <c r="F12" s="1" t="s">
        <v>53</v>
      </c>
      <c r="G12" s="1" t="s">
        <v>54</v>
      </c>
      <c r="H12" s="1" t="s">
        <v>47</v>
      </c>
      <c r="I12" s="1">
        <v>1113</v>
      </c>
      <c r="J12" s="1">
        <v>60690</v>
      </c>
      <c r="K12" s="1">
        <v>1</v>
      </c>
      <c r="L12" s="1">
        <v>125</v>
      </c>
      <c r="M12" s="1">
        <v>595</v>
      </c>
      <c r="N12" s="1" t="s">
        <v>48</v>
      </c>
      <c r="O12" s="1">
        <v>13948</v>
      </c>
      <c r="P12" s="1">
        <v>91</v>
      </c>
      <c r="Q12" s="1" t="s">
        <v>106</v>
      </c>
      <c r="R12" s="1" t="s">
        <v>50</v>
      </c>
      <c r="S12" s="1">
        <v>0</v>
      </c>
      <c r="T12" s="1">
        <v>0</v>
      </c>
      <c r="U12" s="1">
        <v>78.772000000000006</v>
      </c>
      <c r="V12" s="1">
        <v>25.585000000000001</v>
      </c>
      <c r="W12" s="1">
        <v>0.52</v>
      </c>
      <c r="X12" s="1">
        <v>0.1</v>
      </c>
      <c r="Y12" s="1">
        <v>25.684999999999999</v>
      </c>
      <c r="Z12" s="1">
        <v>1.0389999999999999</v>
      </c>
      <c r="AA12" s="1">
        <v>0.9</v>
      </c>
      <c r="AB12" s="1">
        <v>0.9</v>
      </c>
      <c r="AC12" s="1">
        <v>0.9</v>
      </c>
      <c r="AD12" s="1">
        <v>0.1</v>
      </c>
      <c r="AE12" s="1">
        <v>1.0369999999999999</v>
      </c>
      <c r="AF12" s="1">
        <v>0.104</v>
      </c>
      <c r="AG12" s="1">
        <v>0.9</v>
      </c>
      <c r="AI12" s="1">
        <v>0</v>
      </c>
      <c r="AJ12" s="1">
        <v>0</v>
      </c>
      <c r="AK12" s="1">
        <v>0</v>
      </c>
      <c r="AL12" s="1">
        <v>1</v>
      </c>
      <c r="AM12" s="1">
        <v>83033</v>
      </c>
      <c r="AN12" s="1">
        <v>60272</v>
      </c>
      <c r="AO12" s="1">
        <v>22761</v>
      </c>
      <c r="AP12" s="1">
        <v>47212</v>
      </c>
      <c r="AQ12" s="1">
        <v>3.1463352407707261</v>
      </c>
    </row>
    <row r="13" spans="1:43" x14ac:dyDescent="0.45">
      <c r="A13" s="1">
        <v>12</v>
      </c>
      <c r="B13" s="1">
        <v>26</v>
      </c>
      <c r="C13" s="1">
        <v>126</v>
      </c>
      <c r="D13" s="1" t="s">
        <v>51</v>
      </c>
      <c r="E13" s="1" t="s">
        <v>52</v>
      </c>
      <c r="F13" s="1" t="s">
        <v>53</v>
      </c>
      <c r="G13" s="1" t="s">
        <v>54</v>
      </c>
      <c r="H13" s="1" t="s">
        <v>47</v>
      </c>
      <c r="I13" s="1">
        <v>1113</v>
      </c>
      <c r="J13" s="1">
        <v>60690</v>
      </c>
      <c r="K13" s="1">
        <v>1</v>
      </c>
      <c r="L13" s="1">
        <v>125</v>
      </c>
      <c r="M13" s="1">
        <v>597</v>
      </c>
      <c r="N13" s="1" t="s">
        <v>48</v>
      </c>
      <c r="O13" s="1">
        <v>13980</v>
      </c>
      <c r="P13" s="1">
        <v>91</v>
      </c>
      <c r="Q13" s="1" t="s">
        <v>106</v>
      </c>
      <c r="R13" s="1" t="s">
        <v>50</v>
      </c>
      <c r="S13" s="1">
        <v>0</v>
      </c>
      <c r="T13" s="1">
        <v>0</v>
      </c>
      <c r="U13" s="1">
        <v>129.672</v>
      </c>
      <c r="V13" s="1">
        <v>26.687000000000001</v>
      </c>
      <c r="W13" s="1">
        <v>1.23</v>
      </c>
      <c r="X13" s="1">
        <v>1.24</v>
      </c>
      <c r="Y13" s="1">
        <v>27.927</v>
      </c>
      <c r="Z13" s="1">
        <v>0.38400000000000001</v>
      </c>
      <c r="AA13" s="1">
        <v>1.7</v>
      </c>
      <c r="AB13" s="1">
        <v>1.7</v>
      </c>
      <c r="AC13" s="1">
        <v>1.7</v>
      </c>
      <c r="AD13" s="1">
        <v>1.24</v>
      </c>
      <c r="AE13" s="1">
        <v>0.38400000000000001</v>
      </c>
      <c r="AF13" s="1">
        <v>0.47599999999999998</v>
      </c>
      <c r="AG13" s="1">
        <v>1.7</v>
      </c>
      <c r="AI13" s="1">
        <v>0</v>
      </c>
      <c r="AJ13" s="1">
        <v>0</v>
      </c>
      <c r="AK13" s="1">
        <v>0</v>
      </c>
      <c r="AL13" s="1">
        <v>1</v>
      </c>
      <c r="AM13" s="1">
        <v>86400</v>
      </c>
      <c r="AN13" s="1">
        <v>81129</v>
      </c>
      <c r="AO13" s="1">
        <v>5271</v>
      </c>
      <c r="AP13" s="1">
        <v>45400</v>
      </c>
      <c r="AQ13" s="1">
        <v>16.446085103472111</v>
      </c>
    </row>
    <row r="14" spans="1:43" x14ac:dyDescent="0.45">
      <c r="A14" s="1">
        <v>13</v>
      </c>
      <c r="B14" s="1">
        <v>26</v>
      </c>
      <c r="C14" s="1">
        <v>126</v>
      </c>
      <c r="D14" s="1" t="s">
        <v>51</v>
      </c>
      <c r="E14" s="1" t="s">
        <v>52</v>
      </c>
      <c r="F14" s="1" t="s">
        <v>53</v>
      </c>
      <c r="G14" s="1" t="s">
        <v>54</v>
      </c>
      <c r="H14" s="1" t="s">
        <v>47</v>
      </c>
      <c r="I14" s="1">
        <v>1113</v>
      </c>
      <c r="J14" s="1">
        <v>60690</v>
      </c>
      <c r="K14" s="1">
        <v>1</v>
      </c>
      <c r="L14" s="1">
        <v>125</v>
      </c>
      <c r="M14" s="1">
        <v>598</v>
      </c>
      <c r="N14" s="1" t="s">
        <v>48</v>
      </c>
      <c r="O14" s="1">
        <v>13981</v>
      </c>
      <c r="P14" s="1">
        <v>91</v>
      </c>
      <c r="Q14" s="1" t="s">
        <v>106</v>
      </c>
      <c r="R14" s="1" t="s">
        <v>50</v>
      </c>
      <c r="S14" s="1">
        <v>0</v>
      </c>
      <c r="T14" s="1">
        <v>0</v>
      </c>
      <c r="U14" s="1">
        <v>101.494</v>
      </c>
      <c r="V14" s="1">
        <v>27.503</v>
      </c>
      <c r="W14" s="1">
        <v>0.56999999999999995</v>
      </c>
      <c r="X14" s="1">
        <v>0.42399999999999999</v>
      </c>
      <c r="Y14" s="1">
        <v>27.927</v>
      </c>
      <c r="Z14" s="1">
        <v>6.5000000000000002E-2</v>
      </c>
      <c r="AA14" s="1">
        <v>-2.4</v>
      </c>
      <c r="AB14" s="1">
        <v>1</v>
      </c>
      <c r="AC14" s="1">
        <v>1</v>
      </c>
      <c r="AD14" s="1">
        <v>0.42399999999999999</v>
      </c>
      <c r="AE14" s="1">
        <v>6.5000000000000002E-2</v>
      </c>
      <c r="AF14" s="1">
        <v>2.7E-2</v>
      </c>
      <c r="AI14" s="1">
        <v>0</v>
      </c>
      <c r="AJ14" s="1">
        <v>0</v>
      </c>
      <c r="AK14" s="1">
        <v>0</v>
      </c>
      <c r="AL14" s="1">
        <v>1</v>
      </c>
      <c r="AM14" s="1">
        <v>86400</v>
      </c>
      <c r="AN14" s="1">
        <v>68360</v>
      </c>
      <c r="AO14" s="1">
        <v>18040</v>
      </c>
      <c r="AP14" s="1">
        <v>43770</v>
      </c>
      <c r="AQ14" s="1">
        <v>2.550246115372929</v>
      </c>
    </row>
    <row r="15" spans="1:43" x14ac:dyDescent="0.45">
      <c r="A15" s="1">
        <v>14</v>
      </c>
      <c r="B15" s="1">
        <v>26</v>
      </c>
      <c r="C15" s="1">
        <v>126</v>
      </c>
      <c r="D15" s="1" t="s">
        <v>51</v>
      </c>
      <c r="E15" s="1" t="s">
        <v>52</v>
      </c>
      <c r="F15" s="1" t="s">
        <v>53</v>
      </c>
      <c r="G15" s="1" t="s">
        <v>54</v>
      </c>
      <c r="H15" s="1" t="s">
        <v>47</v>
      </c>
      <c r="I15" s="1">
        <v>1113</v>
      </c>
      <c r="J15" s="1">
        <v>60690</v>
      </c>
      <c r="K15" s="1">
        <v>1</v>
      </c>
      <c r="L15" s="1">
        <v>125</v>
      </c>
      <c r="M15" s="1">
        <v>599</v>
      </c>
      <c r="N15" s="1" t="s">
        <v>48</v>
      </c>
      <c r="O15" s="1">
        <v>13983</v>
      </c>
      <c r="P15" s="1">
        <v>91</v>
      </c>
      <c r="Q15" s="1" t="s">
        <v>106</v>
      </c>
      <c r="R15" s="1" t="s">
        <v>50</v>
      </c>
      <c r="S15" s="1">
        <v>0</v>
      </c>
      <c r="T15" s="1">
        <v>0</v>
      </c>
      <c r="U15" s="1">
        <v>120.179</v>
      </c>
      <c r="V15" s="1">
        <v>26.143000000000001</v>
      </c>
      <c r="W15" s="1">
        <v>1.27</v>
      </c>
      <c r="X15" s="1">
        <v>1.784</v>
      </c>
      <c r="Y15" s="1">
        <v>27.927</v>
      </c>
      <c r="Z15" s="1">
        <v>1.4999999999999999E-2</v>
      </c>
      <c r="AA15" s="1">
        <v>0.5</v>
      </c>
      <c r="AB15" s="1">
        <v>0.5</v>
      </c>
      <c r="AC15" s="1">
        <v>0.5</v>
      </c>
      <c r="AD15" s="1">
        <v>1.784</v>
      </c>
      <c r="AE15" s="1">
        <v>1.4999999999999999E-2</v>
      </c>
      <c r="AF15" s="1">
        <v>2.7E-2</v>
      </c>
      <c r="AG15" s="1">
        <v>0.5</v>
      </c>
      <c r="AI15" s="1">
        <v>0</v>
      </c>
      <c r="AJ15" s="1">
        <v>0</v>
      </c>
      <c r="AK15" s="1">
        <v>0</v>
      </c>
      <c r="AL15" s="1">
        <v>1</v>
      </c>
      <c r="AM15" s="1">
        <v>86400</v>
      </c>
      <c r="AN15" s="1">
        <v>81300</v>
      </c>
      <c r="AO15" s="1">
        <v>5100</v>
      </c>
      <c r="AP15" s="1">
        <v>46917</v>
      </c>
      <c r="AQ15" s="1">
        <v>18.214009098420071</v>
      </c>
    </row>
    <row r="16" spans="1:43" x14ac:dyDescent="0.45">
      <c r="A16" s="1">
        <v>15</v>
      </c>
      <c r="B16" s="1">
        <v>26</v>
      </c>
      <c r="C16" s="1">
        <v>126</v>
      </c>
      <c r="D16" s="1" t="s">
        <v>51</v>
      </c>
      <c r="E16" s="1" t="s">
        <v>52</v>
      </c>
      <c r="F16" s="1" t="s">
        <v>53</v>
      </c>
      <c r="G16" s="1" t="s">
        <v>54</v>
      </c>
      <c r="H16" s="1" t="s">
        <v>47</v>
      </c>
      <c r="I16" s="1">
        <v>1113</v>
      </c>
      <c r="J16" s="1">
        <v>60690</v>
      </c>
      <c r="K16" s="1">
        <v>1</v>
      </c>
      <c r="L16" s="1">
        <v>125</v>
      </c>
      <c r="M16" s="1">
        <v>600</v>
      </c>
      <c r="N16" s="1" t="s">
        <v>48</v>
      </c>
      <c r="O16" s="1">
        <v>13984</v>
      </c>
      <c r="P16" s="1">
        <v>91</v>
      </c>
      <c r="Q16" s="1" t="s">
        <v>106</v>
      </c>
      <c r="R16" s="1" t="s">
        <v>50</v>
      </c>
      <c r="S16" s="1">
        <v>0</v>
      </c>
      <c r="T16" s="1">
        <v>0</v>
      </c>
      <c r="U16" s="1">
        <v>56.768999999999998</v>
      </c>
      <c r="V16" s="1">
        <v>26.436</v>
      </c>
      <c r="W16" s="1">
        <v>1.24</v>
      </c>
      <c r="X16" s="1">
        <v>1.4910000000000001</v>
      </c>
      <c r="Y16" s="1">
        <v>27.927</v>
      </c>
      <c r="Z16" s="1">
        <v>7.1999999999999995E-2</v>
      </c>
      <c r="AA16" s="1">
        <v>2</v>
      </c>
      <c r="AB16" s="1">
        <v>2</v>
      </c>
      <c r="AC16" s="1">
        <v>2</v>
      </c>
      <c r="AD16" s="1">
        <v>1.4910000000000001</v>
      </c>
      <c r="AE16" s="1">
        <v>7.1999999999999995E-2</v>
      </c>
      <c r="AF16" s="1">
        <v>0.107</v>
      </c>
      <c r="AG16" s="1">
        <v>2</v>
      </c>
      <c r="AI16" s="1">
        <v>0</v>
      </c>
      <c r="AJ16" s="1">
        <v>0</v>
      </c>
      <c r="AK16" s="1">
        <v>0</v>
      </c>
      <c r="AL16" s="1">
        <v>1</v>
      </c>
      <c r="AM16" s="1">
        <v>86400</v>
      </c>
      <c r="AN16" s="1">
        <v>79268</v>
      </c>
      <c r="AO16" s="1">
        <v>7132</v>
      </c>
      <c r="AP16" s="1">
        <v>43725</v>
      </c>
      <c r="AQ16" s="1">
        <v>8.1239243294216497</v>
      </c>
    </row>
    <row r="17" spans="1:43" x14ac:dyDescent="0.45">
      <c r="A17" s="1">
        <v>16</v>
      </c>
      <c r="B17" s="1">
        <v>26</v>
      </c>
      <c r="C17" s="1">
        <v>126</v>
      </c>
      <c r="D17" s="1" t="s">
        <v>51</v>
      </c>
      <c r="E17" s="1" t="s">
        <v>52</v>
      </c>
      <c r="F17" s="1" t="s">
        <v>53</v>
      </c>
      <c r="G17" s="1" t="s">
        <v>54</v>
      </c>
      <c r="H17" s="1" t="s">
        <v>47</v>
      </c>
      <c r="I17" s="1">
        <v>1113</v>
      </c>
      <c r="J17" s="1">
        <v>60690</v>
      </c>
      <c r="K17" s="1">
        <v>1</v>
      </c>
      <c r="L17" s="1">
        <v>125</v>
      </c>
      <c r="M17" s="1">
        <v>601</v>
      </c>
      <c r="N17" s="1" t="s">
        <v>48</v>
      </c>
      <c r="O17" s="1">
        <v>13985</v>
      </c>
      <c r="P17" s="1">
        <v>91</v>
      </c>
      <c r="Q17" s="1" t="s">
        <v>106</v>
      </c>
      <c r="R17" s="1" t="s">
        <v>50</v>
      </c>
      <c r="S17" s="1">
        <v>0</v>
      </c>
      <c r="T17" s="1">
        <v>0</v>
      </c>
      <c r="U17" s="1">
        <v>123.34399999999999</v>
      </c>
      <c r="V17" s="1">
        <v>26.719000000000001</v>
      </c>
      <c r="W17" s="1">
        <v>1.21</v>
      </c>
      <c r="X17" s="1">
        <v>1.208</v>
      </c>
      <c r="Y17" s="1">
        <v>27.927</v>
      </c>
      <c r="Z17" s="1">
        <v>0.25</v>
      </c>
      <c r="AA17" s="1">
        <v>1</v>
      </c>
      <c r="AB17" s="1">
        <v>1</v>
      </c>
      <c r="AC17" s="1">
        <v>1</v>
      </c>
      <c r="AD17" s="1">
        <v>1.208</v>
      </c>
      <c r="AE17" s="1">
        <v>0.25</v>
      </c>
      <c r="AF17" s="1">
        <v>0.30199999999999999</v>
      </c>
      <c r="AG17" s="1">
        <v>1</v>
      </c>
      <c r="AI17" s="1">
        <v>0</v>
      </c>
      <c r="AJ17" s="1">
        <v>0</v>
      </c>
      <c r="AK17" s="1">
        <v>0</v>
      </c>
      <c r="AL17" s="1">
        <v>1</v>
      </c>
      <c r="AM17" s="1">
        <v>86400</v>
      </c>
      <c r="AN17" s="1">
        <v>76587</v>
      </c>
      <c r="AO17" s="1">
        <v>9813</v>
      </c>
      <c r="AP17" s="1">
        <v>43860</v>
      </c>
      <c r="AQ17" s="1">
        <v>19.124216548558131</v>
      </c>
    </row>
    <row r="18" spans="1:43" x14ac:dyDescent="0.45">
      <c r="A18" s="1">
        <v>17</v>
      </c>
      <c r="B18" s="1">
        <v>26</v>
      </c>
      <c r="C18" s="1">
        <v>126</v>
      </c>
      <c r="D18" s="1" t="s">
        <v>51</v>
      </c>
      <c r="E18" s="1" t="s">
        <v>52</v>
      </c>
      <c r="F18" s="1" t="s">
        <v>53</v>
      </c>
      <c r="G18" s="1" t="s">
        <v>54</v>
      </c>
      <c r="H18" s="1" t="s">
        <v>47</v>
      </c>
      <c r="I18" s="1">
        <v>1113</v>
      </c>
      <c r="J18" s="1">
        <v>60690</v>
      </c>
      <c r="K18" s="1">
        <v>1</v>
      </c>
      <c r="L18" s="1">
        <v>125</v>
      </c>
      <c r="M18" s="1">
        <v>602</v>
      </c>
      <c r="N18" s="1" t="s">
        <v>48</v>
      </c>
      <c r="O18" s="1">
        <v>13991</v>
      </c>
      <c r="P18" s="1">
        <v>91</v>
      </c>
      <c r="Q18" s="1" t="s">
        <v>106</v>
      </c>
      <c r="R18" s="1" t="s">
        <v>50</v>
      </c>
      <c r="S18" s="1">
        <v>0</v>
      </c>
      <c r="T18" s="1">
        <v>0</v>
      </c>
      <c r="U18" s="1">
        <v>207.12200000000001</v>
      </c>
      <c r="V18" s="1">
        <v>27.35</v>
      </c>
      <c r="W18" s="1">
        <v>0.63</v>
      </c>
      <c r="X18" s="1">
        <v>0.74</v>
      </c>
      <c r="Y18" s="1">
        <v>28.09</v>
      </c>
      <c r="Z18" s="1">
        <v>0.183</v>
      </c>
      <c r="AA18" s="1">
        <v>1.2</v>
      </c>
      <c r="AB18" s="1">
        <v>1.2</v>
      </c>
      <c r="AC18" s="1">
        <v>1.2</v>
      </c>
      <c r="AD18" s="1">
        <v>0.74</v>
      </c>
      <c r="AE18" s="1">
        <v>0.183</v>
      </c>
      <c r="AF18" s="1">
        <v>0.13500000000000001</v>
      </c>
      <c r="AG18" s="1">
        <v>1.2</v>
      </c>
      <c r="AI18" s="1">
        <v>0</v>
      </c>
      <c r="AJ18" s="1">
        <v>0</v>
      </c>
      <c r="AK18" s="1">
        <v>0</v>
      </c>
      <c r="AL18" s="1">
        <v>1</v>
      </c>
      <c r="AM18" s="1">
        <v>86400</v>
      </c>
      <c r="AN18" s="1">
        <v>80043</v>
      </c>
      <c r="AO18" s="1">
        <v>6357</v>
      </c>
      <c r="AP18" s="1">
        <v>46932</v>
      </c>
      <c r="AQ18" s="1">
        <v>19.211231599200559</v>
      </c>
    </row>
    <row r="19" spans="1:43" x14ac:dyDescent="0.45">
      <c r="A19" s="1">
        <v>18</v>
      </c>
      <c r="B19" s="1">
        <v>26</v>
      </c>
      <c r="C19" s="1">
        <v>126</v>
      </c>
      <c r="D19" s="1" t="s">
        <v>51</v>
      </c>
      <c r="E19" s="1" t="s">
        <v>52</v>
      </c>
      <c r="F19" s="1" t="s">
        <v>53</v>
      </c>
      <c r="G19" s="1" t="s">
        <v>54</v>
      </c>
      <c r="H19" s="1" t="s">
        <v>47</v>
      </c>
      <c r="I19" s="1">
        <v>1113</v>
      </c>
      <c r="J19" s="1">
        <v>60690</v>
      </c>
      <c r="K19" s="1">
        <v>1</v>
      </c>
      <c r="L19" s="1">
        <v>125</v>
      </c>
      <c r="M19" s="1">
        <v>604</v>
      </c>
      <c r="N19" s="1" t="s">
        <v>48</v>
      </c>
      <c r="O19" s="1">
        <v>13995</v>
      </c>
      <c r="P19" s="1">
        <v>91</v>
      </c>
      <c r="Q19" s="1" t="s">
        <v>106</v>
      </c>
      <c r="R19" s="1" t="s">
        <v>50</v>
      </c>
      <c r="S19" s="1">
        <v>0</v>
      </c>
      <c r="T19" s="1">
        <v>0</v>
      </c>
      <c r="U19" s="1">
        <v>115.254</v>
      </c>
      <c r="V19" s="1">
        <v>27.329000000000001</v>
      </c>
      <c r="W19" s="1">
        <v>0.56999999999999995</v>
      </c>
      <c r="X19" s="1">
        <v>0.41799999999999998</v>
      </c>
      <c r="Y19" s="1">
        <v>27.747</v>
      </c>
      <c r="Z19" s="1">
        <v>0.28399999999999997</v>
      </c>
      <c r="AA19" s="1">
        <v>-2.2999999999999998</v>
      </c>
      <c r="AB19" s="1">
        <v>-2.2999999999999998</v>
      </c>
      <c r="AC19" s="1">
        <v>-2.2999999999999998</v>
      </c>
      <c r="AD19" s="1">
        <v>0.41799999999999998</v>
      </c>
      <c r="AE19" s="1">
        <v>0.28399999999999997</v>
      </c>
      <c r="AF19" s="1">
        <v>0.11899999999999999</v>
      </c>
      <c r="AG19" s="1">
        <v>-2.2999999999999998</v>
      </c>
      <c r="AI19" s="1">
        <v>0</v>
      </c>
      <c r="AJ19" s="1">
        <v>0</v>
      </c>
      <c r="AK19" s="1">
        <v>0</v>
      </c>
      <c r="AL19" s="1">
        <v>1</v>
      </c>
      <c r="AM19" s="1">
        <v>86400</v>
      </c>
      <c r="AN19" s="1">
        <v>71557</v>
      </c>
      <c r="AO19" s="1">
        <v>14843</v>
      </c>
      <c r="AP19" s="1">
        <v>46936</v>
      </c>
      <c r="AQ19" s="1">
        <v>6.4405774991027416</v>
      </c>
    </row>
    <row r="20" spans="1:43" x14ac:dyDescent="0.45">
      <c r="A20" s="1">
        <v>19</v>
      </c>
      <c r="B20" s="1">
        <v>26</v>
      </c>
      <c r="C20" s="1">
        <v>126</v>
      </c>
      <c r="D20" s="1" t="s">
        <v>51</v>
      </c>
      <c r="E20" s="1" t="s">
        <v>52</v>
      </c>
      <c r="F20" s="1" t="s">
        <v>53</v>
      </c>
      <c r="G20" s="1" t="s">
        <v>54</v>
      </c>
      <c r="H20" s="1" t="s">
        <v>47</v>
      </c>
      <c r="I20" s="1">
        <v>1113</v>
      </c>
      <c r="J20" s="1">
        <v>60690</v>
      </c>
      <c r="K20" s="1">
        <v>1</v>
      </c>
      <c r="L20" s="1">
        <v>125</v>
      </c>
      <c r="M20" s="1">
        <v>606</v>
      </c>
      <c r="N20" s="1" t="s">
        <v>48</v>
      </c>
      <c r="O20" s="1">
        <v>13998</v>
      </c>
      <c r="P20" s="1">
        <v>91</v>
      </c>
      <c r="Q20" s="1" t="s">
        <v>106</v>
      </c>
      <c r="R20" s="1" t="s">
        <v>50</v>
      </c>
      <c r="S20" s="1">
        <v>0</v>
      </c>
      <c r="T20" s="1">
        <v>0</v>
      </c>
      <c r="U20" s="1">
        <v>119.096</v>
      </c>
      <c r="V20" s="1">
        <v>27.666</v>
      </c>
      <c r="W20" s="1">
        <v>0.52</v>
      </c>
      <c r="X20" s="1">
        <v>0.12</v>
      </c>
      <c r="Y20" s="1">
        <v>27.786000000000001</v>
      </c>
      <c r="Z20" s="1">
        <v>0.45300000000000001</v>
      </c>
      <c r="AA20" s="1">
        <v>1.1000000000000001</v>
      </c>
      <c r="AB20" s="1">
        <v>1.1000000000000001</v>
      </c>
      <c r="AC20" s="1">
        <v>1.1000000000000001</v>
      </c>
      <c r="AD20" s="1">
        <v>0.12</v>
      </c>
      <c r="AE20" s="1">
        <v>0.45300000000000001</v>
      </c>
      <c r="AF20" s="1">
        <v>5.3999999999999999E-2</v>
      </c>
      <c r="AG20" s="1">
        <v>1.1000000000000001</v>
      </c>
      <c r="AI20" s="1">
        <v>0</v>
      </c>
      <c r="AJ20" s="1">
        <v>0</v>
      </c>
      <c r="AK20" s="1">
        <v>0</v>
      </c>
      <c r="AL20" s="1">
        <v>1</v>
      </c>
      <c r="AM20" s="1">
        <v>86400</v>
      </c>
      <c r="AN20" s="1">
        <v>79787</v>
      </c>
      <c r="AO20" s="1">
        <v>6613</v>
      </c>
      <c r="AP20" s="1">
        <v>47275</v>
      </c>
      <c r="AQ20" s="1">
        <v>10.97122603180012</v>
      </c>
    </row>
    <row r="21" spans="1:43" x14ac:dyDescent="0.45">
      <c r="A21" s="1">
        <v>20</v>
      </c>
      <c r="B21" s="1">
        <v>26</v>
      </c>
      <c r="C21" s="1">
        <v>126</v>
      </c>
      <c r="D21" s="1" t="s">
        <v>51</v>
      </c>
      <c r="E21" s="1" t="s">
        <v>52</v>
      </c>
      <c r="F21" s="1" t="s">
        <v>53</v>
      </c>
      <c r="G21" s="1" t="s">
        <v>54</v>
      </c>
      <c r="H21" s="1" t="s">
        <v>47</v>
      </c>
      <c r="I21" s="1">
        <v>1113</v>
      </c>
      <c r="J21" s="1">
        <v>60690</v>
      </c>
      <c r="K21" s="1">
        <v>1</v>
      </c>
      <c r="L21" s="1">
        <v>125</v>
      </c>
      <c r="M21" s="1">
        <v>607</v>
      </c>
      <c r="N21" s="1" t="s">
        <v>48</v>
      </c>
      <c r="O21" s="1">
        <v>14003</v>
      </c>
      <c r="P21" s="1">
        <v>91</v>
      </c>
      <c r="Q21" s="1" t="s">
        <v>106</v>
      </c>
      <c r="R21" s="1" t="s">
        <v>50</v>
      </c>
      <c r="S21" s="1">
        <v>0</v>
      </c>
      <c r="T21" s="1">
        <v>0</v>
      </c>
      <c r="U21" s="1">
        <v>228.09399999999999</v>
      </c>
      <c r="V21" s="1">
        <v>27.916</v>
      </c>
      <c r="W21" s="1">
        <v>0.54</v>
      </c>
      <c r="X21" s="1">
        <v>0.191</v>
      </c>
      <c r="Y21" s="1">
        <v>28.106999999999999</v>
      </c>
      <c r="Z21" s="1">
        <v>0.33300000000000002</v>
      </c>
      <c r="AA21" s="1">
        <v>1</v>
      </c>
      <c r="AB21" s="1">
        <v>1</v>
      </c>
      <c r="AC21" s="1">
        <v>1</v>
      </c>
      <c r="AD21" s="1">
        <v>0.191</v>
      </c>
      <c r="AE21" s="1">
        <v>0.33200000000000002</v>
      </c>
      <c r="AF21" s="1">
        <v>6.4000000000000001E-2</v>
      </c>
      <c r="AG21" s="1">
        <v>1</v>
      </c>
      <c r="AI21" s="1">
        <v>0</v>
      </c>
      <c r="AJ21" s="1">
        <v>0</v>
      </c>
      <c r="AK21" s="1">
        <v>0</v>
      </c>
      <c r="AL21" s="1">
        <v>1</v>
      </c>
      <c r="AM21" s="1">
        <v>86400</v>
      </c>
      <c r="AN21" s="1">
        <v>80182</v>
      </c>
      <c r="AO21" s="1">
        <v>6218</v>
      </c>
      <c r="AP21" s="1">
        <v>43533</v>
      </c>
      <c r="AQ21" s="1">
        <v>19.374882702662571</v>
      </c>
    </row>
    <row r="22" spans="1:43" x14ac:dyDescent="0.45">
      <c r="A22" s="1">
        <v>21</v>
      </c>
      <c r="B22" s="1">
        <v>26</v>
      </c>
      <c r="C22" s="1">
        <v>126</v>
      </c>
      <c r="D22" s="1" t="s">
        <v>51</v>
      </c>
      <c r="E22" s="1" t="s">
        <v>52</v>
      </c>
      <c r="F22" s="1" t="s">
        <v>53</v>
      </c>
      <c r="G22" s="1" t="s">
        <v>54</v>
      </c>
      <c r="H22" s="1" t="s">
        <v>47</v>
      </c>
      <c r="I22" s="1">
        <v>1113</v>
      </c>
      <c r="J22" s="1">
        <v>60690</v>
      </c>
      <c r="K22" s="1">
        <v>1</v>
      </c>
      <c r="L22" s="1">
        <v>125</v>
      </c>
      <c r="M22" s="1">
        <v>609</v>
      </c>
      <c r="N22" s="1" t="s">
        <v>48</v>
      </c>
      <c r="O22" s="1">
        <v>14028</v>
      </c>
      <c r="P22" s="1">
        <v>91</v>
      </c>
      <c r="Q22" s="1" t="s">
        <v>106</v>
      </c>
      <c r="R22" s="1" t="s">
        <v>50</v>
      </c>
      <c r="S22" s="1">
        <v>0</v>
      </c>
      <c r="T22" s="1">
        <v>0</v>
      </c>
      <c r="U22" s="1">
        <v>53.363999999999997</v>
      </c>
      <c r="V22" s="1">
        <v>26.815000000000001</v>
      </c>
      <c r="W22" s="1">
        <v>1.1499999999999999</v>
      </c>
      <c r="X22" s="1">
        <v>0.93400000000000005</v>
      </c>
      <c r="Y22" s="1">
        <v>27.748000000000001</v>
      </c>
      <c r="Z22" s="1">
        <v>7.6999999999999999E-2</v>
      </c>
      <c r="AA22" s="1">
        <v>-0.6</v>
      </c>
      <c r="AB22" s="1">
        <v>-0.6</v>
      </c>
      <c r="AC22" s="1">
        <v>-0.6</v>
      </c>
      <c r="AD22" s="1">
        <v>0.93400000000000005</v>
      </c>
      <c r="AE22" s="1">
        <v>7.6999999999999999E-2</v>
      </c>
      <c r="AF22" s="1">
        <v>7.1999999999999995E-2</v>
      </c>
      <c r="AG22" s="1">
        <v>-0.6</v>
      </c>
      <c r="AI22" s="1">
        <v>0</v>
      </c>
      <c r="AJ22" s="1">
        <v>0</v>
      </c>
      <c r="AK22" s="1">
        <v>0</v>
      </c>
      <c r="AL22" s="1">
        <v>1</v>
      </c>
      <c r="AM22" s="1">
        <v>86400</v>
      </c>
      <c r="AN22" s="1">
        <v>79880</v>
      </c>
      <c r="AO22" s="1">
        <v>6520</v>
      </c>
      <c r="AP22" s="1">
        <v>47351</v>
      </c>
      <c r="AQ22" s="1">
        <v>8.9482359510857084</v>
      </c>
    </row>
    <row r="23" spans="1:43" x14ac:dyDescent="0.45">
      <c r="A23" s="1">
        <v>22</v>
      </c>
      <c r="B23" s="1">
        <v>26</v>
      </c>
      <c r="C23" s="1">
        <v>126</v>
      </c>
      <c r="D23" s="1" t="s">
        <v>51</v>
      </c>
      <c r="E23" s="1" t="s">
        <v>52</v>
      </c>
      <c r="F23" s="1" t="s">
        <v>53</v>
      </c>
      <c r="G23" s="1" t="s">
        <v>54</v>
      </c>
      <c r="H23" s="1" t="s">
        <v>47</v>
      </c>
      <c r="I23" s="1">
        <v>1113</v>
      </c>
      <c r="J23" s="1">
        <v>60690</v>
      </c>
      <c r="K23" s="1">
        <v>1</v>
      </c>
      <c r="L23" s="1">
        <v>125</v>
      </c>
      <c r="M23" s="1">
        <v>610</v>
      </c>
      <c r="N23" s="1" t="s">
        <v>48</v>
      </c>
      <c r="O23" s="1">
        <v>14029</v>
      </c>
      <c r="P23" s="1">
        <v>91</v>
      </c>
      <c r="Q23" s="1" t="s">
        <v>106</v>
      </c>
      <c r="R23" s="1" t="s">
        <v>50</v>
      </c>
      <c r="S23" s="1">
        <v>0</v>
      </c>
      <c r="T23" s="1">
        <v>0</v>
      </c>
      <c r="U23" s="1">
        <v>87.582999999999998</v>
      </c>
      <c r="V23" s="1">
        <v>26.785</v>
      </c>
      <c r="W23" s="1">
        <v>1.1499999999999999</v>
      </c>
      <c r="X23" s="1">
        <v>0.96099999999999997</v>
      </c>
      <c r="Y23" s="1">
        <v>27.745999999999999</v>
      </c>
      <c r="Z23" s="1">
        <v>7.5999999999999998E-2</v>
      </c>
      <c r="AA23" s="1">
        <v>-0.9</v>
      </c>
      <c r="AB23" s="1">
        <v>2.2000000000000002</v>
      </c>
      <c r="AC23" s="1">
        <v>2.2000000000000002</v>
      </c>
      <c r="AD23" s="1">
        <v>0.96099999999999997</v>
      </c>
      <c r="AE23" s="1">
        <v>7.2999999999999995E-2</v>
      </c>
      <c r="AF23" s="1">
        <v>7.0000000000000007E-2</v>
      </c>
      <c r="AG23" s="1">
        <v>-0.9</v>
      </c>
      <c r="AI23" s="1">
        <v>0</v>
      </c>
      <c r="AJ23" s="1">
        <v>0</v>
      </c>
      <c r="AK23" s="1">
        <v>0</v>
      </c>
      <c r="AL23" s="1">
        <v>1</v>
      </c>
      <c r="AM23" s="1">
        <v>86400</v>
      </c>
      <c r="AN23" s="1">
        <v>80951</v>
      </c>
      <c r="AO23" s="1">
        <v>5449</v>
      </c>
      <c r="AP23" s="1">
        <v>47036</v>
      </c>
      <c r="AQ23" s="1">
        <v>5.2917711164931864</v>
      </c>
    </row>
    <row r="24" spans="1:43" x14ac:dyDescent="0.45">
      <c r="A24" s="1">
        <v>23</v>
      </c>
      <c r="B24" s="1">
        <v>26</v>
      </c>
      <c r="C24" s="1">
        <v>126</v>
      </c>
      <c r="D24" s="1" t="s">
        <v>51</v>
      </c>
      <c r="E24" s="1" t="s">
        <v>52</v>
      </c>
      <c r="F24" s="1" t="s">
        <v>53</v>
      </c>
      <c r="G24" s="1" t="s">
        <v>54</v>
      </c>
      <c r="H24" s="1" t="s">
        <v>47</v>
      </c>
      <c r="I24" s="1">
        <v>1113</v>
      </c>
      <c r="J24" s="1">
        <v>60690</v>
      </c>
      <c r="K24" s="1">
        <v>1</v>
      </c>
      <c r="L24" s="1">
        <v>125</v>
      </c>
      <c r="M24" s="1">
        <v>982</v>
      </c>
      <c r="N24" s="1" t="s">
        <v>48</v>
      </c>
      <c r="O24" s="1">
        <v>14674</v>
      </c>
      <c r="P24" s="1">
        <v>91</v>
      </c>
      <c r="Q24" s="1" t="s">
        <v>106</v>
      </c>
      <c r="R24" s="1" t="s">
        <v>50</v>
      </c>
      <c r="S24" s="1">
        <v>0</v>
      </c>
      <c r="T24" s="1">
        <v>0</v>
      </c>
      <c r="U24" s="1">
        <v>161.94</v>
      </c>
      <c r="V24" s="1">
        <v>27.719000000000001</v>
      </c>
      <c r="W24" s="1">
        <v>0.56999999999999995</v>
      </c>
      <c r="X24" s="1">
        <v>0.35399999999999998</v>
      </c>
      <c r="Y24" s="1">
        <v>28.073</v>
      </c>
      <c r="Z24" s="1">
        <v>0.376</v>
      </c>
      <c r="AA24" s="1">
        <v>-2.4</v>
      </c>
      <c r="AB24" s="1">
        <v>-2.4</v>
      </c>
      <c r="AC24" s="1">
        <v>-2.4</v>
      </c>
      <c r="AD24" s="1">
        <v>0.35399999999999998</v>
      </c>
      <c r="AE24" s="1">
        <v>0.375</v>
      </c>
      <c r="AF24" s="1">
        <v>0.13300000000000001</v>
      </c>
      <c r="AG24" s="1">
        <v>-2.4</v>
      </c>
      <c r="AI24" s="1">
        <v>0</v>
      </c>
      <c r="AJ24" s="1">
        <v>0</v>
      </c>
      <c r="AK24" s="1">
        <v>0</v>
      </c>
      <c r="AL24" s="1">
        <v>1</v>
      </c>
      <c r="AM24" s="1">
        <v>86400</v>
      </c>
      <c r="AN24" s="1">
        <v>79657</v>
      </c>
      <c r="AO24" s="1">
        <v>6743</v>
      </c>
      <c r="AP24" s="1">
        <v>44732</v>
      </c>
      <c r="AQ24" s="1">
        <v>18.43219016539382</v>
      </c>
    </row>
    <row r="25" spans="1:43" x14ac:dyDescent="0.45">
      <c r="A25" s="1">
        <v>24</v>
      </c>
      <c r="B25" s="1">
        <v>26</v>
      </c>
      <c r="C25" s="1">
        <v>126</v>
      </c>
      <c r="D25" s="1" t="s">
        <v>51</v>
      </c>
      <c r="E25" s="1" t="s">
        <v>52</v>
      </c>
      <c r="F25" s="1" t="s">
        <v>53</v>
      </c>
      <c r="G25" s="1" t="s">
        <v>54</v>
      </c>
      <c r="H25" s="1" t="s">
        <v>47</v>
      </c>
      <c r="I25" s="1">
        <v>1113</v>
      </c>
      <c r="J25" s="1">
        <v>60690</v>
      </c>
      <c r="K25" s="1">
        <v>1</v>
      </c>
      <c r="L25" s="1">
        <v>125</v>
      </c>
      <c r="M25" s="1">
        <v>985</v>
      </c>
      <c r="N25" s="1" t="s">
        <v>48</v>
      </c>
      <c r="O25" s="1">
        <v>14686</v>
      </c>
      <c r="P25" s="1">
        <v>91</v>
      </c>
      <c r="Q25" s="1" t="s">
        <v>106</v>
      </c>
      <c r="R25" s="1" t="s">
        <v>50</v>
      </c>
      <c r="S25" s="1">
        <v>0</v>
      </c>
      <c r="T25" s="1">
        <v>0</v>
      </c>
      <c r="U25" s="1">
        <v>116.11799999999999</v>
      </c>
      <c r="V25" s="1">
        <v>26.023</v>
      </c>
      <c r="W25" s="1">
        <v>0.54</v>
      </c>
      <c r="X25" s="1">
        <v>0.121</v>
      </c>
      <c r="Y25" s="1">
        <v>26.143999999999998</v>
      </c>
      <c r="Z25" s="1">
        <v>1.9730000000000001</v>
      </c>
      <c r="AA25" s="1">
        <v>-0.1</v>
      </c>
      <c r="AB25" s="1">
        <v>-0.1</v>
      </c>
      <c r="AC25" s="1">
        <v>-0.1</v>
      </c>
      <c r="AD25" s="1">
        <v>0.121</v>
      </c>
      <c r="AE25" s="1">
        <v>1.9710000000000001</v>
      </c>
      <c r="AF25" s="1">
        <v>0.23799999999999999</v>
      </c>
      <c r="AG25" s="1">
        <v>-0.1</v>
      </c>
      <c r="AI25" s="1">
        <v>0</v>
      </c>
      <c r="AJ25" s="1">
        <v>0</v>
      </c>
      <c r="AK25" s="1">
        <v>0</v>
      </c>
      <c r="AL25" s="1">
        <v>1</v>
      </c>
      <c r="AM25" s="1">
        <v>52391</v>
      </c>
      <c r="AN25" s="1">
        <v>9072</v>
      </c>
      <c r="AO25" s="1">
        <v>43320</v>
      </c>
      <c r="AP25" s="1">
        <v>48067</v>
      </c>
      <c r="AQ25" s="1">
        <v>12.08164785479444</v>
      </c>
    </row>
    <row r="26" spans="1:43" x14ac:dyDescent="0.45">
      <c r="A26" s="1">
        <v>25</v>
      </c>
      <c r="B26" s="1">
        <v>26</v>
      </c>
      <c r="C26" s="1">
        <v>126</v>
      </c>
      <c r="D26" s="1" t="s">
        <v>51</v>
      </c>
      <c r="E26" s="1" t="s">
        <v>52</v>
      </c>
      <c r="F26" s="1" t="s">
        <v>53</v>
      </c>
      <c r="G26" s="1" t="s">
        <v>54</v>
      </c>
      <c r="H26" s="1" t="s">
        <v>47</v>
      </c>
      <c r="I26" s="1">
        <v>1113</v>
      </c>
      <c r="J26" s="1">
        <v>60690</v>
      </c>
      <c r="K26" s="1">
        <v>1</v>
      </c>
      <c r="L26" s="1">
        <v>125</v>
      </c>
      <c r="M26" s="1">
        <v>1172</v>
      </c>
      <c r="N26" s="1" t="s">
        <v>48</v>
      </c>
      <c r="O26" s="1">
        <v>15184</v>
      </c>
      <c r="P26" s="1">
        <v>91</v>
      </c>
      <c r="Q26" s="1" t="s">
        <v>106</v>
      </c>
      <c r="R26" s="1" t="s">
        <v>50</v>
      </c>
      <c r="S26" s="1">
        <v>0</v>
      </c>
      <c r="T26" s="1">
        <v>0</v>
      </c>
      <c r="U26" s="1">
        <v>94.39</v>
      </c>
      <c r="V26" s="1">
        <v>24.486000000000001</v>
      </c>
      <c r="W26" s="1">
        <v>0.55000000000000004</v>
      </c>
      <c r="X26" s="1">
        <v>0.14199999999999999</v>
      </c>
      <c r="Y26" s="1">
        <v>24.628</v>
      </c>
      <c r="Z26" s="1">
        <v>2.1989999999999998</v>
      </c>
      <c r="AA26" s="1">
        <v>-0.7</v>
      </c>
      <c r="AB26" s="1">
        <v>-0.7</v>
      </c>
      <c r="AC26" s="1">
        <v>-0.7</v>
      </c>
      <c r="AD26" s="1">
        <v>0.14199999999999999</v>
      </c>
      <c r="AE26" s="1">
        <v>2.198</v>
      </c>
      <c r="AF26" s="1">
        <v>0.312</v>
      </c>
      <c r="AG26" s="1">
        <v>-0.7</v>
      </c>
      <c r="AI26" s="1">
        <v>0</v>
      </c>
      <c r="AJ26" s="1">
        <v>0</v>
      </c>
      <c r="AK26" s="1">
        <v>0</v>
      </c>
      <c r="AL26" s="1">
        <v>1</v>
      </c>
      <c r="AM26" s="1">
        <v>52558</v>
      </c>
      <c r="AN26" s="1">
        <v>9275</v>
      </c>
      <c r="AO26" s="1">
        <v>43283</v>
      </c>
      <c r="AP26" s="1">
        <v>47540</v>
      </c>
      <c r="AQ26" s="1">
        <v>12.83758631169958</v>
      </c>
    </row>
    <row r="27" spans="1:43" x14ac:dyDescent="0.45">
      <c r="A27" s="1">
        <v>26</v>
      </c>
      <c r="B27" s="1">
        <v>26</v>
      </c>
      <c r="C27" s="1">
        <v>126</v>
      </c>
      <c r="D27" s="1" t="s">
        <v>51</v>
      </c>
      <c r="E27" s="1" t="s">
        <v>52</v>
      </c>
      <c r="F27" s="1" t="s">
        <v>53</v>
      </c>
      <c r="G27" s="1" t="s">
        <v>54</v>
      </c>
      <c r="H27" s="1" t="s">
        <v>47</v>
      </c>
      <c r="I27" s="1">
        <v>1113</v>
      </c>
      <c r="J27" s="1">
        <v>60690</v>
      </c>
      <c r="K27" s="1">
        <v>1</v>
      </c>
      <c r="L27" s="1">
        <v>125</v>
      </c>
      <c r="M27" s="1">
        <v>1181</v>
      </c>
      <c r="N27" s="1" t="s">
        <v>48</v>
      </c>
      <c r="O27" s="1">
        <v>15204</v>
      </c>
      <c r="P27" s="1">
        <v>91</v>
      </c>
      <c r="Q27" s="1" t="s">
        <v>106</v>
      </c>
      <c r="R27" s="1" t="s">
        <v>50</v>
      </c>
      <c r="S27" s="1">
        <v>0</v>
      </c>
      <c r="T27" s="1">
        <v>0</v>
      </c>
      <c r="U27" s="1">
        <v>79.594999999999999</v>
      </c>
      <c r="V27" s="1">
        <v>24.753</v>
      </c>
      <c r="W27" s="1">
        <v>0.55000000000000004</v>
      </c>
      <c r="X27" s="1">
        <v>0.14699999999999999</v>
      </c>
      <c r="Y27" s="1">
        <v>24.9</v>
      </c>
      <c r="Z27" s="1">
        <v>2.0920000000000001</v>
      </c>
      <c r="AA27" s="1">
        <v>-0.5</v>
      </c>
      <c r="AB27" s="1">
        <v>-0.5</v>
      </c>
      <c r="AC27" s="1">
        <v>-0.5</v>
      </c>
      <c r="AD27" s="1">
        <v>0.14699999999999999</v>
      </c>
      <c r="AE27" s="1">
        <v>2.09</v>
      </c>
      <c r="AF27" s="1">
        <v>0.307</v>
      </c>
      <c r="AG27" s="1">
        <v>-0.5</v>
      </c>
      <c r="AI27" s="1">
        <v>0</v>
      </c>
      <c r="AJ27" s="1">
        <v>0</v>
      </c>
      <c r="AK27" s="1">
        <v>0</v>
      </c>
      <c r="AL27" s="1">
        <v>1</v>
      </c>
      <c r="AM27" s="1">
        <v>52042</v>
      </c>
      <c r="AN27" s="1">
        <v>8668</v>
      </c>
      <c r="AO27" s="1">
        <v>43374</v>
      </c>
      <c r="AP27" s="1">
        <v>48261</v>
      </c>
      <c r="AQ27" s="1">
        <v>19.459536924004158</v>
      </c>
    </row>
    <row r="28" spans="1:43" x14ac:dyDescent="0.45">
      <c r="A28" s="1">
        <v>27</v>
      </c>
      <c r="B28" s="1">
        <v>26</v>
      </c>
      <c r="C28" s="1">
        <v>126</v>
      </c>
      <c r="D28" s="1" t="s">
        <v>51</v>
      </c>
      <c r="E28" s="1" t="s">
        <v>52</v>
      </c>
      <c r="F28" s="1" t="s">
        <v>53</v>
      </c>
      <c r="G28" s="1" t="s">
        <v>54</v>
      </c>
      <c r="H28" s="1" t="s">
        <v>47</v>
      </c>
      <c r="I28" s="1">
        <v>1113</v>
      </c>
      <c r="J28" s="1">
        <v>60690</v>
      </c>
      <c r="K28" s="1">
        <v>1</v>
      </c>
      <c r="L28" s="1">
        <v>125</v>
      </c>
      <c r="M28" s="1">
        <v>1182</v>
      </c>
      <c r="N28" s="1" t="s">
        <v>48</v>
      </c>
      <c r="O28" s="1">
        <v>15206</v>
      </c>
      <c r="P28" s="1">
        <v>91</v>
      </c>
      <c r="Q28" s="1" t="s">
        <v>106</v>
      </c>
      <c r="R28" s="1" t="s">
        <v>50</v>
      </c>
      <c r="S28" s="1">
        <v>0</v>
      </c>
      <c r="T28" s="1">
        <v>0</v>
      </c>
      <c r="U28" s="1">
        <v>97.302999999999997</v>
      </c>
      <c r="V28" s="1">
        <v>25.012</v>
      </c>
      <c r="W28" s="1">
        <v>0.53</v>
      </c>
      <c r="X28" s="1">
        <v>0.10100000000000001</v>
      </c>
      <c r="Y28" s="1">
        <v>25.113</v>
      </c>
      <c r="Z28" s="1">
        <v>2.069</v>
      </c>
      <c r="AA28" s="1">
        <v>-0.6</v>
      </c>
      <c r="AB28" s="1">
        <v>-0.6</v>
      </c>
      <c r="AC28" s="1">
        <v>-0.6</v>
      </c>
      <c r="AD28" s="1">
        <v>0.10100000000000001</v>
      </c>
      <c r="AE28" s="1">
        <v>2.0680000000000001</v>
      </c>
      <c r="AF28" s="1">
        <v>0.21</v>
      </c>
      <c r="AG28" s="1">
        <v>-0.6</v>
      </c>
      <c r="AI28" s="1">
        <v>0</v>
      </c>
      <c r="AJ28" s="1">
        <v>0</v>
      </c>
      <c r="AK28" s="1">
        <v>0</v>
      </c>
      <c r="AL28" s="1">
        <v>1</v>
      </c>
      <c r="AM28" s="1">
        <v>51636</v>
      </c>
      <c r="AN28" s="1">
        <v>7096</v>
      </c>
      <c r="AO28" s="1">
        <v>44539</v>
      </c>
      <c r="AP28" s="1">
        <v>47806</v>
      </c>
      <c r="AQ28" s="1">
        <v>1.078657226174325</v>
      </c>
    </row>
    <row r="29" spans="1:43" x14ac:dyDescent="0.45">
      <c r="A29" s="1">
        <v>28</v>
      </c>
      <c r="B29" s="1">
        <v>26</v>
      </c>
      <c r="C29" s="1">
        <v>126</v>
      </c>
      <c r="D29" s="1" t="s">
        <v>51</v>
      </c>
      <c r="E29" s="1" t="s">
        <v>52</v>
      </c>
      <c r="F29" s="1" t="s">
        <v>53</v>
      </c>
      <c r="G29" s="1" t="s">
        <v>54</v>
      </c>
      <c r="H29" s="1" t="s">
        <v>47</v>
      </c>
      <c r="I29" s="1">
        <v>1113</v>
      </c>
      <c r="J29" s="1">
        <v>60690</v>
      </c>
      <c r="K29" s="1">
        <v>1</v>
      </c>
      <c r="L29" s="1">
        <v>125</v>
      </c>
      <c r="M29" s="1">
        <v>1185</v>
      </c>
      <c r="N29" s="1" t="s">
        <v>48</v>
      </c>
      <c r="O29" s="1">
        <v>15209</v>
      </c>
      <c r="P29" s="1">
        <v>91</v>
      </c>
      <c r="Q29" s="1" t="s">
        <v>106</v>
      </c>
      <c r="R29" s="1" t="s">
        <v>50</v>
      </c>
      <c r="S29" s="1">
        <v>0</v>
      </c>
      <c r="T29" s="1">
        <v>0</v>
      </c>
      <c r="U29" s="1">
        <v>81.462000000000003</v>
      </c>
      <c r="V29" s="1">
        <v>25.463000000000001</v>
      </c>
      <c r="W29" s="1">
        <v>0.55000000000000004</v>
      </c>
      <c r="X29" s="1">
        <v>0.153</v>
      </c>
      <c r="Y29" s="1">
        <v>25.616</v>
      </c>
      <c r="Z29" s="1">
        <v>2.129</v>
      </c>
      <c r="AA29" s="1">
        <v>-0.3</v>
      </c>
      <c r="AB29" s="1">
        <v>-0.3</v>
      </c>
      <c r="AC29" s="1">
        <v>-0.3</v>
      </c>
      <c r="AD29" s="1">
        <v>0.153</v>
      </c>
      <c r="AE29" s="1">
        <v>2.1269999999999998</v>
      </c>
      <c r="AF29" s="1">
        <v>0.32600000000000001</v>
      </c>
      <c r="AG29" s="1">
        <v>-0.3</v>
      </c>
      <c r="AI29" s="1">
        <v>0</v>
      </c>
      <c r="AJ29" s="1">
        <v>0</v>
      </c>
      <c r="AK29" s="1">
        <v>0</v>
      </c>
      <c r="AL29" s="1">
        <v>1</v>
      </c>
      <c r="AM29" s="1">
        <v>52482</v>
      </c>
      <c r="AN29" s="1">
        <v>9172</v>
      </c>
      <c r="AO29" s="1">
        <v>43310</v>
      </c>
      <c r="AP29" s="1">
        <v>48384</v>
      </c>
      <c r="AQ29" s="1">
        <v>19.44385401632449</v>
      </c>
    </row>
    <row r="30" spans="1:43" x14ac:dyDescent="0.45">
      <c r="A30" s="1">
        <v>29</v>
      </c>
      <c r="B30" s="1">
        <v>26</v>
      </c>
      <c r="C30" s="1">
        <v>126</v>
      </c>
      <c r="D30" s="1" t="s">
        <v>51</v>
      </c>
      <c r="E30" s="1" t="s">
        <v>52</v>
      </c>
      <c r="F30" s="1" t="s">
        <v>53</v>
      </c>
      <c r="G30" s="1" t="s">
        <v>54</v>
      </c>
      <c r="H30" s="1" t="s">
        <v>47</v>
      </c>
      <c r="I30" s="1">
        <v>1113</v>
      </c>
      <c r="J30" s="1">
        <v>60690</v>
      </c>
      <c r="K30" s="1">
        <v>1</v>
      </c>
      <c r="L30" s="1">
        <v>125</v>
      </c>
      <c r="M30" s="1">
        <v>1186</v>
      </c>
      <c r="N30" s="1" t="s">
        <v>48</v>
      </c>
      <c r="O30" s="1">
        <v>15210</v>
      </c>
      <c r="P30" s="1">
        <v>91</v>
      </c>
      <c r="Q30" s="1" t="s">
        <v>106</v>
      </c>
      <c r="R30" s="1" t="s">
        <v>50</v>
      </c>
      <c r="S30" s="1">
        <v>0</v>
      </c>
      <c r="T30" s="1">
        <v>0</v>
      </c>
      <c r="U30" s="1">
        <v>105.574</v>
      </c>
      <c r="V30" s="1">
        <v>25.87</v>
      </c>
      <c r="W30" s="1">
        <v>0.53</v>
      </c>
      <c r="X30" s="1">
        <v>0.10299999999999999</v>
      </c>
      <c r="Y30" s="1">
        <v>25.972000000000001</v>
      </c>
      <c r="Z30" s="1">
        <v>1.9119999999999999</v>
      </c>
      <c r="AA30" s="1">
        <v>-0.2</v>
      </c>
      <c r="AB30" s="1">
        <v>-0.2</v>
      </c>
      <c r="AC30" s="1">
        <v>-0.2</v>
      </c>
      <c r="AD30" s="1">
        <v>0.10299999999999999</v>
      </c>
      <c r="AE30" s="1">
        <v>1.911</v>
      </c>
      <c r="AF30" s="1">
        <v>0.19600000000000001</v>
      </c>
      <c r="AG30" s="1">
        <v>-0.2</v>
      </c>
      <c r="AI30" s="1">
        <v>0</v>
      </c>
      <c r="AJ30" s="1">
        <v>0</v>
      </c>
      <c r="AK30" s="1">
        <v>0</v>
      </c>
      <c r="AL30" s="1">
        <v>1</v>
      </c>
      <c r="AM30" s="1">
        <v>51944</v>
      </c>
      <c r="AN30" s="1">
        <v>8467</v>
      </c>
      <c r="AO30" s="1">
        <v>43477</v>
      </c>
      <c r="AP30" s="1">
        <v>47331</v>
      </c>
      <c r="AQ30" s="1">
        <v>11.96136608012406</v>
      </c>
    </row>
    <row r="31" spans="1:43" x14ac:dyDescent="0.45">
      <c r="A31" s="1">
        <v>30</v>
      </c>
      <c r="B31" s="1">
        <v>26</v>
      </c>
      <c r="C31" s="1">
        <v>126</v>
      </c>
      <c r="D31" s="1" t="s">
        <v>51</v>
      </c>
      <c r="E31" s="1" t="s">
        <v>52</v>
      </c>
      <c r="F31" s="1" t="s">
        <v>53</v>
      </c>
      <c r="G31" s="1" t="s">
        <v>54</v>
      </c>
      <c r="H31" s="1" t="s">
        <v>47</v>
      </c>
      <c r="I31" s="1">
        <v>1113</v>
      </c>
      <c r="J31" s="1">
        <v>60690</v>
      </c>
      <c r="K31" s="1">
        <v>1</v>
      </c>
      <c r="L31" s="1">
        <v>125</v>
      </c>
      <c r="M31" s="1">
        <v>1187</v>
      </c>
      <c r="N31" s="1" t="s">
        <v>48</v>
      </c>
      <c r="O31" s="1">
        <v>15219</v>
      </c>
      <c r="P31" s="1">
        <v>91</v>
      </c>
      <c r="Q31" s="1" t="s">
        <v>106</v>
      </c>
      <c r="R31" s="1" t="s">
        <v>50</v>
      </c>
      <c r="S31" s="1">
        <v>0</v>
      </c>
      <c r="T31" s="1">
        <v>0</v>
      </c>
      <c r="U31" s="1">
        <v>162.55099999999999</v>
      </c>
      <c r="V31" s="1">
        <v>27.558</v>
      </c>
      <c r="W31" s="1">
        <v>0.61</v>
      </c>
      <c r="X31" s="1">
        <v>0.64300000000000002</v>
      </c>
      <c r="Y31" s="1">
        <v>28.201000000000001</v>
      </c>
      <c r="Z31" s="1">
        <v>0.23499999999999999</v>
      </c>
      <c r="AA31" s="1">
        <v>-3.1</v>
      </c>
      <c r="AB31" s="1">
        <v>-3.1</v>
      </c>
      <c r="AC31" s="1">
        <v>-3.1</v>
      </c>
      <c r="AD31" s="1">
        <v>0.64300000000000002</v>
      </c>
      <c r="AE31" s="1">
        <v>0.23400000000000001</v>
      </c>
      <c r="AF31" s="1">
        <v>0.151</v>
      </c>
      <c r="AG31" s="1">
        <v>-3.1</v>
      </c>
      <c r="AI31" s="1">
        <v>0</v>
      </c>
      <c r="AJ31" s="1">
        <v>0</v>
      </c>
      <c r="AK31" s="1">
        <v>0</v>
      </c>
      <c r="AL31" s="1">
        <v>1</v>
      </c>
      <c r="AM31" s="1">
        <v>86400</v>
      </c>
      <c r="AN31" s="1">
        <v>80469</v>
      </c>
      <c r="AO31" s="1">
        <v>5931</v>
      </c>
      <c r="AP31" s="1">
        <v>43477</v>
      </c>
      <c r="AQ31" s="1">
        <v>18.413686504200541</v>
      </c>
    </row>
    <row r="32" spans="1:43" x14ac:dyDescent="0.45">
      <c r="A32" s="1">
        <v>31</v>
      </c>
      <c r="B32" s="1">
        <v>26</v>
      </c>
      <c r="C32" s="1">
        <v>126</v>
      </c>
      <c r="D32" s="1" t="s">
        <v>51</v>
      </c>
      <c r="E32" s="1" t="s">
        <v>52</v>
      </c>
      <c r="F32" s="1" t="s">
        <v>53</v>
      </c>
      <c r="G32" s="1" t="s">
        <v>54</v>
      </c>
      <c r="H32" s="1" t="s">
        <v>47</v>
      </c>
      <c r="I32" s="1">
        <v>1113</v>
      </c>
      <c r="J32" s="1">
        <v>60690</v>
      </c>
      <c r="K32" s="1">
        <v>1</v>
      </c>
      <c r="L32" s="1">
        <v>125</v>
      </c>
      <c r="M32" s="1">
        <v>1188</v>
      </c>
      <c r="N32" s="1" t="s">
        <v>48</v>
      </c>
      <c r="O32" s="1">
        <v>15220</v>
      </c>
      <c r="P32" s="1">
        <v>91</v>
      </c>
      <c r="Q32" s="1" t="s">
        <v>106</v>
      </c>
      <c r="R32" s="1" t="s">
        <v>50</v>
      </c>
      <c r="S32" s="1">
        <v>0</v>
      </c>
      <c r="T32" s="1">
        <v>0</v>
      </c>
      <c r="U32" s="1">
        <v>214.108</v>
      </c>
      <c r="V32" s="1">
        <v>28.081</v>
      </c>
      <c r="W32" s="1">
        <v>0.52</v>
      </c>
      <c r="X32" s="1">
        <v>0.12</v>
      </c>
      <c r="Y32" s="1">
        <v>28.201000000000001</v>
      </c>
      <c r="Z32" s="1">
        <v>3.5999999999999997E-2</v>
      </c>
      <c r="AA32" s="1">
        <v>-2.4</v>
      </c>
      <c r="AB32" s="1">
        <v>-1.8</v>
      </c>
      <c r="AC32" s="1">
        <v>-1.8</v>
      </c>
      <c r="AD32" s="1">
        <v>0.12</v>
      </c>
      <c r="AE32" s="1">
        <v>3.4000000000000002E-2</v>
      </c>
      <c r="AF32" s="1">
        <v>4.0000000000000001E-3</v>
      </c>
      <c r="AI32" s="1">
        <v>0</v>
      </c>
      <c r="AJ32" s="1">
        <v>0</v>
      </c>
      <c r="AK32" s="1">
        <v>0</v>
      </c>
      <c r="AL32" s="1">
        <v>1</v>
      </c>
      <c r="AM32" s="1">
        <v>86400</v>
      </c>
      <c r="AN32" s="1">
        <v>69644</v>
      </c>
      <c r="AO32" s="1">
        <v>16756</v>
      </c>
      <c r="AP32" s="1">
        <v>46867</v>
      </c>
      <c r="AQ32" s="1">
        <v>4.3455347958324149</v>
      </c>
    </row>
    <row r="33" spans="1:43" x14ac:dyDescent="0.45">
      <c r="A33" s="1">
        <v>32</v>
      </c>
      <c r="B33" s="1">
        <v>26</v>
      </c>
      <c r="C33" s="1">
        <v>126</v>
      </c>
      <c r="D33" s="1" t="s">
        <v>51</v>
      </c>
      <c r="E33" s="1" t="s">
        <v>52</v>
      </c>
      <c r="F33" s="1" t="s">
        <v>53</v>
      </c>
      <c r="G33" s="1" t="s">
        <v>54</v>
      </c>
      <c r="H33" s="1" t="s">
        <v>47</v>
      </c>
      <c r="I33" s="1">
        <v>1113</v>
      </c>
      <c r="J33" s="1">
        <v>60690</v>
      </c>
      <c r="K33" s="1">
        <v>1</v>
      </c>
      <c r="L33" s="1">
        <v>125</v>
      </c>
      <c r="M33" s="1">
        <v>1189</v>
      </c>
      <c r="N33" s="1" t="s">
        <v>48</v>
      </c>
      <c r="O33" s="1">
        <v>15221</v>
      </c>
      <c r="P33" s="1">
        <v>91</v>
      </c>
      <c r="Q33" s="1" t="s">
        <v>106</v>
      </c>
      <c r="R33" s="1" t="s">
        <v>50</v>
      </c>
      <c r="S33" s="1">
        <v>0</v>
      </c>
      <c r="T33" s="1">
        <v>0</v>
      </c>
      <c r="U33" s="1">
        <v>173.398</v>
      </c>
      <c r="V33" s="1">
        <v>27.64</v>
      </c>
      <c r="W33" s="1">
        <v>0.6</v>
      </c>
      <c r="X33" s="1">
        <v>0.56100000000000005</v>
      </c>
      <c r="Y33" s="1">
        <v>28.201000000000001</v>
      </c>
      <c r="Z33" s="1">
        <v>0.22600000000000001</v>
      </c>
      <c r="AA33" s="1">
        <v>1.7</v>
      </c>
      <c r="AB33" s="1">
        <v>1.7</v>
      </c>
      <c r="AC33" s="1">
        <v>1.7</v>
      </c>
      <c r="AD33" s="1">
        <v>0.56100000000000005</v>
      </c>
      <c r="AE33" s="1">
        <v>0.22500000000000001</v>
      </c>
      <c r="AF33" s="1">
        <v>0.127</v>
      </c>
      <c r="AG33" s="1">
        <v>1.7</v>
      </c>
      <c r="AI33" s="1">
        <v>0</v>
      </c>
      <c r="AJ33" s="1">
        <v>0</v>
      </c>
      <c r="AK33" s="1">
        <v>0</v>
      </c>
      <c r="AL33" s="1">
        <v>1</v>
      </c>
      <c r="AM33" s="1">
        <v>86400</v>
      </c>
      <c r="AN33" s="1">
        <v>80892</v>
      </c>
      <c r="AO33" s="1">
        <v>5508</v>
      </c>
      <c r="AP33" s="1">
        <v>43461</v>
      </c>
      <c r="AQ33" s="1">
        <v>18.611463029148041</v>
      </c>
    </row>
    <row r="34" spans="1:43" x14ac:dyDescent="0.45">
      <c r="A34" s="1">
        <v>33</v>
      </c>
      <c r="B34" s="1">
        <v>73</v>
      </c>
      <c r="C34" s="1">
        <v>83</v>
      </c>
      <c r="D34" s="1" t="s">
        <v>55</v>
      </c>
      <c r="E34" s="1" t="s">
        <v>56</v>
      </c>
      <c r="F34" s="1" t="s">
        <v>57</v>
      </c>
      <c r="G34" s="1" t="s">
        <v>46</v>
      </c>
      <c r="H34" s="1" t="s">
        <v>47</v>
      </c>
      <c r="I34" s="1">
        <v>1176</v>
      </c>
      <c r="J34" s="1">
        <v>30288</v>
      </c>
      <c r="K34" s="1">
        <v>1</v>
      </c>
      <c r="L34" s="1">
        <v>82</v>
      </c>
      <c r="M34" s="1">
        <v>1595</v>
      </c>
      <c r="N34" s="1" t="s">
        <v>48</v>
      </c>
      <c r="O34" s="1">
        <v>197186</v>
      </c>
      <c r="P34" s="1">
        <v>91</v>
      </c>
      <c r="Q34" s="1" t="s">
        <v>106</v>
      </c>
      <c r="R34" s="1" t="s">
        <v>50</v>
      </c>
      <c r="S34" s="1">
        <v>0</v>
      </c>
      <c r="T34" s="1">
        <v>0</v>
      </c>
      <c r="U34" s="1">
        <v>86.650999999999996</v>
      </c>
      <c r="V34" s="1">
        <v>25.417000000000002</v>
      </c>
      <c r="W34" s="1">
        <v>0.53</v>
      </c>
      <c r="X34" s="1">
        <v>0.193</v>
      </c>
      <c r="Y34" s="1">
        <v>25.61</v>
      </c>
      <c r="Z34" s="1">
        <v>0.122</v>
      </c>
      <c r="AA34" s="1">
        <v>0.6</v>
      </c>
      <c r="AB34" s="1">
        <v>0.6</v>
      </c>
      <c r="AC34" s="1">
        <v>0.6</v>
      </c>
      <c r="AD34" s="1">
        <v>0.193</v>
      </c>
      <c r="AE34" s="1">
        <v>0.121</v>
      </c>
      <c r="AF34" s="1">
        <v>2.3E-2</v>
      </c>
      <c r="AG34" s="1">
        <v>0.6</v>
      </c>
      <c r="AI34" s="1">
        <v>0</v>
      </c>
      <c r="AJ34" s="1">
        <v>0</v>
      </c>
      <c r="AK34" s="1">
        <v>0</v>
      </c>
      <c r="AL34" s="1">
        <v>1</v>
      </c>
      <c r="AM34" s="1">
        <v>86400</v>
      </c>
      <c r="AN34" s="1">
        <v>80913</v>
      </c>
      <c r="AO34" s="1">
        <v>5487</v>
      </c>
      <c r="AP34" s="1">
        <v>47016</v>
      </c>
      <c r="AQ34" s="1">
        <v>18.19739861676883</v>
      </c>
    </row>
    <row r="35" spans="1:43" x14ac:dyDescent="0.45">
      <c r="A35" s="1">
        <v>34</v>
      </c>
      <c r="B35" s="1">
        <v>73</v>
      </c>
      <c r="C35" s="1">
        <v>83</v>
      </c>
      <c r="D35" s="1" t="s">
        <v>55</v>
      </c>
      <c r="E35" s="1" t="s">
        <v>56</v>
      </c>
      <c r="F35" s="1" t="s">
        <v>57</v>
      </c>
      <c r="G35" s="1" t="s">
        <v>46</v>
      </c>
      <c r="H35" s="1" t="s">
        <v>47</v>
      </c>
      <c r="I35" s="1">
        <v>1176</v>
      </c>
      <c r="J35" s="1">
        <v>30288</v>
      </c>
      <c r="K35" s="1">
        <v>1</v>
      </c>
      <c r="L35" s="1">
        <v>82</v>
      </c>
      <c r="M35" s="1">
        <v>1596</v>
      </c>
      <c r="N35" s="1" t="s">
        <v>48</v>
      </c>
      <c r="O35" s="1">
        <v>197191</v>
      </c>
      <c r="P35" s="1">
        <v>91</v>
      </c>
      <c r="Q35" s="1" t="s">
        <v>106</v>
      </c>
      <c r="R35" s="1" t="s">
        <v>50</v>
      </c>
      <c r="S35" s="1">
        <v>0</v>
      </c>
      <c r="T35" s="1">
        <v>0</v>
      </c>
      <c r="U35" s="1">
        <v>337.67399999999998</v>
      </c>
      <c r="V35" s="1">
        <v>25.428000000000001</v>
      </c>
      <c r="W35" s="1">
        <v>0.53</v>
      </c>
      <c r="X35" s="1">
        <v>0.18099999999999999</v>
      </c>
      <c r="Y35" s="1">
        <v>25.609000000000002</v>
      </c>
      <c r="Z35" s="1">
        <v>0.107</v>
      </c>
      <c r="AA35" s="1">
        <v>1</v>
      </c>
      <c r="AB35" s="1">
        <v>1</v>
      </c>
      <c r="AC35" s="1">
        <v>1</v>
      </c>
      <c r="AD35" s="1">
        <v>0.18099999999999999</v>
      </c>
      <c r="AE35" s="1">
        <v>0.106</v>
      </c>
      <c r="AF35" s="1">
        <v>1.9E-2</v>
      </c>
      <c r="AG35" s="1">
        <v>1</v>
      </c>
      <c r="AI35" s="1">
        <v>0</v>
      </c>
      <c r="AJ35" s="1">
        <v>0</v>
      </c>
      <c r="AK35" s="1">
        <v>0</v>
      </c>
      <c r="AL35" s="1">
        <v>1</v>
      </c>
      <c r="AM35" s="1">
        <v>86400</v>
      </c>
      <c r="AN35" s="1">
        <v>78241</v>
      </c>
      <c r="AO35" s="1">
        <v>8159</v>
      </c>
      <c r="AP35" s="1">
        <v>44862</v>
      </c>
      <c r="AQ35" s="1">
        <v>22.042314828065258</v>
      </c>
    </row>
    <row r="36" spans="1:43" x14ac:dyDescent="0.45">
      <c r="A36" s="1">
        <v>35</v>
      </c>
      <c r="B36" s="1">
        <v>73</v>
      </c>
      <c r="C36" s="1">
        <v>83</v>
      </c>
      <c r="D36" s="1" t="s">
        <v>55</v>
      </c>
      <c r="E36" s="1" t="s">
        <v>56</v>
      </c>
      <c r="F36" s="1" t="s">
        <v>57</v>
      </c>
      <c r="G36" s="1" t="s">
        <v>46</v>
      </c>
      <c r="H36" s="1" t="s">
        <v>47</v>
      </c>
      <c r="I36" s="1">
        <v>1176</v>
      </c>
      <c r="J36" s="1">
        <v>30288</v>
      </c>
      <c r="K36" s="1">
        <v>1</v>
      </c>
      <c r="L36" s="1">
        <v>82</v>
      </c>
      <c r="M36" s="1">
        <v>1597</v>
      </c>
      <c r="N36" s="1" t="s">
        <v>48</v>
      </c>
      <c r="O36" s="1">
        <v>197193</v>
      </c>
      <c r="P36" s="1">
        <v>91</v>
      </c>
      <c r="Q36" s="1" t="s">
        <v>106</v>
      </c>
      <c r="R36" s="1" t="s">
        <v>50</v>
      </c>
      <c r="S36" s="1">
        <v>0</v>
      </c>
      <c r="T36" s="1">
        <v>0</v>
      </c>
      <c r="U36" s="1">
        <v>187.57</v>
      </c>
      <c r="V36" s="1">
        <v>25.488</v>
      </c>
      <c r="W36" s="1">
        <v>0.52</v>
      </c>
      <c r="X36" s="1">
        <v>0.12</v>
      </c>
      <c r="Y36" s="1">
        <v>25.609000000000002</v>
      </c>
      <c r="Z36" s="1">
        <v>8.5999999999999993E-2</v>
      </c>
      <c r="AA36" s="1">
        <v>0.6</v>
      </c>
      <c r="AB36" s="1">
        <v>0.6</v>
      </c>
      <c r="AC36" s="1">
        <v>0.6</v>
      </c>
      <c r="AD36" s="1">
        <v>0.12</v>
      </c>
      <c r="AE36" s="1">
        <v>8.5000000000000006E-2</v>
      </c>
      <c r="AF36" s="1">
        <v>0.01</v>
      </c>
      <c r="AG36" s="1">
        <v>0.6</v>
      </c>
      <c r="AI36" s="1">
        <v>0</v>
      </c>
      <c r="AJ36" s="1">
        <v>0</v>
      </c>
      <c r="AK36" s="1">
        <v>0</v>
      </c>
      <c r="AL36" s="1">
        <v>1</v>
      </c>
      <c r="AM36" s="1">
        <v>86400</v>
      </c>
      <c r="AN36" s="1">
        <v>75874</v>
      </c>
      <c r="AO36" s="1">
        <v>10526</v>
      </c>
      <c r="AP36" s="1">
        <v>47069</v>
      </c>
      <c r="AQ36" s="1">
        <v>2.9982988472460508</v>
      </c>
    </row>
    <row r="37" spans="1:43" x14ac:dyDescent="0.45">
      <c r="A37" s="1">
        <v>36</v>
      </c>
      <c r="B37" s="1">
        <v>73</v>
      </c>
      <c r="C37" s="1">
        <v>83</v>
      </c>
      <c r="D37" s="1" t="s">
        <v>55</v>
      </c>
      <c r="E37" s="1" t="s">
        <v>56</v>
      </c>
      <c r="F37" s="1" t="s">
        <v>57</v>
      </c>
      <c r="G37" s="1" t="s">
        <v>46</v>
      </c>
      <c r="H37" s="1" t="s">
        <v>47</v>
      </c>
      <c r="I37" s="1">
        <v>1176</v>
      </c>
      <c r="J37" s="1">
        <v>30288</v>
      </c>
      <c r="K37" s="1">
        <v>1</v>
      </c>
      <c r="L37" s="1">
        <v>82</v>
      </c>
      <c r="M37" s="1">
        <v>1610</v>
      </c>
      <c r="N37" s="1" t="s">
        <v>48</v>
      </c>
      <c r="O37" s="1">
        <v>197607</v>
      </c>
      <c r="P37" s="1">
        <v>91</v>
      </c>
      <c r="Q37" s="1" t="s">
        <v>106</v>
      </c>
      <c r="R37" s="1" t="s">
        <v>50</v>
      </c>
      <c r="S37" s="1">
        <v>0</v>
      </c>
      <c r="T37" s="1">
        <v>0</v>
      </c>
      <c r="U37" s="1">
        <v>321.52999999999997</v>
      </c>
      <c r="V37" s="1">
        <v>25.452000000000002</v>
      </c>
      <c r="W37" s="1">
        <v>0.52</v>
      </c>
      <c r="X37" s="1">
        <v>0.13600000000000001</v>
      </c>
      <c r="Y37" s="1">
        <v>25.588000000000001</v>
      </c>
      <c r="Z37" s="1">
        <v>0.125</v>
      </c>
      <c r="AA37" s="1">
        <v>0</v>
      </c>
      <c r="AB37" s="1">
        <v>0</v>
      </c>
      <c r="AC37" s="1">
        <v>0</v>
      </c>
      <c r="AD37" s="1">
        <v>0.13600000000000001</v>
      </c>
      <c r="AE37" s="1">
        <v>0.125</v>
      </c>
      <c r="AF37" s="1">
        <v>1.7000000000000001E-2</v>
      </c>
      <c r="AG37" s="1">
        <v>0</v>
      </c>
      <c r="AI37" s="1">
        <v>0</v>
      </c>
      <c r="AJ37" s="1">
        <v>0</v>
      </c>
      <c r="AK37" s="1">
        <v>0</v>
      </c>
      <c r="AL37" s="1">
        <v>1</v>
      </c>
      <c r="AM37" s="1">
        <v>86400</v>
      </c>
      <c r="AN37" s="1">
        <v>74531</v>
      </c>
      <c r="AO37" s="1">
        <v>11869</v>
      </c>
      <c r="AP37" s="1">
        <v>45136</v>
      </c>
      <c r="AQ37" s="1">
        <v>24.308660373477451</v>
      </c>
    </row>
    <row r="38" spans="1:43" x14ac:dyDescent="0.45">
      <c r="A38" s="1">
        <v>37</v>
      </c>
      <c r="B38" s="1">
        <v>73</v>
      </c>
      <c r="C38" s="1">
        <v>83</v>
      </c>
      <c r="D38" s="1" t="s">
        <v>55</v>
      </c>
      <c r="E38" s="1" t="s">
        <v>56</v>
      </c>
      <c r="F38" s="1" t="s">
        <v>57</v>
      </c>
      <c r="G38" s="1" t="s">
        <v>46</v>
      </c>
      <c r="H38" s="1" t="s">
        <v>47</v>
      </c>
      <c r="I38" s="1">
        <v>1176</v>
      </c>
      <c r="J38" s="1">
        <v>30288</v>
      </c>
      <c r="K38" s="1">
        <v>1</v>
      </c>
      <c r="L38" s="1">
        <v>82</v>
      </c>
      <c r="M38" s="1">
        <v>1611</v>
      </c>
      <c r="N38" s="1" t="s">
        <v>48</v>
      </c>
      <c r="O38" s="1">
        <v>197609</v>
      </c>
      <c r="P38" s="1">
        <v>91</v>
      </c>
      <c r="Q38" s="1" t="s">
        <v>106</v>
      </c>
      <c r="R38" s="1" t="s">
        <v>50</v>
      </c>
      <c r="S38" s="1">
        <v>0</v>
      </c>
      <c r="T38" s="1">
        <v>0</v>
      </c>
      <c r="U38" s="1">
        <v>222.179</v>
      </c>
      <c r="V38" s="1">
        <v>25.413</v>
      </c>
      <c r="W38" s="1">
        <v>0.53</v>
      </c>
      <c r="X38" s="1">
        <v>0.17299999999999999</v>
      </c>
      <c r="Y38" s="1">
        <v>25.585999999999999</v>
      </c>
      <c r="Z38" s="1">
        <v>0.14299999999999999</v>
      </c>
      <c r="AA38" s="1">
        <v>1.2</v>
      </c>
      <c r="AB38" s="1">
        <v>1.2</v>
      </c>
      <c r="AC38" s="1">
        <v>1.2</v>
      </c>
      <c r="AD38" s="1">
        <v>0.17299999999999999</v>
      </c>
      <c r="AE38" s="1">
        <v>0.14299999999999999</v>
      </c>
      <c r="AF38" s="1">
        <v>2.5000000000000001E-2</v>
      </c>
      <c r="AG38" s="1">
        <v>1.2</v>
      </c>
      <c r="AI38" s="1">
        <v>0</v>
      </c>
      <c r="AJ38" s="1">
        <v>0</v>
      </c>
      <c r="AK38" s="1">
        <v>0</v>
      </c>
      <c r="AL38" s="1">
        <v>1</v>
      </c>
      <c r="AM38" s="1">
        <v>86400</v>
      </c>
      <c r="AN38" s="1">
        <v>77966</v>
      </c>
      <c r="AO38" s="1">
        <v>8434</v>
      </c>
      <c r="AP38" s="1">
        <v>47237</v>
      </c>
      <c r="AQ38" s="1">
        <v>3.2914653154281028</v>
      </c>
    </row>
    <row r="39" spans="1:43" x14ac:dyDescent="0.45">
      <c r="A39" s="1">
        <v>38</v>
      </c>
      <c r="B39" s="1">
        <v>73</v>
      </c>
      <c r="C39" s="1">
        <v>83</v>
      </c>
      <c r="D39" s="1" t="s">
        <v>55</v>
      </c>
      <c r="E39" s="1" t="s">
        <v>56</v>
      </c>
      <c r="F39" s="1" t="s">
        <v>57</v>
      </c>
      <c r="G39" s="1" t="s">
        <v>46</v>
      </c>
      <c r="H39" s="1" t="s">
        <v>47</v>
      </c>
      <c r="I39" s="1">
        <v>1176</v>
      </c>
      <c r="J39" s="1">
        <v>30288</v>
      </c>
      <c r="K39" s="1">
        <v>1</v>
      </c>
      <c r="L39" s="1">
        <v>82</v>
      </c>
      <c r="M39" s="1">
        <v>1612</v>
      </c>
      <c r="N39" s="1" t="s">
        <v>48</v>
      </c>
      <c r="O39" s="1">
        <v>197614</v>
      </c>
      <c r="P39" s="1">
        <v>91</v>
      </c>
      <c r="Q39" s="1" t="s">
        <v>106</v>
      </c>
      <c r="R39" s="1" t="s">
        <v>50</v>
      </c>
      <c r="S39" s="1">
        <v>0</v>
      </c>
      <c r="T39" s="1">
        <v>0</v>
      </c>
      <c r="U39" s="1">
        <v>103.658</v>
      </c>
      <c r="V39" s="1">
        <v>25.395</v>
      </c>
      <c r="W39" s="1">
        <v>0.52</v>
      </c>
      <c r="X39" s="1">
        <v>0.14000000000000001</v>
      </c>
      <c r="Y39" s="1">
        <v>25.535</v>
      </c>
      <c r="Z39" s="1">
        <v>0.17100000000000001</v>
      </c>
      <c r="AA39" s="1">
        <v>0.5</v>
      </c>
      <c r="AB39" s="1">
        <v>0.5</v>
      </c>
      <c r="AC39" s="1">
        <v>0.5</v>
      </c>
      <c r="AD39" s="1">
        <v>0.14000000000000001</v>
      </c>
      <c r="AE39" s="1">
        <v>0.17</v>
      </c>
      <c r="AF39" s="1">
        <v>2.4E-2</v>
      </c>
      <c r="AG39" s="1">
        <v>0.5</v>
      </c>
      <c r="AI39" s="1">
        <v>0</v>
      </c>
      <c r="AJ39" s="1">
        <v>0</v>
      </c>
      <c r="AK39" s="1">
        <v>0</v>
      </c>
      <c r="AL39" s="1">
        <v>1</v>
      </c>
      <c r="AM39" s="1">
        <v>68974</v>
      </c>
      <c r="AN39" s="1">
        <v>43462</v>
      </c>
      <c r="AO39" s="1">
        <v>25511</v>
      </c>
      <c r="AP39" s="1">
        <v>47697</v>
      </c>
      <c r="AQ39" s="1">
        <v>20.95314867485412</v>
      </c>
    </row>
    <row r="40" spans="1:43" x14ac:dyDescent="0.45">
      <c r="A40" s="1">
        <v>39</v>
      </c>
      <c r="B40" s="1">
        <v>73</v>
      </c>
      <c r="C40" s="1">
        <v>83</v>
      </c>
      <c r="D40" s="1" t="s">
        <v>55</v>
      </c>
      <c r="E40" s="1" t="s">
        <v>56</v>
      </c>
      <c r="F40" s="1" t="s">
        <v>57</v>
      </c>
      <c r="G40" s="1" t="s">
        <v>46</v>
      </c>
      <c r="H40" s="1" t="s">
        <v>47</v>
      </c>
      <c r="I40" s="1">
        <v>1176</v>
      </c>
      <c r="J40" s="1">
        <v>30288</v>
      </c>
      <c r="K40" s="1">
        <v>1</v>
      </c>
      <c r="L40" s="1">
        <v>82</v>
      </c>
      <c r="M40" s="1">
        <v>1613</v>
      </c>
      <c r="N40" s="1" t="s">
        <v>48</v>
      </c>
      <c r="O40" s="1">
        <v>197615</v>
      </c>
      <c r="P40" s="1">
        <v>91</v>
      </c>
      <c r="Q40" s="1" t="s">
        <v>106</v>
      </c>
      <c r="R40" s="1" t="s">
        <v>50</v>
      </c>
      <c r="S40" s="1">
        <v>0</v>
      </c>
      <c r="T40" s="1">
        <v>0</v>
      </c>
      <c r="U40" s="1">
        <v>56.435000000000002</v>
      </c>
      <c r="V40" s="1">
        <v>25.431999999999999</v>
      </c>
      <c r="W40" s="1">
        <v>0.52</v>
      </c>
      <c r="X40" s="1">
        <v>0.106</v>
      </c>
      <c r="Y40" s="1">
        <v>25.539000000000001</v>
      </c>
      <c r="Z40" s="1">
        <v>0.182</v>
      </c>
      <c r="AA40" s="1">
        <v>-0.1</v>
      </c>
      <c r="AB40" s="1">
        <v>0</v>
      </c>
      <c r="AC40" s="1">
        <v>0</v>
      </c>
      <c r="AD40" s="1">
        <v>0.106</v>
      </c>
      <c r="AE40" s="1">
        <v>0.17299999999999999</v>
      </c>
      <c r="AF40" s="1">
        <v>1.7999999999999999E-2</v>
      </c>
      <c r="AG40" s="1">
        <v>-0.1</v>
      </c>
      <c r="AI40" s="1">
        <v>0</v>
      </c>
      <c r="AJ40" s="1">
        <v>0</v>
      </c>
      <c r="AK40" s="1">
        <v>0</v>
      </c>
      <c r="AL40" s="1">
        <v>1</v>
      </c>
      <c r="AM40" s="1">
        <v>54121</v>
      </c>
      <c r="AN40" s="1">
        <v>10891</v>
      </c>
      <c r="AO40" s="1">
        <v>43230</v>
      </c>
      <c r="AP40" s="1">
        <v>47053</v>
      </c>
      <c r="AQ40" s="1">
        <v>2.9781913905105362</v>
      </c>
    </row>
    <row r="41" spans="1:43" x14ac:dyDescent="0.45">
      <c r="A41" s="1">
        <v>40</v>
      </c>
      <c r="B41" s="1">
        <v>73</v>
      </c>
      <c r="C41" s="1">
        <v>83</v>
      </c>
      <c r="D41" s="1" t="s">
        <v>55</v>
      </c>
      <c r="E41" s="1" t="s">
        <v>56</v>
      </c>
      <c r="F41" s="1" t="s">
        <v>57</v>
      </c>
      <c r="G41" s="1" t="s">
        <v>46</v>
      </c>
      <c r="H41" s="1" t="s">
        <v>47</v>
      </c>
      <c r="I41" s="1">
        <v>1176</v>
      </c>
      <c r="J41" s="1">
        <v>30288</v>
      </c>
      <c r="K41" s="1">
        <v>1</v>
      </c>
      <c r="L41" s="1">
        <v>82</v>
      </c>
      <c r="M41" s="1">
        <v>1614</v>
      </c>
      <c r="N41" s="1" t="s">
        <v>48</v>
      </c>
      <c r="O41" s="1">
        <v>197620</v>
      </c>
      <c r="P41" s="1">
        <v>91</v>
      </c>
      <c r="Q41" s="1" t="s">
        <v>106</v>
      </c>
      <c r="R41" s="1" t="s">
        <v>50</v>
      </c>
      <c r="S41" s="1">
        <v>0</v>
      </c>
      <c r="T41" s="1">
        <v>0</v>
      </c>
      <c r="U41" s="1">
        <v>87.173000000000002</v>
      </c>
      <c r="V41" s="1">
        <v>25.33</v>
      </c>
      <c r="W41" s="1">
        <v>0.53</v>
      </c>
      <c r="X41" s="1">
        <v>0.19900000000000001</v>
      </c>
      <c r="Y41" s="1">
        <v>25.529</v>
      </c>
      <c r="Z41" s="1">
        <v>0.218</v>
      </c>
      <c r="AA41" s="1">
        <v>0.2</v>
      </c>
      <c r="AB41" s="1">
        <v>0.2</v>
      </c>
      <c r="AC41" s="1">
        <v>0.2</v>
      </c>
      <c r="AD41" s="1">
        <v>0.19900000000000001</v>
      </c>
      <c r="AE41" s="1">
        <v>0.218</v>
      </c>
      <c r="AF41" s="1">
        <v>4.2999999999999997E-2</v>
      </c>
      <c r="AG41" s="1">
        <v>0.2</v>
      </c>
      <c r="AI41" s="1">
        <v>0</v>
      </c>
      <c r="AJ41" s="1">
        <v>0</v>
      </c>
      <c r="AK41" s="1">
        <v>0</v>
      </c>
      <c r="AL41" s="1">
        <v>1</v>
      </c>
      <c r="AM41" s="1">
        <v>86400</v>
      </c>
      <c r="AN41" s="1">
        <v>77370</v>
      </c>
      <c r="AO41" s="1">
        <v>9030</v>
      </c>
      <c r="AP41" s="1">
        <v>47722</v>
      </c>
      <c r="AQ41" s="1">
        <v>3.5045953332990272</v>
      </c>
    </row>
    <row r="42" spans="1:43" x14ac:dyDescent="0.45">
      <c r="A42" s="1">
        <v>41</v>
      </c>
      <c r="B42" s="1">
        <v>73</v>
      </c>
      <c r="C42" s="1">
        <v>83</v>
      </c>
      <c r="D42" s="1" t="s">
        <v>55</v>
      </c>
      <c r="E42" s="1" t="s">
        <v>56</v>
      </c>
      <c r="F42" s="1" t="s">
        <v>57</v>
      </c>
      <c r="G42" s="1" t="s">
        <v>46</v>
      </c>
      <c r="H42" s="1" t="s">
        <v>47</v>
      </c>
      <c r="I42" s="1">
        <v>1176</v>
      </c>
      <c r="J42" s="1">
        <v>30288</v>
      </c>
      <c r="K42" s="1">
        <v>1</v>
      </c>
      <c r="L42" s="1">
        <v>82</v>
      </c>
      <c r="M42" s="1">
        <v>1615</v>
      </c>
      <c r="N42" s="1" t="s">
        <v>48</v>
      </c>
      <c r="O42" s="1">
        <v>197622</v>
      </c>
      <c r="P42" s="1">
        <v>91</v>
      </c>
      <c r="Q42" s="1" t="s">
        <v>106</v>
      </c>
      <c r="R42" s="1" t="s">
        <v>50</v>
      </c>
      <c r="S42" s="1">
        <v>0</v>
      </c>
      <c r="T42" s="1">
        <v>0</v>
      </c>
      <c r="U42" s="1">
        <v>74.367000000000004</v>
      </c>
      <c r="V42" s="1">
        <v>25.289000000000001</v>
      </c>
      <c r="W42" s="1">
        <v>0.54</v>
      </c>
      <c r="X42" s="1">
        <v>0.23699999999999999</v>
      </c>
      <c r="Y42" s="1">
        <v>25.526</v>
      </c>
      <c r="Z42" s="1">
        <v>0.28199999999999997</v>
      </c>
      <c r="AA42" s="1">
        <v>0.4</v>
      </c>
      <c r="AB42" s="1">
        <v>0.4</v>
      </c>
      <c r="AC42" s="1">
        <v>0.4</v>
      </c>
      <c r="AD42" s="1">
        <v>0.23699999999999999</v>
      </c>
      <c r="AE42" s="1">
        <v>0.28199999999999997</v>
      </c>
      <c r="AF42" s="1">
        <v>6.7000000000000004E-2</v>
      </c>
      <c r="AG42" s="1">
        <v>0.4</v>
      </c>
      <c r="AI42" s="1">
        <v>0</v>
      </c>
      <c r="AJ42" s="1">
        <v>0</v>
      </c>
      <c r="AK42" s="1">
        <v>0</v>
      </c>
      <c r="AL42" s="1">
        <v>1</v>
      </c>
      <c r="AM42" s="1">
        <v>86400</v>
      </c>
      <c r="AN42" s="1">
        <v>78982</v>
      </c>
      <c r="AO42" s="1">
        <v>7418</v>
      </c>
      <c r="AP42" s="1">
        <v>47213</v>
      </c>
      <c r="AQ42" s="1">
        <v>16.15653130558637</v>
      </c>
    </row>
    <row r="43" spans="1:43" x14ac:dyDescent="0.45">
      <c r="A43" s="1">
        <v>42</v>
      </c>
      <c r="B43" s="1">
        <v>73</v>
      </c>
      <c r="C43" s="1">
        <v>83</v>
      </c>
      <c r="D43" s="1" t="s">
        <v>55</v>
      </c>
      <c r="E43" s="1" t="s">
        <v>56</v>
      </c>
      <c r="F43" s="1" t="s">
        <v>57</v>
      </c>
      <c r="G43" s="1" t="s">
        <v>46</v>
      </c>
      <c r="H43" s="1" t="s">
        <v>47</v>
      </c>
      <c r="I43" s="1">
        <v>1176</v>
      </c>
      <c r="J43" s="1">
        <v>30288</v>
      </c>
      <c r="K43" s="1">
        <v>1</v>
      </c>
      <c r="L43" s="1">
        <v>82</v>
      </c>
      <c r="M43" s="1">
        <v>1616</v>
      </c>
      <c r="N43" s="1" t="s">
        <v>48</v>
      </c>
      <c r="O43" s="1">
        <v>197623</v>
      </c>
      <c r="P43" s="1">
        <v>91</v>
      </c>
      <c r="Q43" s="1" t="s">
        <v>106</v>
      </c>
      <c r="R43" s="1" t="s">
        <v>50</v>
      </c>
      <c r="S43" s="1">
        <v>0</v>
      </c>
      <c r="T43" s="1">
        <v>0</v>
      </c>
      <c r="U43" s="1">
        <v>51.329000000000001</v>
      </c>
      <c r="V43" s="1">
        <v>25.263000000000002</v>
      </c>
      <c r="W43" s="1">
        <v>0.55000000000000004</v>
      </c>
      <c r="X43" s="1">
        <v>0.26300000000000001</v>
      </c>
      <c r="Y43" s="1">
        <v>25.526</v>
      </c>
      <c r="Z43" s="1">
        <v>0.31</v>
      </c>
      <c r="AA43" s="1">
        <v>0.3</v>
      </c>
      <c r="AB43" s="1">
        <v>0.3</v>
      </c>
      <c r="AC43" s="1">
        <v>0.3</v>
      </c>
      <c r="AD43" s="1">
        <v>0.26300000000000001</v>
      </c>
      <c r="AE43" s="1">
        <v>0.31</v>
      </c>
      <c r="AF43" s="1">
        <v>8.2000000000000003E-2</v>
      </c>
      <c r="AG43" s="1">
        <v>0.3</v>
      </c>
      <c r="AI43" s="1">
        <v>0</v>
      </c>
      <c r="AJ43" s="1">
        <v>0</v>
      </c>
      <c r="AK43" s="1">
        <v>0</v>
      </c>
      <c r="AL43" s="1">
        <v>1</v>
      </c>
      <c r="AM43" s="1">
        <v>86400</v>
      </c>
      <c r="AN43" s="1">
        <v>79846</v>
      </c>
      <c r="AO43" s="1">
        <v>6554</v>
      </c>
      <c r="AP43" s="1">
        <v>47230</v>
      </c>
      <c r="AQ43" s="1">
        <v>2.298754340804646</v>
      </c>
    </row>
    <row r="44" spans="1:43" x14ac:dyDescent="0.45">
      <c r="A44" s="1">
        <v>43</v>
      </c>
      <c r="B44" s="1">
        <v>73</v>
      </c>
      <c r="C44" s="1">
        <v>83</v>
      </c>
      <c r="D44" s="1" t="s">
        <v>55</v>
      </c>
      <c r="E44" s="1" t="s">
        <v>56</v>
      </c>
      <c r="F44" s="1" t="s">
        <v>57</v>
      </c>
      <c r="G44" s="1" t="s">
        <v>46</v>
      </c>
      <c r="H44" s="1" t="s">
        <v>47</v>
      </c>
      <c r="I44" s="1">
        <v>1176</v>
      </c>
      <c r="J44" s="1">
        <v>30288</v>
      </c>
      <c r="K44" s="1">
        <v>1</v>
      </c>
      <c r="L44" s="1">
        <v>82</v>
      </c>
      <c r="M44" s="1">
        <v>1619</v>
      </c>
      <c r="N44" s="1" t="s">
        <v>48</v>
      </c>
      <c r="O44" s="1">
        <v>197627</v>
      </c>
      <c r="P44" s="1">
        <v>91</v>
      </c>
      <c r="Q44" s="1" t="s">
        <v>106</v>
      </c>
      <c r="R44" s="1" t="s">
        <v>50</v>
      </c>
      <c r="S44" s="1">
        <v>0</v>
      </c>
      <c r="T44" s="1">
        <v>0</v>
      </c>
      <c r="U44" s="1">
        <v>136.291</v>
      </c>
      <c r="V44" s="1">
        <v>25.402999999999999</v>
      </c>
      <c r="W44" s="1">
        <v>0.52</v>
      </c>
      <c r="X44" s="1">
        <v>0.104</v>
      </c>
      <c r="Y44" s="1">
        <v>25.507000000000001</v>
      </c>
      <c r="Z44" s="1">
        <v>0.47099999999999997</v>
      </c>
      <c r="AA44" s="1">
        <v>0.2</v>
      </c>
      <c r="AB44" s="1">
        <v>0</v>
      </c>
      <c r="AC44" s="1">
        <v>0</v>
      </c>
      <c r="AD44" s="1">
        <v>0.104</v>
      </c>
      <c r="AE44" s="1">
        <v>0.31900000000000001</v>
      </c>
      <c r="AF44" s="1">
        <v>3.3000000000000002E-2</v>
      </c>
      <c r="AI44" s="1">
        <v>0</v>
      </c>
      <c r="AJ44" s="1">
        <v>0</v>
      </c>
      <c r="AK44" s="1">
        <v>0</v>
      </c>
      <c r="AL44" s="1">
        <v>1</v>
      </c>
      <c r="AM44" s="1">
        <v>51262</v>
      </c>
      <c r="AN44" s="1">
        <v>7786</v>
      </c>
      <c r="AO44" s="1">
        <v>43477</v>
      </c>
      <c r="AP44" s="1">
        <v>47755</v>
      </c>
      <c r="AQ44" s="1">
        <v>21.6510233080981</v>
      </c>
    </row>
    <row r="45" spans="1:43" x14ac:dyDescent="0.45">
      <c r="A45" s="1">
        <v>44</v>
      </c>
      <c r="B45" s="1">
        <v>73</v>
      </c>
      <c r="C45" s="1">
        <v>83</v>
      </c>
      <c r="D45" s="1" t="s">
        <v>55</v>
      </c>
      <c r="E45" s="1" t="s">
        <v>56</v>
      </c>
      <c r="F45" s="1" t="s">
        <v>57</v>
      </c>
      <c r="G45" s="1" t="s">
        <v>46</v>
      </c>
      <c r="H45" s="1" t="s">
        <v>47</v>
      </c>
      <c r="I45" s="1">
        <v>1176</v>
      </c>
      <c r="J45" s="1">
        <v>30288</v>
      </c>
      <c r="K45" s="1">
        <v>1</v>
      </c>
      <c r="L45" s="1">
        <v>82</v>
      </c>
      <c r="M45" s="1">
        <v>1620</v>
      </c>
      <c r="N45" s="1" t="s">
        <v>48</v>
      </c>
      <c r="O45" s="1">
        <v>197648</v>
      </c>
      <c r="P45" s="1">
        <v>91</v>
      </c>
      <c r="Q45" s="1" t="s">
        <v>106</v>
      </c>
      <c r="R45" s="1" t="s">
        <v>50</v>
      </c>
      <c r="S45" s="1">
        <v>0</v>
      </c>
      <c r="T45" s="1">
        <v>0</v>
      </c>
      <c r="U45" s="1">
        <v>50.125999999999998</v>
      </c>
      <c r="V45" s="1">
        <v>25.39</v>
      </c>
      <c r="W45" s="1">
        <v>0.52</v>
      </c>
      <c r="X45" s="1">
        <v>0.12</v>
      </c>
      <c r="Y45" s="1">
        <v>25.51</v>
      </c>
      <c r="Z45" s="1">
        <v>0.16300000000000001</v>
      </c>
      <c r="AA45" s="1">
        <v>0.7</v>
      </c>
      <c r="AB45" s="1">
        <v>0.7</v>
      </c>
      <c r="AC45" s="1">
        <v>0.7</v>
      </c>
      <c r="AD45" s="1">
        <v>0.12</v>
      </c>
      <c r="AE45" s="1">
        <v>0.16300000000000001</v>
      </c>
      <c r="AF45" s="1">
        <v>0.02</v>
      </c>
      <c r="AG45" s="1">
        <v>0.7</v>
      </c>
      <c r="AI45" s="1">
        <v>0</v>
      </c>
      <c r="AJ45" s="1">
        <v>0</v>
      </c>
      <c r="AK45" s="1">
        <v>0</v>
      </c>
      <c r="AL45" s="1">
        <v>1</v>
      </c>
      <c r="AM45" s="1">
        <v>51441</v>
      </c>
      <c r="AN45" s="1">
        <v>8028</v>
      </c>
      <c r="AO45" s="1">
        <v>43414</v>
      </c>
      <c r="AP45" s="1">
        <v>47969</v>
      </c>
      <c r="AQ45" s="1">
        <v>3.8051731273319378</v>
      </c>
    </row>
    <row r="46" spans="1:43" x14ac:dyDescent="0.45">
      <c r="A46" s="1">
        <v>45</v>
      </c>
      <c r="B46" s="1">
        <v>74</v>
      </c>
      <c r="C46" s="1">
        <v>83</v>
      </c>
      <c r="D46" s="1" t="s">
        <v>55</v>
      </c>
      <c r="E46" s="1" t="s">
        <v>56</v>
      </c>
      <c r="F46" s="1" t="s">
        <v>57</v>
      </c>
      <c r="G46" s="1" t="s">
        <v>46</v>
      </c>
      <c r="H46" s="1" t="s">
        <v>47</v>
      </c>
      <c r="I46" s="1">
        <v>1176</v>
      </c>
      <c r="J46" s="1">
        <v>30288</v>
      </c>
      <c r="K46" s="1">
        <v>1</v>
      </c>
      <c r="L46" s="1">
        <v>82</v>
      </c>
      <c r="M46" s="1">
        <v>1599</v>
      </c>
      <c r="N46" s="1" t="s">
        <v>48</v>
      </c>
      <c r="O46" s="1">
        <v>197520</v>
      </c>
      <c r="P46" s="1">
        <v>91</v>
      </c>
      <c r="Q46" s="1" t="s">
        <v>106</v>
      </c>
      <c r="R46" s="1" t="s">
        <v>50</v>
      </c>
      <c r="S46" s="1">
        <v>0</v>
      </c>
      <c r="T46" s="1">
        <v>0</v>
      </c>
      <c r="U46" s="1">
        <v>236.95699999999999</v>
      </c>
      <c r="V46" s="1">
        <v>25.372</v>
      </c>
      <c r="W46" s="1">
        <v>0.54</v>
      </c>
      <c r="X46" s="1">
        <v>0.222</v>
      </c>
      <c r="Y46" s="1">
        <v>25.594000000000001</v>
      </c>
      <c r="Z46" s="1">
        <v>6.9000000000000006E-2</v>
      </c>
      <c r="AA46" s="1">
        <v>0.2</v>
      </c>
      <c r="AB46" s="1">
        <v>0.2</v>
      </c>
      <c r="AC46" s="1">
        <v>0.2</v>
      </c>
      <c r="AD46" s="1">
        <v>0.222</v>
      </c>
      <c r="AE46" s="1">
        <v>6.9000000000000006E-2</v>
      </c>
      <c r="AF46" s="1">
        <v>1.4999999999999999E-2</v>
      </c>
      <c r="AG46" s="1">
        <v>0.2</v>
      </c>
      <c r="AI46" s="1">
        <v>0</v>
      </c>
      <c r="AJ46" s="1">
        <v>0</v>
      </c>
      <c r="AK46" s="1">
        <v>0</v>
      </c>
      <c r="AL46" s="1">
        <v>1</v>
      </c>
      <c r="AM46" s="1">
        <v>86400</v>
      </c>
      <c r="AN46" s="1">
        <v>79411</v>
      </c>
      <c r="AO46" s="1">
        <v>6989</v>
      </c>
      <c r="AP46" s="1">
        <v>47935</v>
      </c>
      <c r="AQ46" s="1">
        <v>24.89810128895984</v>
      </c>
    </row>
    <row r="47" spans="1:43" x14ac:dyDescent="0.45">
      <c r="A47" s="1">
        <v>46</v>
      </c>
      <c r="B47" s="1">
        <v>74</v>
      </c>
      <c r="C47" s="1">
        <v>83</v>
      </c>
      <c r="D47" s="1" t="s">
        <v>55</v>
      </c>
      <c r="E47" s="1" t="s">
        <v>56</v>
      </c>
      <c r="F47" s="1" t="s">
        <v>57</v>
      </c>
      <c r="G47" s="1" t="s">
        <v>46</v>
      </c>
      <c r="H47" s="1" t="s">
        <v>47</v>
      </c>
      <c r="I47" s="1">
        <v>1176</v>
      </c>
      <c r="J47" s="1">
        <v>30288</v>
      </c>
      <c r="K47" s="1">
        <v>1</v>
      </c>
      <c r="L47" s="1">
        <v>82</v>
      </c>
      <c r="M47" s="1">
        <v>1602</v>
      </c>
      <c r="N47" s="1" t="s">
        <v>48</v>
      </c>
      <c r="O47" s="1">
        <v>197561</v>
      </c>
      <c r="P47" s="1">
        <v>91</v>
      </c>
      <c r="Q47" s="1" t="s">
        <v>106</v>
      </c>
      <c r="R47" s="1" t="s">
        <v>50</v>
      </c>
      <c r="S47" s="1">
        <v>0</v>
      </c>
      <c r="T47" s="1">
        <v>0</v>
      </c>
      <c r="U47" s="1">
        <v>195.999</v>
      </c>
      <c r="V47" s="1">
        <v>25.457999999999998</v>
      </c>
      <c r="W47" s="1">
        <v>0.52</v>
      </c>
      <c r="X47" s="1">
        <v>0.111</v>
      </c>
      <c r="Y47" s="1">
        <v>25.568999999999999</v>
      </c>
      <c r="Z47" s="1">
        <v>0.22700000000000001</v>
      </c>
      <c r="AA47" s="1">
        <v>0.3</v>
      </c>
      <c r="AB47" s="1">
        <v>0.3</v>
      </c>
      <c r="AC47" s="1">
        <v>0.3</v>
      </c>
      <c r="AD47" s="1">
        <v>0.111</v>
      </c>
      <c r="AE47" s="1">
        <v>0.22700000000000001</v>
      </c>
      <c r="AF47" s="1">
        <v>2.5000000000000001E-2</v>
      </c>
      <c r="AG47" s="1">
        <v>0.3</v>
      </c>
      <c r="AI47" s="1">
        <v>0</v>
      </c>
      <c r="AJ47" s="1">
        <v>0</v>
      </c>
      <c r="AK47" s="1">
        <v>0</v>
      </c>
      <c r="AL47" s="1">
        <v>1</v>
      </c>
      <c r="AM47" s="1">
        <v>86400</v>
      </c>
      <c r="AN47" s="1">
        <v>77142</v>
      </c>
      <c r="AO47" s="1">
        <v>9258</v>
      </c>
      <c r="AP47" s="1">
        <v>47209</v>
      </c>
      <c r="AQ47" s="1">
        <v>0.41019195479173981</v>
      </c>
    </row>
    <row r="48" spans="1:43" x14ac:dyDescent="0.45">
      <c r="A48" s="1">
        <v>47</v>
      </c>
      <c r="B48" s="1">
        <v>74</v>
      </c>
      <c r="C48" s="1">
        <v>83</v>
      </c>
      <c r="D48" s="1" t="s">
        <v>55</v>
      </c>
      <c r="E48" s="1" t="s">
        <v>56</v>
      </c>
      <c r="F48" s="1" t="s">
        <v>57</v>
      </c>
      <c r="G48" s="1" t="s">
        <v>46</v>
      </c>
      <c r="H48" s="1" t="s">
        <v>47</v>
      </c>
      <c r="I48" s="1">
        <v>1176</v>
      </c>
      <c r="J48" s="1">
        <v>30288</v>
      </c>
      <c r="K48" s="1">
        <v>1</v>
      </c>
      <c r="L48" s="1">
        <v>82</v>
      </c>
      <c r="M48" s="1">
        <v>1603</v>
      </c>
      <c r="N48" s="1" t="s">
        <v>48</v>
      </c>
      <c r="O48" s="1">
        <v>197562</v>
      </c>
      <c r="P48" s="1">
        <v>91</v>
      </c>
      <c r="Q48" s="1" t="s">
        <v>106</v>
      </c>
      <c r="R48" s="1" t="s">
        <v>50</v>
      </c>
      <c r="S48" s="1">
        <v>0</v>
      </c>
      <c r="T48" s="1">
        <v>0</v>
      </c>
      <c r="U48" s="1">
        <v>286.03800000000001</v>
      </c>
      <c r="V48" s="1">
        <v>25.483000000000001</v>
      </c>
      <c r="W48" s="1">
        <v>0.52</v>
      </c>
      <c r="X48" s="1">
        <v>0.10199999999999999</v>
      </c>
      <c r="Y48" s="1">
        <v>25.585000000000001</v>
      </c>
      <c r="Z48" s="1">
        <v>0.19700000000000001</v>
      </c>
      <c r="AA48" s="1">
        <v>0.6</v>
      </c>
      <c r="AB48" s="1">
        <v>0.6</v>
      </c>
      <c r="AC48" s="1">
        <v>0.6</v>
      </c>
      <c r="AD48" s="1">
        <v>0.10199999999999999</v>
      </c>
      <c r="AE48" s="1">
        <v>0.19700000000000001</v>
      </c>
      <c r="AF48" s="1">
        <v>0.02</v>
      </c>
      <c r="AG48" s="1">
        <v>0.6</v>
      </c>
      <c r="AI48" s="1">
        <v>0</v>
      </c>
      <c r="AJ48" s="1">
        <v>0</v>
      </c>
      <c r="AK48" s="1">
        <v>0</v>
      </c>
      <c r="AL48" s="1">
        <v>1</v>
      </c>
      <c r="AM48" s="1">
        <v>65151</v>
      </c>
      <c r="AN48" s="1">
        <v>36069</v>
      </c>
      <c r="AO48" s="1">
        <v>29075</v>
      </c>
      <c r="AP48" s="1">
        <v>46935</v>
      </c>
      <c r="AQ48" s="1">
        <v>24.95580011216741</v>
      </c>
    </row>
    <row r="49" spans="1:43" x14ac:dyDescent="0.45">
      <c r="A49" s="1">
        <v>48</v>
      </c>
      <c r="B49" s="1">
        <v>74</v>
      </c>
      <c r="C49" s="1">
        <v>83</v>
      </c>
      <c r="D49" s="1" t="s">
        <v>55</v>
      </c>
      <c r="E49" s="1" t="s">
        <v>56</v>
      </c>
      <c r="F49" s="1" t="s">
        <v>57</v>
      </c>
      <c r="G49" s="1" t="s">
        <v>46</v>
      </c>
      <c r="H49" s="1" t="s">
        <v>47</v>
      </c>
      <c r="I49" s="1">
        <v>1176</v>
      </c>
      <c r="J49" s="1">
        <v>30288</v>
      </c>
      <c r="K49" s="1">
        <v>1</v>
      </c>
      <c r="L49" s="1">
        <v>82</v>
      </c>
      <c r="M49" s="1">
        <v>1604</v>
      </c>
      <c r="N49" s="1" t="s">
        <v>48</v>
      </c>
      <c r="O49" s="1">
        <v>197563</v>
      </c>
      <c r="P49" s="1">
        <v>91</v>
      </c>
      <c r="Q49" s="1" t="s">
        <v>106</v>
      </c>
      <c r="R49" s="1" t="s">
        <v>50</v>
      </c>
      <c r="S49" s="1">
        <v>0</v>
      </c>
      <c r="T49" s="1">
        <v>0</v>
      </c>
      <c r="U49" s="1">
        <v>552.46799999999996</v>
      </c>
      <c r="V49" s="1">
        <v>25.45</v>
      </c>
      <c r="W49" s="1">
        <v>0.52</v>
      </c>
      <c r="X49" s="1">
        <v>0.14199999999999999</v>
      </c>
      <c r="Y49" s="1">
        <v>25.591999999999999</v>
      </c>
      <c r="Z49" s="1">
        <v>0.129</v>
      </c>
      <c r="AA49" s="1">
        <v>0.9</v>
      </c>
      <c r="AB49" s="1">
        <v>0.9</v>
      </c>
      <c r="AC49" s="1">
        <v>0.9</v>
      </c>
      <c r="AD49" s="1">
        <v>0.14199999999999999</v>
      </c>
      <c r="AE49" s="1">
        <v>0.129</v>
      </c>
      <c r="AF49" s="1">
        <v>1.7999999999999999E-2</v>
      </c>
      <c r="AG49" s="1">
        <v>0.9</v>
      </c>
      <c r="AI49" s="1">
        <v>0</v>
      </c>
      <c r="AJ49" s="1">
        <v>0</v>
      </c>
      <c r="AK49" s="1">
        <v>0</v>
      </c>
      <c r="AL49" s="1">
        <v>1</v>
      </c>
      <c r="AM49" s="1">
        <v>86400</v>
      </c>
      <c r="AN49" s="1">
        <v>77462</v>
      </c>
      <c r="AO49" s="1">
        <v>8938</v>
      </c>
      <c r="AP49" s="1">
        <v>46885</v>
      </c>
      <c r="AQ49" s="1">
        <v>0.69662298424265845</v>
      </c>
    </row>
    <row r="50" spans="1:43" x14ac:dyDescent="0.45">
      <c r="A50" s="1">
        <v>49</v>
      </c>
      <c r="B50" s="1">
        <v>77</v>
      </c>
      <c r="C50" s="1">
        <v>46</v>
      </c>
      <c r="D50" s="1" t="s">
        <v>58</v>
      </c>
      <c r="E50" s="1" t="s">
        <v>59</v>
      </c>
      <c r="F50" s="1" t="s">
        <v>60</v>
      </c>
      <c r="G50" s="1" t="s">
        <v>54</v>
      </c>
      <c r="H50" s="1" t="s">
        <v>47</v>
      </c>
      <c r="I50" s="1">
        <v>503</v>
      </c>
      <c r="J50" s="1">
        <v>17406</v>
      </c>
      <c r="K50" s="1">
        <v>1</v>
      </c>
      <c r="L50" s="1">
        <v>45</v>
      </c>
      <c r="M50" s="1">
        <v>1594</v>
      </c>
      <c r="N50" s="1" t="s">
        <v>48</v>
      </c>
      <c r="O50" s="1">
        <v>196199</v>
      </c>
      <c r="P50" s="1">
        <v>91</v>
      </c>
      <c r="Q50" s="1" t="s">
        <v>106</v>
      </c>
      <c r="R50" s="1" t="s">
        <v>50</v>
      </c>
      <c r="S50" s="1">
        <v>0</v>
      </c>
      <c r="T50" s="1">
        <v>0</v>
      </c>
      <c r="U50" s="1">
        <v>64.108000000000004</v>
      </c>
      <c r="V50" s="1">
        <v>25.141999999999999</v>
      </c>
      <c r="W50" s="1">
        <v>0.64</v>
      </c>
      <c r="X50" s="1">
        <v>0.44500000000000001</v>
      </c>
      <c r="Y50" s="1">
        <v>25.587</v>
      </c>
      <c r="Z50" s="1">
        <v>2.0960000000000001</v>
      </c>
      <c r="AA50" s="1">
        <v>2.7</v>
      </c>
      <c r="AB50" s="1">
        <v>2.6</v>
      </c>
      <c r="AC50" s="1">
        <v>2.6</v>
      </c>
      <c r="AD50" s="1">
        <v>0.44500000000000001</v>
      </c>
      <c r="AE50" s="1">
        <v>1.8160000000000001</v>
      </c>
      <c r="AF50" s="1">
        <v>0.82</v>
      </c>
      <c r="AG50" s="1">
        <v>2.7</v>
      </c>
      <c r="AI50" s="1">
        <v>0</v>
      </c>
      <c r="AJ50" s="1">
        <v>0</v>
      </c>
      <c r="AK50" s="1">
        <v>0</v>
      </c>
      <c r="AL50" s="1">
        <v>1</v>
      </c>
      <c r="AM50" s="1">
        <v>62231</v>
      </c>
      <c r="AN50" s="1">
        <v>29717</v>
      </c>
      <c r="AO50" s="1">
        <v>32506</v>
      </c>
      <c r="AP50" s="1">
        <v>47363</v>
      </c>
      <c r="AQ50" s="1">
        <v>4.5203553741049349</v>
      </c>
    </row>
    <row r="51" spans="1:43" x14ac:dyDescent="0.45">
      <c r="A51" s="1">
        <v>50</v>
      </c>
      <c r="B51" s="1">
        <v>98</v>
      </c>
      <c r="C51" s="1">
        <v>74</v>
      </c>
      <c r="D51" s="1" t="s">
        <v>61</v>
      </c>
      <c r="E51" s="1" t="s">
        <v>62</v>
      </c>
      <c r="F51" s="1" t="s">
        <v>63</v>
      </c>
      <c r="G51" s="1" t="s">
        <v>46</v>
      </c>
      <c r="H51" s="1" t="s">
        <v>47</v>
      </c>
      <c r="I51" s="1">
        <v>1175</v>
      </c>
      <c r="J51" s="1">
        <v>30642</v>
      </c>
      <c r="K51" s="1">
        <v>1</v>
      </c>
      <c r="L51" s="1">
        <v>73</v>
      </c>
      <c r="M51" s="1">
        <v>1667</v>
      </c>
      <c r="N51" s="1" t="s">
        <v>48</v>
      </c>
      <c r="O51" s="1">
        <v>198607</v>
      </c>
      <c r="P51" s="1">
        <v>91</v>
      </c>
      <c r="Q51" s="1" t="s">
        <v>106</v>
      </c>
      <c r="R51" s="1" t="s">
        <v>50</v>
      </c>
      <c r="S51" s="1">
        <v>0</v>
      </c>
      <c r="T51" s="1">
        <v>0</v>
      </c>
      <c r="U51" s="1">
        <v>71.430000000000007</v>
      </c>
      <c r="V51" s="1">
        <v>25.236000000000001</v>
      </c>
      <c r="W51" s="1">
        <v>0.52</v>
      </c>
      <c r="X51" s="1">
        <v>0.156</v>
      </c>
      <c r="Y51" s="1">
        <v>25.391999999999999</v>
      </c>
      <c r="Z51" s="1">
        <v>0.113</v>
      </c>
      <c r="AA51" s="1">
        <v>-0.7</v>
      </c>
      <c r="AB51" s="1">
        <v>-0.7</v>
      </c>
      <c r="AC51" s="1">
        <v>-0.7</v>
      </c>
      <c r="AD51" s="1">
        <v>0.156</v>
      </c>
      <c r="AE51" s="1">
        <v>7.6999999999999999E-2</v>
      </c>
      <c r="AF51" s="1">
        <v>1.2E-2</v>
      </c>
      <c r="AG51" s="1">
        <v>-0.7</v>
      </c>
      <c r="AI51" s="1">
        <v>0</v>
      </c>
      <c r="AJ51" s="1">
        <v>0</v>
      </c>
      <c r="AK51" s="1">
        <v>0</v>
      </c>
      <c r="AL51" s="1">
        <v>1</v>
      </c>
      <c r="AM51" s="1">
        <v>86400</v>
      </c>
      <c r="AN51" s="1">
        <v>80751</v>
      </c>
      <c r="AO51" s="1">
        <v>5649</v>
      </c>
      <c r="AP51" s="1">
        <v>50287</v>
      </c>
      <c r="AQ51" s="1">
        <v>1.128700622000171</v>
      </c>
    </row>
    <row r="52" spans="1:43" x14ac:dyDescent="0.45">
      <c r="A52" s="1">
        <v>51</v>
      </c>
      <c r="B52" s="1">
        <v>99</v>
      </c>
      <c r="C52" s="1">
        <v>75</v>
      </c>
      <c r="D52" s="1" t="s">
        <v>64</v>
      </c>
      <c r="E52" s="1" t="s">
        <v>65</v>
      </c>
      <c r="F52" s="1" t="s">
        <v>66</v>
      </c>
      <c r="G52" s="1" t="s">
        <v>46</v>
      </c>
      <c r="H52" s="1" t="s">
        <v>47</v>
      </c>
      <c r="I52" s="1">
        <v>1170</v>
      </c>
      <c r="J52" s="1">
        <v>33499</v>
      </c>
      <c r="K52" s="1">
        <v>1</v>
      </c>
      <c r="L52" s="1">
        <v>74</v>
      </c>
      <c r="M52" s="1">
        <v>1667</v>
      </c>
      <c r="N52" s="1" t="s">
        <v>48</v>
      </c>
      <c r="O52" s="1">
        <v>198607</v>
      </c>
      <c r="P52" s="1">
        <v>91</v>
      </c>
      <c r="Q52" s="1" t="s">
        <v>106</v>
      </c>
      <c r="R52" s="1" t="s">
        <v>50</v>
      </c>
      <c r="S52" s="1">
        <v>0</v>
      </c>
      <c r="T52" s="1">
        <v>0</v>
      </c>
      <c r="U52" s="1">
        <v>71.430000000000007</v>
      </c>
      <c r="V52" s="1">
        <v>25.236000000000001</v>
      </c>
      <c r="W52" s="1">
        <v>0.52</v>
      </c>
      <c r="X52" s="1">
        <v>0.156</v>
      </c>
      <c r="Y52" s="1">
        <v>25.391999999999999</v>
      </c>
      <c r="Z52" s="1">
        <v>0.113</v>
      </c>
      <c r="AA52" s="1">
        <v>-0.7</v>
      </c>
      <c r="AB52" s="1">
        <v>-0.7</v>
      </c>
      <c r="AC52" s="1">
        <v>-0.7</v>
      </c>
      <c r="AD52" s="1">
        <v>0.156</v>
      </c>
      <c r="AE52" s="1">
        <v>7.6999999999999999E-2</v>
      </c>
      <c r="AF52" s="1">
        <v>1.2E-2</v>
      </c>
      <c r="AG52" s="1">
        <v>-0.7</v>
      </c>
      <c r="AI52" s="1">
        <v>0</v>
      </c>
      <c r="AJ52" s="1">
        <v>0</v>
      </c>
      <c r="AK52" s="1">
        <v>0</v>
      </c>
      <c r="AL52" s="1">
        <v>1</v>
      </c>
      <c r="AM52" s="1">
        <v>86400</v>
      </c>
      <c r="AN52" s="1">
        <v>80751</v>
      </c>
      <c r="AO52" s="1">
        <v>5649</v>
      </c>
      <c r="AP52" s="1">
        <v>50287</v>
      </c>
      <c r="AQ52" s="1">
        <v>1.12779195385514</v>
      </c>
    </row>
    <row r="53" spans="1:43" x14ac:dyDescent="0.45">
      <c r="A53" s="1">
        <v>52</v>
      </c>
      <c r="B53" s="1">
        <v>101</v>
      </c>
      <c r="C53" s="1">
        <v>74</v>
      </c>
      <c r="D53" s="1" t="s">
        <v>61</v>
      </c>
      <c r="E53" s="1" t="s">
        <v>62</v>
      </c>
      <c r="F53" s="1" t="s">
        <v>63</v>
      </c>
      <c r="G53" s="1" t="s">
        <v>46</v>
      </c>
      <c r="H53" s="1" t="s">
        <v>47</v>
      </c>
      <c r="I53" s="1">
        <v>1175</v>
      </c>
      <c r="J53" s="1">
        <v>30642</v>
      </c>
      <c r="K53" s="1">
        <v>1</v>
      </c>
      <c r="L53" s="1">
        <v>73</v>
      </c>
      <c r="M53" s="1">
        <v>1646</v>
      </c>
      <c r="N53" s="1" t="s">
        <v>48</v>
      </c>
      <c r="O53" s="1">
        <v>198410</v>
      </c>
      <c r="P53" s="1">
        <v>91</v>
      </c>
      <c r="Q53" s="1" t="s">
        <v>106</v>
      </c>
      <c r="R53" s="1" t="s">
        <v>50</v>
      </c>
      <c r="S53" s="1">
        <v>0</v>
      </c>
      <c r="T53" s="1">
        <v>0</v>
      </c>
      <c r="U53" s="1">
        <v>133.90799999999999</v>
      </c>
      <c r="V53" s="1">
        <v>25.021999999999998</v>
      </c>
      <c r="W53" s="1">
        <v>0.54</v>
      </c>
      <c r="X53" s="1">
        <v>0.26400000000000001</v>
      </c>
      <c r="Y53" s="1">
        <v>25.286000000000001</v>
      </c>
      <c r="Z53" s="1">
        <v>7.5999999999999998E-2</v>
      </c>
      <c r="AA53" s="1">
        <v>-0.5</v>
      </c>
      <c r="AB53" s="1">
        <v>-0.5</v>
      </c>
      <c r="AC53" s="1">
        <v>-0.5</v>
      </c>
      <c r="AD53" s="1">
        <v>0.26400000000000001</v>
      </c>
      <c r="AE53" s="1">
        <v>7.5999999999999998E-2</v>
      </c>
      <c r="AF53" s="1">
        <v>0.02</v>
      </c>
      <c r="AG53" s="1">
        <v>-0.5</v>
      </c>
      <c r="AI53" s="1">
        <v>0</v>
      </c>
      <c r="AJ53" s="1">
        <v>0</v>
      </c>
      <c r="AK53" s="1">
        <v>0</v>
      </c>
      <c r="AL53" s="1">
        <v>1</v>
      </c>
      <c r="AM53" s="1">
        <v>86400</v>
      </c>
      <c r="AN53" s="1">
        <v>80748</v>
      </c>
      <c r="AO53" s="1">
        <v>5652</v>
      </c>
      <c r="AP53" s="1">
        <v>43737</v>
      </c>
      <c r="AQ53" s="1">
        <v>11.882044579238849</v>
      </c>
    </row>
    <row r="54" spans="1:43" x14ac:dyDescent="0.45">
      <c r="A54" s="1">
        <v>53</v>
      </c>
      <c r="B54" s="1">
        <v>101</v>
      </c>
      <c r="C54" s="1">
        <v>74</v>
      </c>
      <c r="D54" s="1" t="s">
        <v>61</v>
      </c>
      <c r="E54" s="1" t="s">
        <v>62</v>
      </c>
      <c r="F54" s="1" t="s">
        <v>63</v>
      </c>
      <c r="G54" s="1" t="s">
        <v>46</v>
      </c>
      <c r="H54" s="1" t="s">
        <v>47</v>
      </c>
      <c r="I54" s="1">
        <v>1175</v>
      </c>
      <c r="J54" s="1">
        <v>30642</v>
      </c>
      <c r="K54" s="1">
        <v>1</v>
      </c>
      <c r="L54" s="1">
        <v>73</v>
      </c>
      <c r="M54" s="1">
        <v>1648</v>
      </c>
      <c r="N54" s="1" t="s">
        <v>48</v>
      </c>
      <c r="O54" s="1">
        <v>198432</v>
      </c>
      <c r="P54" s="1">
        <v>91</v>
      </c>
      <c r="Q54" s="1" t="s">
        <v>106</v>
      </c>
      <c r="R54" s="1" t="s">
        <v>50</v>
      </c>
      <c r="S54" s="1">
        <v>0</v>
      </c>
      <c r="T54" s="1">
        <v>0</v>
      </c>
      <c r="U54" s="1">
        <v>135.304</v>
      </c>
      <c r="V54" s="1">
        <v>25.076000000000001</v>
      </c>
      <c r="W54" s="1">
        <v>0.53</v>
      </c>
      <c r="X54" s="1">
        <v>0.21</v>
      </c>
      <c r="Y54" s="1">
        <v>25.286999999999999</v>
      </c>
      <c r="Z54" s="1">
        <v>7.6999999999999999E-2</v>
      </c>
      <c r="AA54" s="1">
        <v>1.9</v>
      </c>
      <c r="AB54" s="1">
        <v>1.9</v>
      </c>
      <c r="AC54" s="1">
        <v>1.9</v>
      </c>
      <c r="AD54" s="1">
        <v>0.21</v>
      </c>
      <c r="AE54" s="1">
        <v>7.6999999999999999E-2</v>
      </c>
      <c r="AF54" s="1">
        <v>1.6E-2</v>
      </c>
      <c r="AG54" s="1">
        <v>1.9</v>
      </c>
      <c r="AI54" s="1">
        <v>0</v>
      </c>
      <c r="AJ54" s="1">
        <v>0</v>
      </c>
      <c r="AK54" s="1">
        <v>0</v>
      </c>
      <c r="AL54" s="1">
        <v>1</v>
      </c>
      <c r="AM54" s="1">
        <v>86400</v>
      </c>
      <c r="AN54" s="1">
        <v>78528</v>
      </c>
      <c r="AO54" s="1">
        <v>7872</v>
      </c>
      <c r="AP54" s="1">
        <v>46886</v>
      </c>
      <c r="AQ54" s="1">
        <v>3.4742025684666311</v>
      </c>
    </row>
    <row r="55" spans="1:43" x14ac:dyDescent="0.45">
      <c r="A55" s="1">
        <v>54</v>
      </c>
      <c r="B55" s="1">
        <v>101</v>
      </c>
      <c r="C55" s="1">
        <v>74</v>
      </c>
      <c r="D55" s="1" t="s">
        <v>61</v>
      </c>
      <c r="E55" s="1" t="s">
        <v>62</v>
      </c>
      <c r="F55" s="1" t="s">
        <v>63</v>
      </c>
      <c r="G55" s="1" t="s">
        <v>46</v>
      </c>
      <c r="H55" s="1" t="s">
        <v>47</v>
      </c>
      <c r="I55" s="1">
        <v>1175</v>
      </c>
      <c r="J55" s="1">
        <v>30642</v>
      </c>
      <c r="K55" s="1">
        <v>1</v>
      </c>
      <c r="L55" s="1">
        <v>73</v>
      </c>
      <c r="M55" s="1">
        <v>1653</v>
      </c>
      <c r="N55" s="1" t="s">
        <v>48</v>
      </c>
      <c r="O55" s="1">
        <v>198461</v>
      </c>
      <c r="P55" s="1">
        <v>91</v>
      </c>
      <c r="Q55" s="1" t="s">
        <v>106</v>
      </c>
      <c r="R55" s="1" t="s">
        <v>50</v>
      </c>
      <c r="S55" s="1">
        <v>0</v>
      </c>
      <c r="T55" s="1">
        <v>0</v>
      </c>
      <c r="U55" s="1">
        <v>58.322000000000003</v>
      </c>
      <c r="V55" s="1">
        <v>24.956</v>
      </c>
      <c r="W55" s="1">
        <v>0.55000000000000004</v>
      </c>
      <c r="X55" s="1">
        <v>0.23699999999999999</v>
      </c>
      <c r="Y55" s="1">
        <v>25.193000000000001</v>
      </c>
      <c r="Z55" s="1">
        <v>0.69</v>
      </c>
      <c r="AA55" s="1">
        <v>-2.4</v>
      </c>
      <c r="AB55" s="1">
        <v>-2.4</v>
      </c>
      <c r="AC55" s="1">
        <v>-2.4</v>
      </c>
      <c r="AD55" s="1">
        <v>0.23699999999999999</v>
      </c>
      <c r="AE55" s="1">
        <v>0.68899999999999995</v>
      </c>
      <c r="AF55" s="1">
        <v>0.16300000000000001</v>
      </c>
      <c r="AG55" s="1">
        <v>-2.4</v>
      </c>
      <c r="AI55" s="1">
        <v>0</v>
      </c>
      <c r="AJ55" s="1">
        <v>0</v>
      </c>
      <c r="AK55" s="1">
        <v>0</v>
      </c>
      <c r="AL55" s="1">
        <v>1</v>
      </c>
      <c r="AM55" s="1">
        <v>86400</v>
      </c>
      <c r="AN55" s="1">
        <v>80984</v>
      </c>
      <c r="AO55" s="1">
        <v>5416</v>
      </c>
      <c r="AP55" s="1">
        <v>46923</v>
      </c>
      <c r="AQ55" s="1">
        <v>9.2549849174751557</v>
      </c>
    </row>
    <row r="56" spans="1:43" x14ac:dyDescent="0.45">
      <c r="A56" s="1">
        <v>55</v>
      </c>
      <c r="B56" s="1">
        <v>101</v>
      </c>
      <c r="C56" s="1">
        <v>74</v>
      </c>
      <c r="D56" s="1" t="s">
        <v>61</v>
      </c>
      <c r="E56" s="1" t="s">
        <v>62</v>
      </c>
      <c r="F56" s="1" t="s">
        <v>63</v>
      </c>
      <c r="G56" s="1" t="s">
        <v>46</v>
      </c>
      <c r="H56" s="1" t="s">
        <v>47</v>
      </c>
      <c r="I56" s="1">
        <v>1175</v>
      </c>
      <c r="J56" s="1">
        <v>30642</v>
      </c>
      <c r="K56" s="1">
        <v>1</v>
      </c>
      <c r="L56" s="1">
        <v>73</v>
      </c>
      <c r="M56" s="1">
        <v>1654</v>
      </c>
      <c r="N56" s="1" t="s">
        <v>48</v>
      </c>
      <c r="O56" s="1">
        <v>198463</v>
      </c>
      <c r="P56" s="1">
        <v>91</v>
      </c>
      <c r="Q56" s="1" t="s">
        <v>106</v>
      </c>
      <c r="R56" s="1" t="s">
        <v>50</v>
      </c>
      <c r="S56" s="1">
        <v>0</v>
      </c>
      <c r="T56" s="1">
        <v>0</v>
      </c>
      <c r="U56" s="1">
        <v>67.843999999999994</v>
      </c>
      <c r="V56" s="1">
        <v>25.030999999999999</v>
      </c>
      <c r="W56" s="1">
        <v>0.53</v>
      </c>
      <c r="X56" s="1">
        <v>0.14799999999999999</v>
      </c>
      <c r="Y56" s="1">
        <v>25.178999999999998</v>
      </c>
      <c r="Z56" s="1">
        <v>0.51800000000000002</v>
      </c>
      <c r="AA56" s="1">
        <v>-2.2999999999999998</v>
      </c>
      <c r="AB56" s="1">
        <v>-2.2999999999999998</v>
      </c>
      <c r="AC56" s="1">
        <v>-2.2999999999999998</v>
      </c>
      <c r="AD56" s="1">
        <v>0.14799999999999999</v>
      </c>
      <c r="AE56" s="1">
        <v>0.51800000000000002</v>
      </c>
      <c r="AF56" s="1">
        <v>7.5999999999999998E-2</v>
      </c>
      <c r="AG56" s="1">
        <v>-2.2999999999999998</v>
      </c>
      <c r="AI56" s="1">
        <v>0</v>
      </c>
      <c r="AJ56" s="1">
        <v>0</v>
      </c>
      <c r="AK56" s="1">
        <v>0</v>
      </c>
      <c r="AL56" s="1">
        <v>1</v>
      </c>
      <c r="AM56" s="1">
        <v>68575</v>
      </c>
      <c r="AN56" s="1">
        <v>41311</v>
      </c>
      <c r="AO56" s="1">
        <v>25430</v>
      </c>
      <c r="AP56" s="1">
        <v>46984</v>
      </c>
      <c r="AQ56" s="1">
        <v>8.1452208108424564</v>
      </c>
    </row>
    <row r="57" spans="1:43" x14ac:dyDescent="0.45">
      <c r="A57" s="1">
        <v>56</v>
      </c>
      <c r="B57" s="1">
        <v>101</v>
      </c>
      <c r="C57" s="1">
        <v>74</v>
      </c>
      <c r="D57" s="1" t="s">
        <v>61</v>
      </c>
      <c r="E57" s="1" t="s">
        <v>62</v>
      </c>
      <c r="F57" s="1" t="s">
        <v>63</v>
      </c>
      <c r="G57" s="1" t="s">
        <v>46</v>
      </c>
      <c r="H57" s="1" t="s">
        <v>47</v>
      </c>
      <c r="I57" s="1">
        <v>1175</v>
      </c>
      <c r="J57" s="1">
        <v>30642</v>
      </c>
      <c r="K57" s="1">
        <v>1</v>
      </c>
      <c r="L57" s="1">
        <v>73</v>
      </c>
      <c r="M57" s="1">
        <v>1656</v>
      </c>
      <c r="N57" s="1" t="s">
        <v>48</v>
      </c>
      <c r="O57" s="1">
        <v>198486</v>
      </c>
      <c r="P57" s="1">
        <v>91</v>
      </c>
      <c r="Q57" s="1" t="s">
        <v>106</v>
      </c>
      <c r="R57" s="1" t="s">
        <v>50</v>
      </c>
      <c r="S57" s="1">
        <v>0</v>
      </c>
      <c r="T57" s="1">
        <v>0</v>
      </c>
      <c r="U57" s="1">
        <v>52.094000000000001</v>
      </c>
      <c r="V57" s="1">
        <v>25.183</v>
      </c>
      <c r="W57" s="1">
        <v>0.52</v>
      </c>
      <c r="X57" s="1">
        <v>0.10100000000000001</v>
      </c>
      <c r="Y57" s="1">
        <v>25.283999999999999</v>
      </c>
      <c r="Z57" s="1">
        <v>0.33300000000000002</v>
      </c>
      <c r="AA57" s="1">
        <v>-3.1</v>
      </c>
      <c r="AB57" s="1">
        <v>-3.1</v>
      </c>
      <c r="AC57" s="1">
        <v>-3.1</v>
      </c>
      <c r="AD57" s="1">
        <v>0.10100000000000001</v>
      </c>
      <c r="AE57" s="1">
        <v>0.32900000000000001</v>
      </c>
      <c r="AF57" s="1">
        <v>3.3000000000000002E-2</v>
      </c>
      <c r="AG57" s="1">
        <v>-3.1</v>
      </c>
      <c r="AI57" s="1">
        <v>0</v>
      </c>
      <c r="AJ57" s="1">
        <v>0</v>
      </c>
      <c r="AK57" s="1">
        <v>0</v>
      </c>
      <c r="AL57" s="1">
        <v>1</v>
      </c>
      <c r="AM57" s="1">
        <v>86400</v>
      </c>
      <c r="AN57" s="1">
        <v>73592</v>
      </c>
      <c r="AO57" s="1">
        <v>12808</v>
      </c>
      <c r="AP57" s="1">
        <v>46951</v>
      </c>
      <c r="AQ57" s="1">
        <v>3.8210797604249449</v>
      </c>
    </row>
    <row r="58" spans="1:43" x14ac:dyDescent="0.45">
      <c r="A58" s="1">
        <v>57</v>
      </c>
      <c r="B58" s="1">
        <v>101</v>
      </c>
      <c r="C58" s="1">
        <v>74</v>
      </c>
      <c r="D58" s="1" t="s">
        <v>61</v>
      </c>
      <c r="E58" s="1" t="s">
        <v>62</v>
      </c>
      <c r="F58" s="1" t="s">
        <v>63</v>
      </c>
      <c r="G58" s="1" t="s">
        <v>46</v>
      </c>
      <c r="H58" s="1" t="s">
        <v>47</v>
      </c>
      <c r="I58" s="1">
        <v>1175</v>
      </c>
      <c r="J58" s="1">
        <v>30642</v>
      </c>
      <c r="K58" s="1">
        <v>1</v>
      </c>
      <c r="L58" s="1">
        <v>73</v>
      </c>
      <c r="M58" s="1">
        <v>1657</v>
      </c>
      <c r="N58" s="1" t="s">
        <v>48</v>
      </c>
      <c r="O58" s="1">
        <v>198487</v>
      </c>
      <c r="P58" s="1">
        <v>91</v>
      </c>
      <c r="Q58" s="1" t="s">
        <v>106</v>
      </c>
      <c r="R58" s="1" t="s">
        <v>50</v>
      </c>
      <c r="S58" s="1">
        <v>0</v>
      </c>
      <c r="T58" s="1">
        <v>0</v>
      </c>
      <c r="U58" s="1">
        <v>83.683999999999997</v>
      </c>
      <c r="V58" s="1">
        <v>25.073</v>
      </c>
      <c r="W58" s="1">
        <v>0.53</v>
      </c>
      <c r="X58" s="1">
        <v>0.21199999999999999</v>
      </c>
      <c r="Y58" s="1">
        <v>25.286000000000001</v>
      </c>
      <c r="Z58" s="1">
        <v>0.106</v>
      </c>
      <c r="AA58" s="1">
        <v>-2.6</v>
      </c>
      <c r="AB58" s="1">
        <v>-2.6</v>
      </c>
      <c r="AC58" s="1">
        <v>-2.6</v>
      </c>
      <c r="AD58" s="1">
        <v>0.21199999999999999</v>
      </c>
      <c r="AE58" s="1">
        <v>0.106</v>
      </c>
      <c r="AF58" s="1">
        <v>2.1999999999999999E-2</v>
      </c>
      <c r="AG58" s="1">
        <v>-2.6</v>
      </c>
      <c r="AI58" s="1">
        <v>0</v>
      </c>
      <c r="AJ58" s="1">
        <v>0</v>
      </c>
      <c r="AK58" s="1">
        <v>0</v>
      </c>
      <c r="AL58" s="1">
        <v>1</v>
      </c>
      <c r="AM58" s="1">
        <v>86400</v>
      </c>
      <c r="AN58" s="1">
        <v>78661</v>
      </c>
      <c r="AO58" s="1">
        <v>7739</v>
      </c>
      <c r="AP58" s="1">
        <v>47039</v>
      </c>
      <c r="AQ58" s="1">
        <v>15.599047446394991</v>
      </c>
    </row>
    <row r="59" spans="1:43" x14ac:dyDescent="0.45">
      <c r="A59" s="1">
        <v>58</v>
      </c>
      <c r="B59" s="1">
        <v>101</v>
      </c>
      <c r="C59" s="1">
        <v>74</v>
      </c>
      <c r="D59" s="1" t="s">
        <v>61</v>
      </c>
      <c r="E59" s="1" t="s">
        <v>62</v>
      </c>
      <c r="F59" s="1" t="s">
        <v>63</v>
      </c>
      <c r="G59" s="1" t="s">
        <v>46</v>
      </c>
      <c r="H59" s="1" t="s">
        <v>47</v>
      </c>
      <c r="I59" s="1">
        <v>1175</v>
      </c>
      <c r="J59" s="1">
        <v>30642</v>
      </c>
      <c r="K59" s="1">
        <v>1</v>
      </c>
      <c r="L59" s="1">
        <v>73</v>
      </c>
      <c r="M59" s="1">
        <v>1658</v>
      </c>
      <c r="N59" s="1" t="s">
        <v>48</v>
      </c>
      <c r="O59" s="1">
        <v>198541</v>
      </c>
      <c r="P59" s="1">
        <v>91</v>
      </c>
      <c r="Q59" s="1" t="s">
        <v>106</v>
      </c>
      <c r="R59" s="1" t="s">
        <v>50</v>
      </c>
      <c r="S59" s="1">
        <v>0</v>
      </c>
      <c r="T59" s="1">
        <v>0</v>
      </c>
      <c r="U59" s="1">
        <v>289.83499999999998</v>
      </c>
      <c r="V59" s="1">
        <v>25.143000000000001</v>
      </c>
      <c r="W59" s="1">
        <v>0.54</v>
      </c>
      <c r="X59" s="1">
        <v>0.248</v>
      </c>
      <c r="Y59" s="1">
        <v>25.390999999999998</v>
      </c>
      <c r="Z59" s="1">
        <v>0.106</v>
      </c>
      <c r="AA59" s="1">
        <v>-2.1</v>
      </c>
      <c r="AB59" s="1">
        <v>-2.1</v>
      </c>
      <c r="AC59" s="1">
        <v>-2.1</v>
      </c>
      <c r="AD59" s="1">
        <v>0.248</v>
      </c>
      <c r="AE59" s="1">
        <v>0.106</v>
      </c>
      <c r="AF59" s="1">
        <v>2.5999999999999999E-2</v>
      </c>
      <c r="AG59" s="1">
        <v>-2.1</v>
      </c>
      <c r="AI59" s="1">
        <v>0</v>
      </c>
      <c r="AJ59" s="1">
        <v>0</v>
      </c>
      <c r="AK59" s="1">
        <v>0</v>
      </c>
      <c r="AL59" s="1">
        <v>1</v>
      </c>
      <c r="AM59" s="1">
        <v>86400</v>
      </c>
      <c r="AN59" s="1">
        <v>79956</v>
      </c>
      <c r="AO59" s="1">
        <v>6444</v>
      </c>
      <c r="AP59" s="1">
        <v>47110</v>
      </c>
      <c r="AQ59" s="1">
        <v>24.891446609903252</v>
      </c>
    </row>
    <row r="60" spans="1:43" x14ac:dyDescent="0.45">
      <c r="A60" s="1">
        <v>59</v>
      </c>
      <c r="B60" s="1">
        <v>101</v>
      </c>
      <c r="C60" s="1">
        <v>74</v>
      </c>
      <c r="D60" s="1" t="s">
        <v>61</v>
      </c>
      <c r="E60" s="1" t="s">
        <v>62</v>
      </c>
      <c r="F60" s="1" t="s">
        <v>63</v>
      </c>
      <c r="G60" s="1" t="s">
        <v>46</v>
      </c>
      <c r="H60" s="1" t="s">
        <v>47</v>
      </c>
      <c r="I60" s="1">
        <v>1175</v>
      </c>
      <c r="J60" s="1">
        <v>30642</v>
      </c>
      <c r="K60" s="1">
        <v>1</v>
      </c>
      <c r="L60" s="1">
        <v>73</v>
      </c>
      <c r="M60" s="1">
        <v>1659</v>
      </c>
      <c r="N60" s="1" t="s">
        <v>48</v>
      </c>
      <c r="O60" s="1">
        <v>198542</v>
      </c>
      <c r="P60" s="1">
        <v>91</v>
      </c>
      <c r="Q60" s="1" t="s">
        <v>106</v>
      </c>
      <c r="R60" s="1" t="s">
        <v>50</v>
      </c>
      <c r="S60" s="1">
        <v>0</v>
      </c>
      <c r="T60" s="1">
        <v>0</v>
      </c>
      <c r="U60" s="1">
        <v>289.83499999999998</v>
      </c>
      <c r="V60" s="1">
        <v>25.213999999999999</v>
      </c>
      <c r="W60" s="1">
        <v>0.53</v>
      </c>
      <c r="X60" s="1">
        <v>0.17699999999999999</v>
      </c>
      <c r="Y60" s="1">
        <v>25.390999999999998</v>
      </c>
      <c r="Z60" s="1">
        <v>5.0999999999999997E-2</v>
      </c>
      <c r="AA60" s="1">
        <v>-1</v>
      </c>
      <c r="AB60" s="1">
        <v>-1</v>
      </c>
      <c r="AC60" s="1">
        <v>-1</v>
      </c>
      <c r="AD60" s="1">
        <v>0.17699999999999999</v>
      </c>
      <c r="AE60" s="1">
        <v>5.0999999999999997E-2</v>
      </c>
      <c r="AF60" s="1">
        <v>8.9999999999999993E-3</v>
      </c>
      <c r="AG60" s="1">
        <v>-1</v>
      </c>
      <c r="AI60" s="1">
        <v>0</v>
      </c>
      <c r="AJ60" s="1">
        <v>0</v>
      </c>
      <c r="AK60" s="1">
        <v>0</v>
      </c>
      <c r="AL60" s="1">
        <v>1</v>
      </c>
      <c r="AM60" s="1">
        <v>86400</v>
      </c>
      <c r="AN60" s="1">
        <v>76677</v>
      </c>
      <c r="AO60" s="1">
        <v>9723</v>
      </c>
      <c r="AP60" s="1">
        <v>46813</v>
      </c>
      <c r="AQ60" s="1">
        <v>25.132737300929911</v>
      </c>
    </row>
    <row r="61" spans="1:43" x14ac:dyDescent="0.45">
      <c r="A61" s="1">
        <v>60</v>
      </c>
      <c r="B61" s="1">
        <v>101</v>
      </c>
      <c r="C61" s="1">
        <v>74</v>
      </c>
      <c r="D61" s="1" t="s">
        <v>61</v>
      </c>
      <c r="E61" s="1" t="s">
        <v>62</v>
      </c>
      <c r="F61" s="1" t="s">
        <v>63</v>
      </c>
      <c r="G61" s="1" t="s">
        <v>46</v>
      </c>
      <c r="H61" s="1" t="s">
        <v>47</v>
      </c>
      <c r="I61" s="1">
        <v>1175</v>
      </c>
      <c r="J61" s="1">
        <v>30642</v>
      </c>
      <c r="K61" s="1">
        <v>1</v>
      </c>
      <c r="L61" s="1">
        <v>73</v>
      </c>
      <c r="M61" s="1">
        <v>1660</v>
      </c>
      <c r="N61" s="1" t="s">
        <v>48</v>
      </c>
      <c r="O61" s="1">
        <v>198593</v>
      </c>
      <c r="P61" s="1">
        <v>91</v>
      </c>
      <c r="Q61" s="1" t="s">
        <v>106</v>
      </c>
      <c r="R61" s="1" t="s">
        <v>50</v>
      </c>
      <c r="S61" s="1">
        <v>0</v>
      </c>
      <c r="T61" s="1">
        <v>0</v>
      </c>
      <c r="U61" s="1">
        <v>544.79200000000003</v>
      </c>
      <c r="V61" s="1">
        <v>25.16</v>
      </c>
      <c r="W61" s="1">
        <v>0.54</v>
      </c>
      <c r="X61" s="1">
        <v>0.221</v>
      </c>
      <c r="Y61" s="1">
        <v>25.381</v>
      </c>
      <c r="Z61" s="1">
        <v>0.109</v>
      </c>
      <c r="AA61" s="1">
        <v>2.2999999999999998</v>
      </c>
      <c r="AB61" s="1">
        <v>2.2999999999999998</v>
      </c>
      <c r="AC61" s="1">
        <v>2.2999999999999998</v>
      </c>
      <c r="AD61" s="1">
        <v>0.221</v>
      </c>
      <c r="AE61" s="1">
        <v>0.108</v>
      </c>
      <c r="AF61" s="1">
        <v>2.4E-2</v>
      </c>
      <c r="AG61" s="1">
        <v>2.2999999999999998</v>
      </c>
      <c r="AI61" s="1">
        <v>0</v>
      </c>
      <c r="AJ61" s="1">
        <v>0</v>
      </c>
      <c r="AK61" s="1">
        <v>0</v>
      </c>
      <c r="AL61" s="1">
        <v>1</v>
      </c>
      <c r="AM61" s="1">
        <v>86400</v>
      </c>
      <c r="AN61" s="1">
        <v>74288</v>
      </c>
      <c r="AO61" s="1">
        <v>12112</v>
      </c>
      <c r="AP61" s="1">
        <v>49122</v>
      </c>
      <c r="AQ61" s="1">
        <v>26.819003902703411</v>
      </c>
    </row>
    <row r="62" spans="1:43" x14ac:dyDescent="0.45">
      <c r="A62" s="1">
        <v>61</v>
      </c>
      <c r="B62" s="1">
        <v>101</v>
      </c>
      <c r="C62" s="1">
        <v>74</v>
      </c>
      <c r="D62" s="1" t="s">
        <v>61</v>
      </c>
      <c r="E62" s="1" t="s">
        <v>62</v>
      </c>
      <c r="F62" s="1" t="s">
        <v>63</v>
      </c>
      <c r="G62" s="1" t="s">
        <v>46</v>
      </c>
      <c r="H62" s="1" t="s">
        <v>47</v>
      </c>
      <c r="I62" s="1">
        <v>1175</v>
      </c>
      <c r="J62" s="1">
        <v>30642</v>
      </c>
      <c r="K62" s="1">
        <v>1</v>
      </c>
      <c r="L62" s="1">
        <v>73</v>
      </c>
      <c r="M62" s="1">
        <v>1661</v>
      </c>
      <c r="N62" s="1" t="s">
        <v>48</v>
      </c>
      <c r="O62" s="1">
        <v>198594</v>
      </c>
      <c r="P62" s="1">
        <v>91</v>
      </c>
      <c r="Q62" s="1" t="s">
        <v>106</v>
      </c>
      <c r="R62" s="1" t="s">
        <v>50</v>
      </c>
      <c r="S62" s="1">
        <v>0</v>
      </c>
      <c r="T62" s="1">
        <v>0</v>
      </c>
      <c r="U62" s="1">
        <v>600.88599999999997</v>
      </c>
      <c r="V62" s="1">
        <v>25.077999999999999</v>
      </c>
      <c r="W62" s="1">
        <v>0.55000000000000004</v>
      </c>
      <c r="X62" s="1">
        <v>0.30599999999999999</v>
      </c>
      <c r="Y62" s="1">
        <v>25.384</v>
      </c>
      <c r="Z62" s="1">
        <v>7.0999999999999994E-2</v>
      </c>
      <c r="AA62" s="1">
        <v>3</v>
      </c>
      <c r="AB62" s="1">
        <v>-3</v>
      </c>
      <c r="AC62" s="1">
        <v>-3</v>
      </c>
      <c r="AD62" s="1">
        <v>0.30599999999999999</v>
      </c>
      <c r="AE62" s="1">
        <v>6.8000000000000005E-2</v>
      </c>
      <c r="AF62" s="1">
        <v>2.1000000000000001E-2</v>
      </c>
      <c r="AG62" s="1">
        <v>3</v>
      </c>
      <c r="AI62" s="1">
        <v>0</v>
      </c>
      <c r="AJ62" s="1">
        <v>0</v>
      </c>
      <c r="AK62" s="1">
        <v>0</v>
      </c>
      <c r="AL62" s="1">
        <v>1</v>
      </c>
      <c r="AM62" s="1">
        <v>86400</v>
      </c>
      <c r="AN62" s="1">
        <v>78542</v>
      </c>
      <c r="AO62" s="1">
        <v>7858</v>
      </c>
      <c r="AP62" s="1">
        <v>48883</v>
      </c>
      <c r="AQ62" s="1">
        <v>2.7249590740331948</v>
      </c>
    </row>
    <row r="63" spans="1:43" x14ac:dyDescent="0.45">
      <c r="A63" s="1">
        <v>62</v>
      </c>
      <c r="B63" s="1">
        <v>101</v>
      </c>
      <c r="C63" s="1">
        <v>74</v>
      </c>
      <c r="D63" s="1" t="s">
        <v>61</v>
      </c>
      <c r="E63" s="1" t="s">
        <v>62</v>
      </c>
      <c r="F63" s="1" t="s">
        <v>63</v>
      </c>
      <c r="G63" s="1" t="s">
        <v>46</v>
      </c>
      <c r="H63" s="1" t="s">
        <v>47</v>
      </c>
      <c r="I63" s="1">
        <v>1175</v>
      </c>
      <c r="J63" s="1">
        <v>30642</v>
      </c>
      <c r="K63" s="1">
        <v>1</v>
      </c>
      <c r="L63" s="1">
        <v>73</v>
      </c>
      <c r="M63" s="1">
        <v>1662</v>
      </c>
      <c r="N63" s="1" t="s">
        <v>48</v>
      </c>
      <c r="O63" s="1">
        <v>198595</v>
      </c>
      <c r="P63" s="1">
        <v>91</v>
      </c>
      <c r="Q63" s="1" t="s">
        <v>106</v>
      </c>
      <c r="R63" s="1" t="s">
        <v>50</v>
      </c>
      <c r="S63" s="1">
        <v>0</v>
      </c>
      <c r="T63" s="1">
        <v>0</v>
      </c>
      <c r="U63" s="1">
        <v>356.9</v>
      </c>
      <c r="V63" s="1">
        <v>25.073</v>
      </c>
      <c r="W63" s="1">
        <v>0.55000000000000004</v>
      </c>
      <c r="X63" s="1">
        <v>0.311</v>
      </c>
      <c r="Y63" s="1">
        <v>25.384</v>
      </c>
      <c r="Z63" s="1">
        <v>4.3999999999999997E-2</v>
      </c>
      <c r="AA63" s="1">
        <v>-1.1000000000000001</v>
      </c>
      <c r="AB63" s="1">
        <v>-1.1000000000000001</v>
      </c>
      <c r="AC63" s="1">
        <v>-1.1000000000000001</v>
      </c>
      <c r="AD63" s="1">
        <v>0.311</v>
      </c>
      <c r="AE63" s="1">
        <v>4.3999999999999997E-2</v>
      </c>
      <c r="AF63" s="1">
        <v>1.4E-2</v>
      </c>
      <c r="AG63" s="1">
        <v>-1.1000000000000001</v>
      </c>
      <c r="AI63" s="1">
        <v>0</v>
      </c>
      <c r="AJ63" s="1">
        <v>0</v>
      </c>
      <c r="AK63" s="1">
        <v>0</v>
      </c>
      <c r="AL63" s="1">
        <v>1</v>
      </c>
      <c r="AM63" s="1">
        <v>86400</v>
      </c>
      <c r="AN63" s="1">
        <v>78803</v>
      </c>
      <c r="AO63" s="1">
        <v>7597</v>
      </c>
      <c r="AP63" s="1">
        <v>49762</v>
      </c>
      <c r="AQ63" s="1">
        <v>49.442101089761117</v>
      </c>
    </row>
    <row r="64" spans="1:43" x14ac:dyDescent="0.45">
      <c r="A64" s="1">
        <v>63</v>
      </c>
      <c r="B64" s="1">
        <v>101</v>
      </c>
      <c r="C64" s="1">
        <v>74</v>
      </c>
      <c r="D64" s="1" t="s">
        <v>61</v>
      </c>
      <c r="E64" s="1" t="s">
        <v>62</v>
      </c>
      <c r="F64" s="1" t="s">
        <v>63</v>
      </c>
      <c r="G64" s="1" t="s">
        <v>46</v>
      </c>
      <c r="H64" s="1" t="s">
        <v>47</v>
      </c>
      <c r="I64" s="1">
        <v>1175</v>
      </c>
      <c r="J64" s="1">
        <v>30642</v>
      </c>
      <c r="K64" s="1">
        <v>1</v>
      </c>
      <c r="L64" s="1">
        <v>73</v>
      </c>
      <c r="M64" s="1">
        <v>1663</v>
      </c>
      <c r="N64" s="1" t="s">
        <v>48</v>
      </c>
      <c r="O64" s="1">
        <v>198598</v>
      </c>
      <c r="P64" s="1">
        <v>91</v>
      </c>
      <c r="Q64" s="1" t="s">
        <v>106</v>
      </c>
      <c r="R64" s="1" t="s">
        <v>50</v>
      </c>
      <c r="S64" s="1">
        <v>0</v>
      </c>
      <c r="T64" s="1">
        <v>0</v>
      </c>
      <c r="U64" s="1">
        <v>434.84699999999998</v>
      </c>
      <c r="V64" s="1">
        <v>25.167000000000002</v>
      </c>
      <c r="W64" s="1">
        <v>0.53</v>
      </c>
      <c r="X64" s="1">
        <v>0.217</v>
      </c>
      <c r="Y64" s="1">
        <v>25.384</v>
      </c>
      <c r="Z64" s="1">
        <v>8.6999999999999994E-2</v>
      </c>
      <c r="AA64" s="1">
        <v>1.6</v>
      </c>
      <c r="AB64" s="1">
        <v>1.9</v>
      </c>
      <c r="AC64" s="1">
        <v>1.9</v>
      </c>
      <c r="AD64" s="1">
        <v>0.217</v>
      </c>
      <c r="AE64" s="1">
        <v>5.2999999999999999E-2</v>
      </c>
      <c r="AF64" s="1">
        <v>1.6E-2</v>
      </c>
      <c r="AG64" s="1">
        <v>1.6</v>
      </c>
      <c r="AI64" s="1">
        <v>0</v>
      </c>
      <c r="AJ64" s="1">
        <v>0</v>
      </c>
      <c r="AK64" s="1">
        <v>0</v>
      </c>
      <c r="AL64" s="1">
        <v>1</v>
      </c>
      <c r="AM64" s="1">
        <v>86400</v>
      </c>
      <c r="AN64" s="1">
        <v>73975</v>
      </c>
      <c r="AO64" s="1">
        <v>12425</v>
      </c>
      <c r="AP64" s="1">
        <v>49257</v>
      </c>
      <c r="AQ64" s="1">
        <v>26.300615520015079</v>
      </c>
    </row>
    <row r="65" spans="1:43" x14ac:dyDescent="0.45">
      <c r="A65" s="1">
        <v>64</v>
      </c>
      <c r="B65" s="1">
        <v>101</v>
      </c>
      <c r="C65" s="1">
        <v>74</v>
      </c>
      <c r="D65" s="1" t="s">
        <v>61</v>
      </c>
      <c r="E65" s="1" t="s">
        <v>62</v>
      </c>
      <c r="F65" s="1" t="s">
        <v>63</v>
      </c>
      <c r="G65" s="1" t="s">
        <v>46</v>
      </c>
      <c r="H65" s="1" t="s">
        <v>47</v>
      </c>
      <c r="I65" s="1">
        <v>1175</v>
      </c>
      <c r="J65" s="1">
        <v>30642</v>
      </c>
      <c r="K65" s="1">
        <v>1</v>
      </c>
      <c r="L65" s="1">
        <v>73</v>
      </c>
      <c r="M65" s="1">
        <v>1664</v>
      </c>
      <c r="N65" s="1" t="s">
        <v>48</v>
      </c>
      <c r="O65" s="1">
        <v>198603</v>
      </c>
      <c r="P65" s="1">
        <v>91</v>
      </c>
      <c r="Q65" s="1" t="s">
        <v>106</v>
      </c>
      <c r="R65" s="1" t="s">
        <v>50</v>
      </c>
      <c r="S65" s="1">
        <v>0</v>
      </c>
      <c r="T65" s="1">
        <v>0</v>
      </c>
      <c r="U65" s="1">
        <v>717.81100000000004</v>
      </c>
      <c r="V65" s="1">
        <v>25.273</v>
      </c>
      <c r="W65" s="1">
        <v>0.52</v>
      </c>
      <c r="X65" s="1">
        <v>0.114</v>
      </c>
      <c r="Y65" s="1">
        <v>25.387</v>
      </c>
      <c r="Z65" s="1">
        <v>9.5000000000000001E-2</v>
      </c>
      <c r="AA65" s="1">
        <v>0.5</v>
      </c>
      <c r="AB65" s="1">
        <v>0.5</v>
      </c>
      <c r="AC65" s="1">
        <v>0.5</v>
      </c>
      <c r="AD65" s="1">
        <v>0.114</v>
      </c>
      <c r="AE65" s="1">
        <v>9.5000000000000001E-2</v>
      </c>
      <c r="AF65" s="1">
        <v>1.0999999999999999E-2</v>
      </c>
      <c r="AG65" s="1">
        <v>0.5</v>
      </c>
      <c r="AI65" s="1">
        <v>0</v>
      </c>
      <c r="AJ65" s="1">
        <v>0</v>
      </c>
      <c r="AK65" s="1">
        <v>0</v>
      </c>
      <c r="AL65" s="1">
        <v>1</v>
      </c>
      <c r="AM65" s="1">
        <v>62947</v>
      </c>
      <c r="AN65" s="1">
        <v>19675</v>
      </c>
      <c r="AO65" s="1">
        <v>43271</v>
      </c>
      <c r="AP65" s="1">
        <v>49756</v>
      </c>
      <c r="AQ65" s="1">
        <v>0.81983896563122749</v>
      </c>
    </row>
    <row r="66" spans="1:43" x14ac:dyDescent="0.45">
      <c r="A66" s="1">
        <v>65</v>
      </c>
      <c r="B66" s="1">
        <v>101</v>
      </c>
      <c r="C66" s="1">
        <v>74</v>
      </c>
      <c r="D66" s="1" t="s">
        <v>61</v>
      </c>
      <c r="E66" s="1" t="s">
        <v>62</v>
      </c>
      <c r="F66" s="1" t="s">
        <v>63</v>
      </c>
      <c r="G66" s="1" t="s">
        <v>46</v>
      </c>
      <c r="H66" s="1" t="s">
        <v>47</v>
      </c>
      <c r="I66" s="1">
        <v>1175</v>
      </c>
      <c r="J66" s="1">
        <v>30642</v>
      </c>
      <c r="K66" s="1">
        <v>1</v>
      </c>
      <c r="L66" s="1">
        <v>73</v>
      </c>
      <c r="M66" s="1">
        <v>1665</v>
      </c>
      <c r="N66" s="1" t="s">
        <v>48</v>
      </c>
      <c r="O66" s="1">
        <v>198604</v>
      </c>
      <c r="P66" s="1">
        <v>91</v>
      </c>
      <c r="Q66" s="1" t="s">
        <v>106</v>
      </c>
      <c r="R66" s="1" t="s">
        <v>50</v>
      </c>
      <c r="S66" s="1">
        <v>0</v>
      </c>
      <c r="T66" s="1">
        <v>0</v>
      </c>
      <c r="U66" s="1">
        <v>319.57100000000003</v>
      </c>
      <c r="V66" s="1">
        <v>25.094999999999999</v>
      </c>
      <c r="W66" s="1">
        <v>0.55000000000000004</v>
      </c>
      <c r="X66" s="1">
        <v>0.29399999999999998</v>
      </c>
      <c r="Y66" s="1">
        <v>25.388999999999999</v>
      </c>
      <c r="Z66" s="1">
        <v>9.5000000000000001E-2</v>
      </c>
      <c r="AA66" s="1">
        <v>0.1</v>
      </c>
      <c r="AB66" s="1">
        <v>-0.1</v>
      </c>
      <c r="AC66" s="1">
        <v>-0.1</v>
      </c>
      <c r="AD66" s="1">
        <v>0.29399999999999998</v>
      </c>
      <c r="AE66" s="1">
        <v>9.0999999999999998E-2</v>
      </c>
      <c r="AF66" s="1">
        <v>2.7E-2</v>
      </c>
      <c r="AG66" s="1">
        <v>0.1</v>
      </c>
      <c r="AI66" s="1">
        <v>0</v>
      </c>
      <c r="AJ66" s="1">
        <v>0</v>
      </c>
      <c r="AK66" s="1">
        <v>0</v>
      </c>
      <c r="AL66" s="1">
        <v>1</v>
      </c>
      <c r="AM66" s="1">
        <v>86400</v>
      </c>
      <c r="AN66" s="1">
        <v>78906</v>
      </c>
      <c r="AO66" s="1">
        <v>7494</v>
      </c>
      <c r="AP66" s="1">
        <v>49936</v>
      </c>
      <c r="AQ66" s="1">
        <v>25.644147779351979</v>
      </c>
    </row>
    <row r="67" spans="1:43" x14ac:dyDescent="0.45">
      <c r="A67" s="1">
        <v>66</v>
      </c>
      <c r="B67" s="1">
        <v>101</v>
      </c>
      <c r="C67" s="1">
        <v>74</v>
      </c>
      <c r="D67" s="1" t="s">
        <v>61</v>
      </c>
      <c r="E67" s="1" t="s">
        <v>62</v>
      </c>
      <c r="F67" s="1" t="s">
        <v>63</v>
      </c>
      <c r="G67" s="1" t="s">
        <v>46</v>
      </c>
      <c r="H67" s="1" t="s">
        <v>47</v>
      </c>
      <c r="I67" s="1">
        <v>1175</v>
      </c>
      <c r="J67" s="1">
        <v>30642</v>
      </c>
      <c r="K67" s="1">
        <v>1</v>
      </c>
      <c r="L67" s="1">
        <v>73</v>
      </c>
      <c r="M67" s="1">
        <v>1667</v>
      </c>
      <c r="N67" s="1" t="s">
        <v>48</v>
      </c>
      <c r="O67" s="1">
        <v>198607</v>
      </c>
      <c r="P67" s="1">
        <v>91</v>
      </c>
      <c r="Q67" s="1" t="s">
        <v>106</v>
      </c>
      <c r="R67" s="1" t="s">
        <v>50</v>
      </c>
      <c r="S67" s="1">
        <v>0</v>
      </c>
      <c r="T67" s="1">
        <v>0</v>
      </c>
      <c r="U67" s="1">
        <v>71.430000000000007</v>
      </c>
      <c r="V67" s="1">
        <v>25.236000000000001</v>
      </c>
      <c r="W67" s="1">
        <v>0.52</v>
      </c>
      <c r="X67" s="1">
        <v>0.156</v>
      </c>
      <c r="Y67" s="1">
        <v>25.391999999999999</v>
      </c>
      <c r="Z67" s="1">
        <v>0.113</v>
      </c>
      <c r="AA67" s="1">
        <v>-0.7</v>
      </c>
      <c r="AB67" s="1">
        <v>-0.7</v>
      </c>
      <c r="AC67" s="1">
        <v>-0.7</v>
      </c>
      <c r="AD67" s="1">
        <v>0.156</v>
      </c>
      <c r="AE67" s="1">
        <v>7.6999999999999999E-2</v>
      </c>
      <c r="AF67" s="1">
        <v>1.2E-2</v>
      </c>
      <c r="AG67" s="1">
        <v>-0.7</v>
      </c>
      <c r="AI67" s="1">
        <v>0</v>
      </c>
      <c r="AJ67" s="1">
        <v>0</v>
      </c>
      <c r="AK67" s="1">
        <v>0</v>
      </c>
      <c r="AL67" s="1">
        <v>1</v>
      </c>
      <c r="AM67" s="1">
        <v>86400</v>
      </c>
      <c r="AN67" s="1">
        <v>80751</v>
      </c>
      <c r="AO67" s="1">
        <v>5649</v>
      </c>
      <c r="AP67" s="1">
        <v>50287</v>
      </c>
      <c r="AQ67" s="1">
        <v>10.66390759449977</v>
      </c>
    </row>
    <row r="68" spans="1:43" x14ac:dyDescent="0.45">
      <c r="A68" s="1">
        <v>67</v>
      </c>
      <c r="B68" s="1">
        <v>142</v>
      </c>
      <c r="C68" s="1">
        <v>78</v>
      </c>
      <c r="D68" s="1" t="s">
        <v>67</v>
      </c>
      <c r="E68" s="1" t="s">
        <v>68</v>
      </c>
      <c r="F68" s="1" t="s">
        <v>69</v>
      </c>
      <c r="G68" s="1" t="s">
        <v>46</v>
      </c>
      <c r="H68" s="1" t="s">
        <v>47</v>
      </c>
      <c r="I68" s="1">
        <v>1163</v>
      </c>
      <c r="J68" s="1">
        <v>33073</v>
      </c>
      <c r="K68" s="1">
        <v>1</v>
      </c>
      <c r="L68" s="1">
        <v>77</v>
      </c>
      <c r="M68" s="1">
        <v>1577</v>
      </c>
      <c r="N68" s="1" t="s">
        <v>48</v>
      </c>
      <c r="O68" s="1">
        <v>194312</v>
      </c>
      <c r="P68" s="1">
        <v>91</v>
      </c>
      <c r="Q68" s="1" t="s">
        <v>106</v>
      </c>
      <c r="R68" s="1" t="s">
        <v>50</v>
      </c>
      <c r="S68" s="1">
        <v>0</v>
      </c>
      <c r="T68" s="1">
        <v>0</v>
      </c>
      <c r="U68" s="1">
        <v>570.83799999999997</v>
      </c>
      <c r="V68" s="1">
        <v>25.484000000000002</v>
      </c>
      <c r="W68" s="1">
        <v>0.55000000000000004</v>
      </c>
      <c r="X68" s="1">
        <v>0.314</v>
      </c>
      <c r="Y68" s="1">
        <v>25.797999999999998</v>
      </c>
      <c r="Z68" s="1">
        <v>8.5999999999999993E-2</v>
      </c>
      <c r="AA68" s="1">
        <v>-1.7</v>
      </c>
      <c r="AB68" s="1">
        <v>-1.7</v>
      </c>
      <c r="AC68" s="1">
        <v>-1.7</v>
      </c>
      <c r="AD68" s="1">
        <v>0.314</v>
      </c>
      <c r="AE68" s="1">
        <v>8.5999999999999993E-2</v>
      </c>
      <c r="AF68" s="1">
        <v>2.7E-2</v>
      </c>
      <c r="AG68" s="1">
        <v>-1.7</v>
      </c>
      <c r="AI68" s="1">
        <v>0</v>
      </c>
      <c r="AJ68" s="1">
        <v>0</v>
      </c>
      <c r="AK68" s="1">
        <v>0</v>
      </c>
      <c r="AL68" s="1">
        <v>1</v>
      </c>
      <c r="AM68" s="1">
        <v>86400</v>
      </c>
      <c r="AN68" s="1">
        <v>77293</v>
      </c>
      <c r="AO68" s="1">
        <v>9107</v>
      </c>
      <c r="AP68" s="1">
        <v>47702</v>
      </c>
      <c r="AQ68" s="1">
        <v>1.131743174433216</v>
      </c>
    </row>
    <row r="69" spans="1:43" x14ac:dyDescent="0.45">
      <c r="A69" s="1">
        <v>68</v>
      </c>
      <c r="B69" s="1">
        <v>142</v>
      </c>
      <c r="C69" s="1">
        <v>78</v>
      </c>
      <c r="D69" s="1" t="s">
        <v>67</v>
      </c>
      <c r="E69" s="1" t="s">
        <v>68</v>
      </c>
      <c r="F69" s="1" t="s">
        <v>69</v>
      </c>
      <c r="G69" s="1" t="s">
        <v>46</v>
      </c>
      <c r="H69" s="1" t="s">
        <v>47</v>
      </c>
      <c r="I69" s="1">
        <v>1163</v>
      </c>
      <c r="J69" s="1">
        <v>33073</v>
      </c>
      <c r="K69" s="1">
        <v>1</v>
      </c>
      <c r="L69" s="1">
        <v>77</v>
      </c>
      <c r="M69" s="1">
        <v>1578</v>
      </c>
      <c r="N69" s="1" t="s">
        <v>48</v>
      </c>
      <c r="O69" s="1">
        <v>194313</v>
      </c>
      <c r="P69" s="1">
        <v>91</v>
      </c>
      <c r="Q69" s="1" t="s">
        <v>106</v>
      </c>
      <c r="R69" s="1" t="s">
        <v>50</v>
      </c>
      <c r="S69" s="1">
        <v>0</v>
      </c>
      <c r="T69" s="1">
        <v>0</v>
      </c>
      <c r="U69" s="1">
        <v>403.28300000000002</v>
      </c>
      <c r="V69" s="1">
        <v>25.466999999999999</v>
      </c>
      <c r="W69" s="1">
        <v>0.55000000000000004</v>
      </c>
      <c r="X69" s="1">
        <v>0.33</v>
      </c>
      <c r="Y69" s="1">
        <v>25.797999999999998</v>
      </c>
      <c r="Z69" s="1">
        <v>0.1</v>
      </c>
      <c r="AA69" s="1">
        <v>-1.7</v>
      </c>
      <c r="AB69" s="1">
        <v>-1.7</v>
      </c>
      <c r="AC69" s="1">
        <v>-1.7</v>
      </c>
      <c r="AD69" s="1">
        <v>0.33</v>
      </c>
      <c r="AE69" s="1">
        <v>0.1</v>
      </c>
      <c r="AF69" s="1">
        <v>3.3000000000000002E-2</v>
      </c>
      <c r="AG69" s="1">
        <v>-1.7</v>
      </c>
      <c r="AI69" s="1">
        <v>0</v>
      </c>
      <c r="AJ69" s="1">
        <v>0</v>
      </c>
      <c r="AK69" s="1">
        <v>0</v>
      </c>
      <c r="AL69" s="1">
        <v>1</v>
      </c>
      <c r="AM69" s="1">
        <v>86400</v>
      </c>
      <c r="AN69" s="1">
        <v>78691</v>
      </c>
      <c r="AO69" s="1">
        <v>7709</v>
      </c>
      <c r="AP69" s="1">
        <v>47377</v>
      </c>
      <c r="AQ69" s="1">
        <v>27.22208285825711</v>
      </c>
    </row>
    <row r="70" spans="1:43" x14ac:dyDescent="0.45">
      <c r="A70" s="1">
        <v>69</v>
      </c>
      <c r="B70" s="1">
        <v>142</v>
      </c>
      <c r="C70" s="1">
        <v>78</v>
      </c>
      <c r="D70" s="1" t="s">
        <v>67</v>
      </c>
      <c r="E70" s="1" t="s">
        <v>68</v>
      </c>
      <c r="F70" s="1" t="s">
        <v>69</v>
      </c>
      <c r="G70" s="1" t="s">
        <v>46</v>
      </c>
      <c r="H70" s="1" t="s">
        <v>47</v>
      </c>
      <c r="I70" s="1">
        <v>1163</v>
      </c>
      <c r="J70" s="1">
        <v>33073</v>
      </c>
      <c r="K70" s="1">
        <v>1</v>
      </c>
      <c r="L70" s="1">
        <v>77</v>
      </c>
      <c r="M70" s="1">
        <v>1579</v>
      </c>
      <c r="N70" s="1" t="s">
        <v>48</v>
      </c>
      <c r="O70" s="1">
        <v>194321</v>
      </c>
      <c r="P70" s="1">
        <v>91</v>
      </c>
      <c r="Q70" s="1" t="s">
        <v>106</v>
      </c>
      <c r="R70" s="1" t="s">
        <v>50</v>
      </c>
      <c r="S70" s="1">
        <v>0</v>
      </c>
      <c r="T70" s="1">
        <v>0</v>
      </c>
      <c r="U70" s="1">
        <v>430.35700000000003</v>
      </c>
      <c r="V70" s="1">
        <v>25.529</v>
      </c>
      <c r="W70" s="1">
        <v>0.54</v>
      </c>
      <c r="X70" s="1">
        <v>0.252</v>
      </c>
      <c r="Y70" s="1">
        <v>25.780999999999999</v>
      </c>
      <c r="Z70" s="1">
        <v>0.128</v>
      </c>
      <c r="AA70" s="1">
        <v>-0.9</v>
      </c>
      <c r="AB70" s="1">
        <v>-0.9</v>
      </c>
      <c r="AC70" s="1">
        <v>-0.9</v>
      </c>
      <c r="AD70" s="1">
        <v>0.252</v>
      </c>
      <c r="AE70" s="1">
        <v>0.128</v>
      </c>
      <c r="AF70" s="1">
        <v>3.2000000000000001E-2</v>
      </c>
      <c r="AG70" s="1">
        <v>-0.9</v>
      </c>
      <c r="AI70" s="1">
        <v>0</v>
      </c>
      <c r="AJ70" s="1">
        <v>0</v>
      </c>
      <c r="AK70" s="1">
        <v>0</v>
      </c>
      <c r="AL70" s="1">
        <v>1</v>
      </c>
      <c r="AM70" s="1">
        <v>86400</v>
      </c>
      <c r="AN70" s="1">
        <v>76150</v>
      </c>
      <c r="AO70" s="1">
        <v>10250</v>
      </c>
      <c r="AP70" s="1">
        <v>47416</v>
      </c>
      <c r="AQ70" s="1">
        <v>0.81082726490215773</v>
      </c>
    </row>
    <row r="71" spans="1:43" x14ac:dyDescent="0.45">
      <c r="A71" s="1">
        <v>70</v>
      </c>
      <c r="B71" s="1">
        <v>142</v>
      </c>
      <c r="C71" s="1">
        <v>78</v>
      </c>
      <c r="D71" s="1" t="s">
        <v>67</v>
      </c>
      <c r="E71" s="1" t="s">
        <v>68</v>
      </c>
      <c r="F71" s="1" t="s">
        <v>69</v>
      </c>
      <c r="G71" s="1" t="s">
        <v>46</v>
      </c>
      <c r="H71" s="1" t="s">
        <v>47</v>
      </c>
      <c r="I71" s="1">
        <v>1163</v>
      </c>
      <c r="J71" s="1">
        <v>33073</v>
      </c>
      <c r="K71" s="1">
        <v>1</v>
      </c>
      <c r="L71" s="1">
        <v>77</v>
      </c>
      <c r="M71" s="1">
        <v>1580</v>
      </c>
      <c r="N71" s="1" t="s">
        <v>48</v>
      </c>
      <c r="O71" s="1">
        <v>194325</v>
      </c>
      <c r="P71" s="1">
        <v>91</v>
      </c>
      <c r="Q71" s="1" t="s">
        <v>106</v>
      </c>
      <c r="R71" s="1" t="s">
        <v>50</v>
      </c>
      <c r="S71" s="1">
        <v>0</v>
      </c>
      <c r="T71" s="1">
        <v>0</v>
      </c>
      <c r="U71" s="1">
        <v>137.80099999999999</v>
      </c>
      <c r="V71" s="1">
        <v>25.645</v>
      </c>
      <c r="W71" s="1">
        <v>0.52</v>
      </c>
      <c r="X71" s="1">
        <v>0.13500000000000001</v>
      </c>
      <c r="Y71" s="1">
        <v>25.78</v>
      </c>
      <c r="Z71" s="1">
        <v>0.22600000000000001</v>
      </c>
      <c r="AA71" s="1">
        <v>-0.5</v>
      </c>
      <c r="AB71" s="1">
        <v>-0.5</v>
      </c>
      <c r="AC71" s="1">
        <v>-0.5</v>
      </c>
      <c r="AD71" s="1">
        <v>0.13500000000000001</v>
      </c>
      <c r="AE71" s="1">
        <v>0.224</v>
      </c>
      <c r="AF71" s="1">
        <v>0.03</v>
      </c>
      <c r="AG71" s="1">
        <v>-0.5</v>
      </c>
      <c r="AI71" s="1">
        <v>0</v>
      </c>
      <c r="AJ71" s="1">
        <v>0</v>
      </c>
      <c r="AK71" s="1">
        <v>0</v>
      </c>
      <c r="AL71" s="1">
        <v>1</v>
      </c>
      <c r="AM71" s="1">
        <v>58228</v>
      </c>
      <c r="AN71" s="1">
        <v>22013</v>
      </c>
      <c r="AO71" s="1">
        <v>36214</v>
      </c>
      <c r="AP71" s="1">
        <v>47027</v>
      </c>
      <c r="AQ71" s="1">
        <v>0.71025518424474854</v>
      </c>
    </row>
    <row r="72" spans="1:43" x14ac:dyDescent="0.45">
      <c r="A72" s="1">
        <v>71</v>
      </c>
      <c r="B72" s="1">
        <v>142</v>
      </c>
      <c r="C72" s="1">
        <v>78</v>
      </c>
      <c r="D72" s="1" t="s">
        <v>67</v>
      </c>
      <c r="E72" s="1" t="s">
        <v>68</v>
      </c>
      <c r="F72" s="1" t="s">
        <v>69</v>
      </c>
      <c r="G72" s="1" t="s">
        <v>46</v>
      </c>
      <c r="H72" s="1" t="s">
        <v>47</v>
      </c>
      <c r="I72" s="1">
        <v>1163</v>
      </c>
      <c r="J72" s="1">
        <v>33073</v>
      </c>
      <c r="K72" s="1">
        <v>1</v>
      </c>
      <c r="L72" s="1">
        <v>77</v>
      </c>
      <c r="M72" s="1">
        <v>1583</v>
      </c>
      <c r="N72" s="1" t="s">
        <v>48</v>
      </c>
      <c r="O72" s="1">
        <v>194541</v>
      </c>
      <c r="P72" s="1">
        <v>91</v>
      </c>
      <c r="Q72" s="1" t="s">
        <v>106</v>
      </c>
      <c r="R72" s="1" t="s">
        <v>50</v>
      </c>
      <c r="S72" s="1">
        <v>0</v>
      </c>
      <c r="T72" s="1">
        <v>0</v>
      </c>
      <c r="U72" s="1">
        <v>444.91399999999999</v>
      </c>
      <c r="V72" s="1">
        <v>25.006</v>
      </c>
      <c r="W72" s="1">
        <v>0.53</v>
      </c>
      <c r="X72" s="1">
        <v>0.182</v>
      </c>
      <c r="Y72" s="1">
        <v>25.187000000000001</v>
      </c>
      <c r="Z72" s="1">
        <v>0.129</v>
      </c>
      <c r="AA72" s="1">
        <v>0.5</v>
      </c>
      <c r="AB72" s="1">
        <v>0.5</v>
      </c>
      <c r="AC72" s="1">
        <v>0.5</v>
      </c>
      <c r="AD72" s="1">
        <v>0.182</v>
      </c>
      <c r="AE72" s="1">
        <v>0.129</v>
      </c>
      <c r="AF72" s="1">
        <v>2.3E-2</v>
      </c>
      <c r="AG72" s="1">
        <v>0.5</v>
      </c>
      <c r="AI72" s="1">
        <v>0</v>
      </c>
      <c r="AJ72" s="1">
        <v>0</v>
      </c>
      <c r="AK72" s="1">
        <v>0</v>
      </c>
      <c r="AL72" s="1">
        <v>1</v>
      </c>
      <c r="AM72" s="1">
        <v>86400</v>
      </c>
      <c r="AN72" s="1">
        <v>75046</v>
      </c>
      <c r="AO72" s="1">
        <v>11354</v>
      </c>
      <c r="AP72" s="1">
        <v>46982</v>
      </c>
      <c r="AQ72" s="1">
        <v>26.147441836754549</v>
      </c>
    </row>
    <row r="73" spans="1:43" x14ac:dyDescent="0.45">
      <c r="A73" s="1">
        <v>72</v>
      </c>
      <c r="B73" s="1">
        <v>142</v>
      </c>
      <c r="C73" s="1">
        <v>78</v>
      </c>
      <c r="D73" s="1" t="s">
        <v>67</v>
      </c>
      <c r="E73" s="1" t="s">
        <v>68</v>
      </c>
      <c r="F73" s="1" t="s">
        <v>69</v>
      </c>
      <c r="G73" s="1" t="s">
        <v>46</v>
      </c>
      <c r="H73" s="1" t="s">
        <v>47</v>
      </c>
      <c r="I73" s="1">
        <v>1163</v>
      </c>
      <c r="J73" s="1">
        <v>33073</v>
      </c>
      <c r="K73" s="1">
        <v>1</v>
      </c>
      <c r="L73" s="1">
        <v>77</v>
      </c>
      <c r="M73" s="1">
        <v>1584</v>
      </c>
      <c r="N73" s="1" t="s">
        <v>48</v>
      </c>
      <c r="O73" s="1">
        <v>194543</v>
      </c>
      <c r="P73" s="1">
        <v>91</v>
      </c>
      <c r="Q73" s="1" t="s">
        <v>106</v>
      </c>
      <c r="R73" s="1" t="s">
        <v>50</v>
      </c>
      <c r="S73" s="1">
        <v>0</v>
      </c>
      <c r="T73" s="1">
        <v>0</v>
      </c>
      <c r="U73" s="1">
        <v>99.31</v>
      </c>
      <c r="V73" s="1">
        <v>24.934000000000001</v>
      </c>
      <c r="W73" s="1">
        <v>0.54</v>
      </c>
      <c r="X73" s="1">
        <v>0.255</v>
      </c>
      <c r="Y73" s="1">
        <v>25.19</v>
      </c>
      <c r="Z73" s="1">
        <v>9.8000000000000004E-2</v>
      </c>
      <c r="AA73" s="1">
        <v>0.5</v>
      </c>
      <c r="AB73" s="1">
        <v>0.5</v>
      </c>
      <c r="AC73" s="1">
        <v>0.5</v>
      </c>
      <c r="AD73" s="1">
        <v>0.255</v>
      </c>
      <c r="AE73" s="1">
        <v>9.8000000000000004E-2</v>
      </c>
      <c r="AF73" s="1">
        <v>2.5000000000000001E-2</v>
      </c>
      <c r="AG73" s="1">
        <v>0.5</v>
      </c>
      <c r="AI73" s="1">
        <v>0</v>
      </c>
      <c r="AJ73" s="1">
        <v>0</v>
      </c>
      <c r="AK73" s="1">
        <v>0</v>
      </c>
      <c r="AL73" s="1">
        <v>1</v>
      </c>
      <c r="AM73" s="1">
        <v>86400</v>
      </c>
      <c r="AN73" s="1">
        <v>78079</v>
      </c>
      <c r="AO73" s="1">
        <v>8321</v>
      </c>
      <c r="AP73" s="1">
        <v>47222</v>
      </c>
      <c r="AQ73" s="1">
        <v>9.402992152571759</v>
      </c>
    </row>
    <row r="74" spans="1:43" x14ac:dyDescent="0.45">
      <c r="A74" s="1">
        <v>73</v>
      </c>
      <c r="B74" s="1">
        <v>142</v>
      </c>
      <c r="C74" s="1">
        <v>78</v>
      </c>
      <c r="D74" s="1" t="s">
        <v>67</v>
      </c>
      <c r="E74" s="1" t="s">
        <v>68</v>
      </c>
      <c r="F74" s="1" t="s">
        <v>69</v>
      </c>
      <c r="G74" s="1" t="s">
        <v>46</v>
      </c>
      <c r="H74" s="1" t="s">
        <v>47</v>
      </c>
      <c r="I74" s="1">
        <v>1163</v>
      </c>
      <c r="J74" s="1">
        <v>33073</v>
      </c>
      <c r="K74" s="1">
        <v>1</v>
      </c>
      <c r="L74" s="1">
        <v>77</v>
      </c>
      <c r="M74" s="1">
        <v>1585</v>
      </c>
      <c r="N74" s="1" t="s">
        <v>48</v>
      </c>
      <c r="O74" s="1">
        <v>194544</v>
      </c>
      <c r="P74" s="1">
        <v>91</v>
      </c>
      <c r="Q74" s="1" t="s">
        <v>106</v>
      </c>
      <c r="R74" s="1" t="s">
        <v>50</v>
      </c>
      <c r="S74" s="1">
        <v>0</v>
      </c>
      <c r="T74" s="1">
        <v>0</v>
      </c>
      <c r="U74" s="1">
        <v>98.995000000000005</v>
      </c>
      <c r="V74" s="1">
        <v>24.971</v>
      </c>
      <c r="W74" s="1">
        <v>0.54</v>
      </c>
      <c r="X74" s="1">
        <v>0.219</v>
      </c>
      <c r="Y74" s="1">
        <v>25.189</v>
      </c>
      <c r="Z74" s="1">
        <v>9.2999999999999999E-2</v>
      </c>
      <c r="AA74" s="1">
        <v>0.2</v>
      </c>
      <c r="AB74" s="1">
        <v>0.2</v>
      </c>
      <c r="AC74" s="1">
        <v>0.2</v>
      </c>
      <c r="AD74" s="1">
        <v>0.219</v>
      </c>
      <c r="AE74" s="1">
        <v>9.1999999999999998E-2</v>
      </c>
      <c r="AF74" s="1">
        <v>0.02</v>
      </c>
      <c r="AG74" s="1">
        <v>0.2</v>
      </c>
      <c r="AI74" s="1">
        <v>0</v>
      </c>
      <c r="AJ74" s="1">
        <v>0</v>
      </c>
      <c r="AK74" s="1">
        <v>0</v>
      </c>
      <c r="AL74" s="1">
        <v>1</v>
      </c>
      <c r="AM74" s="1">
        <v>86400</v>
      </c>
      <c r="AN74" s="1">
        <v>76892</v>
      </c>
      <c r="AO74" s="1">
        <v>9508</v>
      </c>
      <c r="AP74" s="1">
        <v>47945</v>
      </c>
      <c r="AQ74" s="1">
        <v>17.426884546178929</v>
      </c>
    </row>
    <row r="75" spans="1:43" x14ac:dyDescent="0.45">
      <c r="A75" s="1">
        <v>74</v>
      </c>
      <c r="B75" s="1">
        <v>142</v>
      </c>
      <c r="C75" s="1">
        <v>78</v>
      </c>
      <c r="D75" s="1" t="s">
        <v>67</v>
      </c>
      <c r="E75" s="1" t="s">
        <v>68</v>
      </c>
      <c r="F75" s="1" t="s">
        <v>69</v>
      </c>
      <c r="G75" s="1" t="s">
        <v>46</v>
      </c>
      <c r="H75" s="1" t="s">
        <v>47</v>
      </c>
      <c r="I75" s="1">
        <v>1163</v>
      </c>
      <c r="J75" s="1">
        <v>33073</v>
      </c>
      <c r="K75" s="1">
        <v>1</v>
      </c>
      <c r="L75" s="1">
        <v>77</v>
      </c>
      <c r="M75" s="1">
        <v>1586</v>
      </c>
      <c r="N75" s="1" t="s">
        <v>48</v>
      </c>
      <c r="O75" s="1">
        <v>194545</v>
      </c>
      <c r="P75" s="1">
        <v>91</v>
      </c>
      <c r="Q75" s="1" t="s">
        <v>106</v>
      </c>
      <c r="R75" s="1" t="s">
        <v>50</v>
      </c>
      <c r="S75" s="1">
        <v>0</v>
      </c>
      <c r="T75" s="1">
        <v>0</v>
      </c>
      <c r="U75" s="1">
        <v>108.714</v>
      </c>
      <c r="V75" s="1">
        <v>24.908000000000001</v>
      </c>
      <c r="W75" s="1">
        <v>0.54</v>
      </c>
      <c r="X75" s="1">
        <v>0.28100000000000003</v>
      </c>
      <c r="Y75" s="1">
        <v>25.19</v>
      </c>
      <c r="Z75" s="1">
        <v>5.8000000000000003E-2</v>
      </c>
      <c r="AA75" s="1">
        <v>1</v>
      </c>
      <c r="AB75" s="1">
        <v>1</v>
      </c>
      <c r="AC75" s="1">
        <v>1</v>
      </c>
      <c r="AD75" s="1">
        <v>0.28100000000000003</v>
      </c>
      <c r="AE75" s="1">
        <v>5.8000000000000003E-2</v>
      </c>
      <c r="AF75" s="1">
        <v>1.6E-2</v>
      </c>
      <c r="AG75" s="1">
        <v>1</v>
      </c>
      <c r="AI75" s="1">
        <v>0</v>
      </c>
      <c r="AJ75" s="1">
        <v>0</v>
      </c>
      <c r="AK75" s="1">
        <v>0</v>
      </c>
      <c r="AL75" s="1">
        <v>1</v>
      </c>
      <c r="AM75" s="1">
        <v>86400</v>
      </c>
      <c r="AN75" s="1">
        <v>78803</v>
      </c>
      <c r="AO75" s="1">
        <v>7597</v>
      </c>
      <c r="AP75" s="1">
        <v>47370</v>
      </c>
      <c r="AQ75" s="1">
        <v>1.659668804184055</v>
      </c>
    </row>
    <row r="76" spans="1:43" x14ac:dyDescent="0.45">
      <c r="A76" s="1">
        <v>75</v>
      </c>
      <c r="B76" s="1">
        <v>142</v>
      </c>
      <c r="C76" s="1">
        <v>78</v>
      </c>
      <c r="D76" s="1" t="s">
        <v>67</v>
      </c>
      <c r="E76" s="1" t="s">
        <v>68</v>
      </c>
      <c r="F76" s="1" t="s">
        <v>69</v>
      </c>
      <c r="G76" s="1" t="s">
        <v>46</v>
      </c>
      <c r="H76" s="1" t="s">
        <v>47</v>
      </c>
      <c r="I76" s="1">
        <v>1163</v>
      </c>
      <c r="J76" s="1">
        <v>33073</v>
      </c>
      <c r="K76" s="1">
        <v>1</v>
      </c>
      <c r="L76" s="1">
        <v>77</v>
      </c>
      <c r="M76" s="1">
        <v>1587</v>
      </c>
      <c r="N76" s="1" t="s">
        <v>48</v>
      </c>
      <c r="O76" s="1">
        <v>194546</v>
      </c>
      <c r="P76" s="1">
        <v>91</v>
      </c>
      <c r="Q76" s="1" t="s">
        <v>106</v>
      </c>
      <c r="R76" s="1" t="s">
        <v>50</v>
      </c>
      <c r="S76" s="1">
        <v>0</v>
      </c>
      <c r="T76" s="1">
        <v>0</v>
      </c>
      <c r="U76" s="1">
        <v>327.06</v>
      </c>
      <c r="V76" s="1">
        <v>24.867999999999999</v>
      </c>
      <c r="W76" s="1">
        <v>0.55000000000000004</v>
      </c>
      <c r="X76" s="1">
        <v>0.32200000000000001</v>
      </c>
      <c r="Y76" s="1">
        <v>25.19</v>
      </c>
      <c r="Z76" s="1">
        <v>0.10299999999999999</v>
      </c>
      <c r="AA76" s="1">
        <v>0.2</v>
      </c>
      <c r="AB76" s="1">
        <v>0.2</v>
      </c>
      <c r="AC76" s="1">
        <v>0.2</v>
      </c>
      <c r="AD76" s="1">
        <v>0.32200000000000001</v>
      </c>
      <c r="AE76" s="1">
        <v>0.10299999999999999</v>
      </c>
      <c r="AF76" s="1">
        <v>3.3000000000000002E-2</v>
      </c>
      <c r="AG76" s="1">
        <v>0.2</v>
      </c>
      <c r="AI76" s="1">
        <v>0</v>
      </c>
      <c r="AJ76" s="1">
        <v>0</v>
      </c>
      <c r="AK76" s="1">
        <v>0</v>
      </c>
      <c r="AL76" s="1">
        <v>1</v>
      </c>
      <c r="AM76" s="1">
        <v>86400</v>
      </c>
      <c r="AN76" s="1">
        <v>80157</v>
      </c>
      <c r="AO76" s="1">
        <v>6243</v>
      </c>
      <c r="AP76" s="1">
        <v>47016</v>
      </c>
      <c r="AQ76" s="1">
        <v>0.62107041281627839</v>
      </c>
    </row>
    <row r="77" spans="1:43" x14ac:dyDescent="0.45">
      <c r="A77" s="1">
        <v>76</v>
      </c>
      <c r="B77" s="1">
        <v>142</v>
      </c>
      <c r="C77" s="1">
        <v>78</v>
      </c>
      <c r="D77" s="1" t="s">
        <v>67</v>
      </c>
      <c r="E77" s="1" t="s">
        <v>68</v>
      </c>
      <c r="F77" s="1" t="s">
        <v>69</v>
      </c>
      <c r="G77" s="1" t="s">
        <v>46</v>
      </c>
      <c r="H77" s="1" t="s">
        <v>47</v>
      </c>
      <c r="I77" s="1">
        <v>1163</v>
      </c>
      <c r="J77" s="1">
        <v>33073</v>
      </c>
      <c r="K77" s="1">
        <v>1</v>
      </c>
      <c r="L77" s="1">
        <v>77</v>
      </c>
      <c r="M77" s="1">
        <v>1588</v>
      </c>
      <c r="N77" s="1" t="s">
        <v>48</v>
      </c>
      <c r="O77" s="1">
        <v>194548</v>
      </c>
      <c r="P77" s="1">
        <v>91</v>
      </c>
      <c r="Q77" s="1" t="s">
        <v>106</v>
      </c>
      <c r="R77" s="1" t="s">
        <v>50</v>
      </c>
      <c r="S77" s="1">
        <v>0</v>
      </c>
      <c r="T77" s="1">
        <v>0</v>
      </c>
      <c r="U77" s="1">
        <v>95.963999999999999</v>
      </c>
      <c r="V77" s="1">
        <v>25.006</v>
      </c>
      <c r="W77" s="1">
        <v>0.53</v>
      </c>
      <c r="X77" s="1">
        <v>0.184</v>
      </c>
      <c r="Y77" s="1">
        <v>25.19</v>
      </c>
      <c r="Z77" s="1">
        <v>8.5999999999999993E-2</v>
      </c>
      <c r="AA77" s="1">
        <v>1.8</v>
      </c>
      <c r="AB77" s="1">
        <v>1.8</v>
      </c>
      <c r="AC77" s="1">
        <v>1.8</v>
      </c>
      <c r="AD77" s="1">
        <v>0.184</v>
      </c>
      <c r="AE77" s="1">
        <v>8.5999999999999993E-2</v>
      </c>
      <c r="AF77" s="1">
        <v>1.6E-2</v>
      </c>
      <c r="AG77" s="1">
        <v>1.8</v>
      </c>
      <c r="AI77" s="1">
        <v>0</v>
      </c>
      <c r="AJ77" s="1">
        <v>0</v>
      </c>
      <c r="AK77" s="1">
        <v>0</v>
      </c>
      <c r="AL77" s="1">
        <v>1</v>
      </c>
      <c r="AM77" s="1">
        <v>86400</v>
      </c>
      <c r="AN77" s="1">
        <v>75024</v>
      </c>
      <c r="AO77" s="1">
        <v>11376</v>
      </c>
      <c r="AP77" s="1">
        <v>47116</v>
      </c>
      <c r="AQ77" s="1">
        <v>21.030445631260442</v>
      </c>
    </row>
    <row r="78" spans="1:43" x14ac:dyDescent="0.45">
      <c r="A78" s="1">
        <v>77</v>
      </c>
      <c r="B78" s="1">
        <v>142</v>
      </c>
      <c r="C78" s="1">
        <v>78</v>
      </c>
      <c r="D78" s="1" t="s">
        <v>67</v>
      </c>
      <c r="E78" s="1" t="s">
        <v>68</v>
      </c>
      <c r="F78" s="1" t="s">
        <v>69</v>
      </c>
      <c r="G78" s="1" t="s">
        <v>46</v>
      </c>
      <c r="H78" s="1" t="s">
        <v>47</v>
      </c>
      <c r="I78" s="1">
        <v>1163</v>
      </c>
      <c r="J78" s="1">
        <v>33073</v>
      </c>
      <c r="K78" s="1">
        <v>1</v>
      </c>
      <c r="L78" s="1">
        <v>77</v>
      </c>
      <c r="M78" s="1">
        <v>1589</v>
      </c>
      <c r="N78" s="1" t="s">
        <v>48</v>
      </c>
      <c r="O78" s="1">
        <v>194549</v>
      </c>
      <c r="P78" s="1">
        <v>91</v>
      </c>
      <c r="Q78" s="1" t="s">
        <v>106</v>
      </c>
      <c r="R78" s="1" t="s">
        <v>50</v>
      </c>
      <c r="S78" s="1">
        <v>0</v>
      </c>
      <c r="T78" s="1">
        <v>0</v>
      </c>
      <c r="U78" s="1">
        <v>199.88499999999999</v>
      </c>
      <c r="V78" s="1">
        <v>24.984000000000002</v>
      </c>
      <c r="W78" s="1">
        <v>0.53</v>
      </c>
      <c r="X78" s="1">
        <v>0.20399999999999999</v>
      </c>
      <c r="Y78" s="1">
        <v>25.187999999999999</v>
      </c>
      <c r="Z78" s="1">
        <v>0.129</v>
      </c>
      <c r="AA78" s="1">
        <v>1.9</v>
      </c>
      <c r="AB78" s="1">
        <v>1.9</v>
      </c>
      <c r="AC78" s="1">
        <v>1.9</v>
      </c>
      <c r="AD78" s="1">
        <v>0.20399999999999999</v>
      </c>
      <c r="AE78" s="1">
        <v>0.129</v>
      </c>
      <c r="AF78" s="1">
        <v>2.5999999999999999E-2</v>
      </c>
      <c r="AG78" s="1">
        <v>1.9</v>
      </c>
      <c r="AI78" s="1">
        <v>0</v>
      </c>
      <c r="AJ78" s="1">
        <v>0</v>
      </c>
      <c r="AK78" s="1">
        <v>0</v>
      </c>
      <c r="AL78" s="1">
        <v>1</v>
      </c>
      <c r="AM78" s="1">
        <v>86400</v>
      </c>
      <c r="AN78" s="1">
        <v>76259</v>
      </c>
      <c r="AO78" s="1">
        <v>10140</v>
      </c>
      <c r="AP78" s="1">
        <v>47009</v>
      </c>
      <c r="AQ78" s="1">
        <v>1.6542382139206111</v>
      </c>
    </row>
    <row r="79" spans="1:43" x14ac:dyDescent="0.45">
      <c r="A79" s="1">
        <v>78</v>
      </c>
      <c r="B79" s="1">
        <v>142</v>
      </c>
      <c r="C79" s="1">
        <v>78</v>
      </c>
      <c r="D79" s="1" t="s">
        <v>67</v>
      </c>
      <c r="E79" s="1" t="s">
        <v>68</v>
      </c>
      <c r="F79" s="1" t="s">
        <v>69</v>
      </c>
      <c r="G79" s="1" t="s">
        <v>46</v>
      </c>
      <c r="H79" s="1" t="s">
        <v>47</v>
      </c>
      <c r="I79" s="1">
        <v>1163</v>
      </c>
      <c r="J79" s="1">
        <v>33073</v>
      </c>
      <c r="K79" s="1">
        <v>1</v>
      </c>
      <c r="L79" s="1">
        <v>77</v>
      </c>
      <c r="M79" s="1">
        <v>1591</v>
      </c>
      <c r="N79" s="1" t="s">
        <v>48</v>
      </c>
      <c r="O79" s="1">
        <v>194554</v>
      </c>
      <c r="P79" s="1">
        <v>91</v>
      </c>
      <c r="Q79" s="1" t="s">
        <v>106</v>
      </c>
      <c r="R79" s="1" t="s">
        <v>50</v>
      </c>
      <c r="S79" s="1">
        <v>0</v>
      </c>
      <c r="T79" s="1">
        <v>0</v>
      </c>
      <c r="U79" s="1">
        <v>58.304000000000002</v>
      </c>
      <c r="V79" s="1">
        <v>25.05</v>
      </c>
      <c r="W79" s="1">
        <v>0.52</v>
      </c>
      <c r="X79" s="1">
        <v>0.13900000000000001</v>
      </c>
      <c r="Y79" s="1">
        <v>25.189</v>
      </c>
      <c r="Z79" s="1">
        <v>8.7999999999999995E-2</v>
      </c>
      <c r="AA79" s="1">
        <v>0.6</v>
      </c>
      <c r="AB79" s="1">
        <v>0.6</v>
      </c>
      <c r="AC79" s="1">
        <v>0.6</v>
      </c>
      <c r="AD79" s="1">
        <v>0.13900000000000001</v>
      </c>
      <c r="AE79" s="1">
        <v>8.5999999999999993E-2</v>
      </c>
      <c r="AF79" s="1">
        <v>1.2E-2</v>
      </c>
      <c r="AG79" s="1">
        <v>0.6</v>
      </c>
      <c r="AI79" s="1">
        <v>0</v>
      </c>
      <c r="AJ79" s="1">
        <v>0</v>
      </c>
      <c r="AK79" s="1">
        <v>0</v>
      </c>
      <c r="AL79" s="1">
        <v>1</v>
      </c>
      <c r="AM79" s="1">
        <v>86400</v>
      </c>
      <c r="AN79" s="1">
        <v>71897</v>
      </c>
      <c r="AO79" s="1">
        <v>14503</v>
      </c>
      <c r="AP79" s="1">
        <v>46977</v>
      </c>
      <c r="AQ79" s="1">
        <v>17.99697230014019</v>
      </c>
    </row>
    <row r="80" spans="1:43" x14ac:dyDescent="0.45">
      <c r="A80" s="1">
        <v>79</v>
      </c>
      <c r="B80" s="1">
        <v>142</v>
      </c>
      <c r="C80" s="1">
        <v>78</v>
      </c>
      <c r="D80" s="1" t="s">
        <v>67</v>
      </c>
      <c r="E80" s="1" t="s">
        <v>68</v>
      </c>
      <c r="F80" s="1" t="s">
        <v>69</v>
      </c>
      <c r="G80" s="1" t="s">
        <v>46</v>
      </c>
      <c r="H80" s="1" t="s">
        <v>47</v>
      </c>
      <c r="I80" s="1">
        <v>1163</v>
      </c>
      <c r="J80" s="1">
        <v>33073</v>
      </c>
      <c r="K80" s="1">
        <v>1</v>
      </c>
      <c r="L80" s="1">
        <v>77</v>
      </c>
      <c r="M80" s="1">
        <v>1600</v>
      </c>
      <c r="N80" s="1" t="s">
        <v>48</v>
      </c>
      <c r="O80" s="1">
        <v>197554</v>
      </c>
      <c r="P80" s="1">
        <v>91</v>
      </c>
      <c r="Q80" s="1" t="s">
        <v>106</v>
      </c>
      <c r="R80" s="1" t="s">
        <v>50</v>
      </c>
      <c r="S80" s="1">
        <v>0</v>
      </c>
      <c r="T80" s="1">
        <v>0</v>
      </c>
      <c r="U80" s="1">
        <v>145.07400000000001</v>
      </c>
      <c r="V80" s="1">
        <v>25.436</v>
      </c>
      <c r="W80" s="1">
        <v>0.52</v>
      </c>
      <c r="X80" s="1">
        <v>0.111</v>
      </c>
      <c r="Y80" s="1">
        <v>25.547000000000001</v>
      </c>
      <c r="Z80" s="1">
        <v>3.6999999999999998E-2</v>
      </c>
      <c r="AA80" s="1">
        <v>-0.5</v>
      </c>
      <c r="AB80" s="1">
        <v>-0.5</v>
      </c>
      <c r="AC80" s="1">
        <v>-0.5</v>
      </c>
      <c r="AD80" s="1">
        <v>0.111</v>
      </c>
      <c r="AE80" s="1">
        <v>3.6999999999999998E-2</v>
      </c>
      <c r="AF80" s="1">
        <v>4.0000000000000001E-3</v>
      </c>
      <c r="AG80" s="1">
        <v>-0.5</v>
      </c>
      <c r="AI80" s="1">
        <v>0</v>
      </c>
      <c r="AJ80" s="1">
        <v>0</v>
      </c>
      <c r="AK80" s="1">
        <v>0</v>
      </c>
      <c r="AL80" s="1">
        <v>1</v>
      </c>
      <c r="AM80" s="1">
        <v>54215</v>
      </c>
      <c r="AN80" s="1">
        <v>10982</v>
      </c>
      <c r="AO80" s="1">
        <v>43233</v>
      </c>
      <c r="AP80" s="1">
        <v>47676</v>
      </c>
      <c r="AQ80" s="1">
        <v>0.29438601974343598</v>
      </c>
    </row>
    <row r="81" spans="1:43" x14ac:dyDescent="0.45">
      <c r="A81" s="1">
        <v>80</v>
      </c>
      <c r="B81" s="1">
        <v>143</v>
      </c>
      <c r="C81" s="1">
        <v>64</v>
      </c>
      <c r="D81" s="1" t="s">
        <v>99</v>
      </c>
      <c r="E81" s="1" t="s">
        <v>100</v>
      </c>
      <c r="F81" s="1" t="s">
        <v>101</v>
      </c>
      <c r="G81" s="1" t="s">
        <v>46</v>
      </c>
      <c r="H81" s="1" t="s">
        <v>47</v>
      </c>
      <c r="I81" s="1">
        <v>1411</v>
      </c>
      <c r="J81" s="1">
        <v>38055</v>
      </c>
      <c r="K81" s="1">
        <v>1</v>
      </c>
      <c r="L81" s="1">
        <v>63</v>
      </c>
      <c r="M81" s="1">
        <v>1669</v>
      </c>
      <c r="N81" s="1" t="s">
        <v>48</v>
      </c>
      <c r="O81" s="1">
        <v>198793</v>
      </c>
      <c r="P81" s="1">
        <v>91</v>
      </c>
      <c r="Q81" s="1" t="s">
        <v>106</v>
      </c>
      <c r="R81" s="1" t="s">
        <v>50</v>
      </c>
      <c r="S81" s="1">
        <v>0</v>
      </c>
      <c r="T81" s="1">
        <v>0</v>
      </c>
      <c r="U81" s="1">
        <v>734.44899999999996</v>
      </c>
      <c r="V81" s="1">
        <v>21.827999999999999</v>
      </c>
      <c r="W81" s="1">
        <v>1.41</v>
      </c>
      <c r="X81" s="1">
        <v>2.6640000000000001</v>
      </c>
      <c r="Y81" s="1">
        <v>24.492000000000001</v>
      </c>
      <c r="Z81" s="1">
        <v>2.4E-2</v>
      </c>
      <c r="AA81" s="1">
        <v>-0.6</v>
      </c>
      <c r="AB81" s="1">
        <v>-1.1000000000000001</v>
      </c>
      <c r="AC81" s="1">
        <v>-1.1000000000000001</v>
      </c>
      <c r="AD81" s="1">
        <v>2.6640000000000001</v>
      </c>
      <c r="AE81" s="1">
        <v>1E-3</v>
      </c>
      <c r="AF81" s="1">
        <v>3.0000000000000001E-3</v>
      </c>
      <c r="AI81" s="1">
        <v>0</v>
      </c>
      <c r="AJ81" s="1">
        <v>0</v>
      </c>
      <c r="AK81" s="1">
        <v>0</v>
      </c>
      <c r="AL81" s="1">
        <v>1</v>
      </c>
      <c r="AM81" s="1">
        <v>86400</v>
      </c>
      <c r="AN81" s="1">
        <v>73959</v>
      </c>
      <c r="AO81" s="1">
        <v>12441</v>
      </c>
      <c r="AP81" s="1">
        <v>86250</v>
      </c>
      <c r="AQ81" s="1">
        <v>34.789345584757001</v>
      </c>
    </row>
    <row r="82" spans="1:43" x14ac:dyDescent="0.45">
      <c r="A82" s="1">
        <v>81</v>
      </c>
      <c r="B82" s="1">
        <v>143</v>
      </c>
      <c r="C82" s="1">
        <v>64</v>
      </c>
      <c r="D82" s="1" t="s">
        <v>99</v>
      </c>
      <c r="E82" s="1" t="s">
        <v>100</v>
      </c>
      <c r="F82" s="1" t="s">
        <v>101</v>
      </c>
      <c r="G82" s="1" t="s">
        <v>46</v>
      </c>
      <c r="H82" s="1" t="s">
        <v>47</v>
      </c>
      <c r="I82" s="1">
        <v>1411</v>
      </c>
      <c r="J82" s="1">
        <v>38055</v>
      </c>
      <c r="K82" s="1">
        <v>1</v>
      </c>
      <c r="L82" s="1">
        <v>63</v>
      </c>
      <c r="M82" s="1">
        <v>1672</v>
      </c>
      <c r="N82" s="1" t="s">
        <v>48</v>
      </c>
      <c r="O82" s="1">
        <v>198806</v>
      </c>
      <c r="P82" s="1">
        <v>91</v>
      </c>
      <c r="Q82" s="1" t="s">
        <v>106</v>
      </c>
      <c r="R82" s="1" t="s">
        <v>50</v>
      </c>
      <c r="S82" s="1">
        <v>0</v>
      </c>
      <c r="T82" s="1">
        <v>0</v>
      </c>
      <c r="U82" s="1">
        <v>365.387</v>
      </c>
      <c r="V82" s="1">
        <v>21.681000000000001</v>
      </c>
      <c r="W82" s="1">
        <v>1.43</v>
      </c>
      <c r="X82" s="1">
        <v>2.8109999999999999</v>
      </c>
      <c r="Y82" s="1">
        <v>24.492000000000001</v>
      </c>
      <c r="Z82" s="1">
        <v>6.8000000000000005E-2</v>
      </c>
      <c r="AA82" s="1">
        <v>-0.1</v>
      </c>
      <c r="AB82" s="1">
        <v>-2.4</v>
      </c>
      <c r="AC82" s="1">
        <v>-2.4</v>
      </c>
      <c r="AD82" s="1">
        <v>2.8109999999999999</v>
      </c>
      <c r="AE82" s="1">
        <v>0</v>
      </c>
      <c r="AF82" s="1">
        <v>4.0000000000000001E-3</v>
      </c>
      <c r="AI82" s="1">
        <v>0</v>
      </c>
      <c r="AJ82" s="1">
        <v>0</v>
      </c>
      <c r="AK82" s="1">
        <v>0</v>
      </c>
      <c r="AL82" s="1">
        <v>1</v>
      </c>
      <c r="AM82" s="1">
        <v>86400</v>
      </c>
      <c r="AN82" s="1">
        <v>80218</v>
      </c>
      <c r="AO82" s="1">
        <v>6182</v>
      </c>
      <c r="AP82" s="1">
        <v>86300</v>
      </c>
      <c r="AQ82" s="1">
        <v>3.6435071118563251</v>
      </c>
    </row>
    <row r="83" spans="1:43" x14ac:dyDescent="0.45">
      <c r="A83" s="1">
        <v>82</v>
      </c>
      <c r="B83" s="1">
        <v>143</v>
      </c>
      <c r="C83" s="1">
        <v>64</v>
      </c>
      <c r="D83" s="1" t="s">
        <v>99</v>
      </c>
      <c r="E83" s="1" t="s">
        <v>100</v>
      </c>
      <c r="F83" s="1" t="s">
        <v>101</v>
      </c>
      <c r="G83" s="1" t="s">
        <v>46</v>
      </c>
      <c r="H83" s="1" t="s">
        <v>47</v>
      </c>
      <c r="I83" s="1">
        <v>1411</v>
      </c>
      <c r="J83" s="1">
        <v>38055</v>
      </c>
      <c r="K83" s="1">
        <v>1</v>
      </c>
      <c r="L83" s="1">
        <v>63</v>
      </c>
      <c r="M83" s="1">
        <v>1673</v>
      </c>
      <c r="N83" s="1" t="s">
        <v>48</v>
      </c>
      <c r="O83" s="1">
        <v>198808</v>
      </c>
      <c r="P83" s="1">
        <v>91</v>
      </c>
      <c r="Q83" s="1" t="s">
        <v>106</v>
      </c>
      <c r="R83" s="1" t="s">
        <v>50</v>
      </c>
      <c r="S83" s="1">
        <v>0</v>
      </c>
      <c r="T83" s="1">
        <v>0</v>
      </c>
      <c r="U83" s="1">
        <v>222.95500000000001</v>
      </c>
      <c r="V83" s="1">
        <v>21.597000000000001</v>
      </c>
      <c r="W83" s="1">
        <v>1.44</v>
      </c>
      <c r="X83" s="1">
        <v>2.895</v>
      </c>
      <c r="Y83" s="1">
        <v>24.492000000000001</v>
      </c>
      <c r="Z83" s="1">
        <v>8.6999999999999994E-2</v>
      </c>
      <c r="AA83" s="1">
        <v>-0.4</v>
      </c>
      <c r="AB83" s="1">
        <v>-2.1</v>
      </c>
      <c r="AC83" s="1">
        <v>-2.1</v>
      </c>
      <c r="AD83" s="1">
        <v>2.895</v>
      </c>
      <c r="AE83" s="1">
        <v>5.0000000000000001E-3</v>
      </c>
      <c r="AF83" s="1">
        <v>6.4000000000000001E-2</v>
      </c>
      <c r="AG83" s="1">
        <v>-0.4</v>
      </c>
      <c r="AI83" s="1">
        <v>0</v>
      </c>
      <c r="AJ83" s="1">
        <v>0</v>
      </c>
      <c r="AK83" s="1">
        <v>0</v>
      </c>
      <c r="AL83" s="1">
        <v>1</v>
      </c>
      <c r="AM83" s="1">
        <v>86400</v>
      </c>
      <c r="AN83" s="1">
        <v>81001</v>
      </c>
      <c r="AO83" s="1">
        <v>5399</v>
      </c>
      <c r="AP83" s="1">
        <v>86037</v>
      </c>
      <c r="AQ83" s="1">
        <v>11.654956863190669</v>
      </c>
    </row>
    <row r="84" spans="1:43" x14ac:dyDescent="0.45">
      <c r="A84" s="1">
        <v>83</v>
      </c>
      <c r="B84" s="1">
        <v>143</v>
      </c>
      <c r="C84" s="1">
        <v>64</v>
      </c>
      <c r="D84" s="1" t="s">
        <v>99</v>
      </c>
      <c r="E84" s="1" t="s">
        <v>100</v>
      </c>
      <c r="F84" s="1" t="s">
        <v>101</v>
      </c>
      <c r="G84" s="1" t="s">
        <v>46</v>
      </c>
      <c r="H84" s="1" t="s">
        <v>47</v>
      </c>
      <c r="I84" s="1">
        <v>1411</v>
      </c>
      <c r="J84" s="1">
        <v>38055</v>
      </c>
      <c r="K84" s="1">
        <v>1</v>
      </c>
      <c r="L84" s="1">
        <v>63</v>
      </c>
      <c r="M84" s="1">
        <v>1674</v>
      </c>
      <c r="N84" s="1" t="s">
        <v>48</v>
      </c>
      <c r="O84" s="1">
        <v>198816</v>
      </c>
      <c r="P84" s="1">
        <v>91</v>
      </c>
      <c r="Q84" s="1" t="s">
        <v>106</v>
      </c>
      <c r="R84" s="1" t="s">
        <v>50</v>
      </c>
      <c r="S84" s="1">
        <v>0</v>
      </c>
      <c r="T84" s="1">
        <v>0</v>
      </c>
      <c r="U84" s="1">
        <v>120.09</v>
      </c>
      <c r="V84" s="1">
        <v>21.809000000000001</v>
      </c>
      <c r="W84" s="1">
        <v>1.41</v>
      </c>
      <c r="X84" s="1">
        <v>2.6829999999999998</v>
      </c>
      <c r="Y84" s="1">
        <v>24.492000000000001</v>
      </c>
      <c r="Z84" s="1">
        <v>2.1000000000000001E-2</v>
      </c>
      <c r="AA84" s="1">
        <v>-1.2</v>
      </c>
      <c r="AB84" s="1">
        <v>-1</v>
      </c>
      <c r="AC84" s="1">
        <v>-1</v>
      </c>
      <c r="AD84" s="1">
        <v>2.6829999999999998</v>
      </c>
      <c r="AE84" s="1">
        <v>0</v>
      </c>
      <c r="AF84" s="1">
        <v>3.0000000000000001E-3</v>
      </c>
      <c r="AI84" s="1">
        <v>0</v>
      </c>
      <c r="AJ84" s="1">
        <v>0</v>
      </c>
      <c r="AK84" s="1">
        <v>0</v>
      </c>
      <c r="AL84" s="1">
        <v>1</v>
      </c>
      <c r="AM84" s="1">
        <v>86400</v>
      </c>
      <c r="AN84" s="1">
        <v>75064</v>
      </c>
      <c r="AO84" s="1">
        <v>11336</v>
      </c>
      <c r="AP84" s="1">
        <v>86346</v>
      </c>
      <c r="AQ84" s="1">
        <v>12.706252394481499</v>
      </c>
    </row>
    <row r="85" spans="1:43" x14ac:dyDescent="0.45">
      <c r="A85" s="1">
        <v>84</v>
      </c>
      <c r="B85" s="1">
        <v>143</v>
      </c>
      <c r="C85" s="1">
        <v>64</v>
      </c>
      <c r="D85" s="1" t="s">
        <v>99</v>
      </c>
      <c r="E85" s="1" t="s">
        <v>100</v>
      </c>
      <c r="F85" s="1" t="s">
        <v>101</v>
      </c>
      <c r="G85" s="1" t="s">
        <v>46</v>
      </c>
      <c r="H85" s="1" t="s">
        <v>47</v>
      </c>
      <c r="I85" s="1">
        <v>1411</v>
      </c>
      <c r="J85" s="1">
        <v>38055</v>
      </c>
      <c r="K85" s="1">
        <v>1</v>
      </c>
      <c r="L85" s="1">
        <v>63</v>
      </c>
      <c r="M85" s="1">
        <v>1675</v>
      </c>
      <c r="N85" s="1" t="s">
        <v>48</v>
      </c>
      <c r="O85" s="1">
        <v>198817</v>
      </c>
      <c r="P85" s="1">
        <v>91</v>
      </c>
      <c r="Q85" s="1" t="s">
        <v>106</v>
      </c>
      <c r="R85" s="1" t="s">
        <v>50</v>
      </c>
      <c r="S85" s="1">
        <v>0</v>
      </c>
      <c r="T85" s="1">
        <v>0</v>
      </c>
      <c r="U85" s="1">
        <v>120.09</v>
      </c>
      <c r="V85" s="1">
        <v>21.742999999999999</v>
      </c>
      <c r="W85" s="1">
        <v>1.42</v>
      </c>
      <c r="X85" s="1">
        <v>2.7490000000000001</v>
      </c>
      <c r="Y85" s="1">
        <v>24.492000000000001</v>
      </c>
      <c r="Z85" s="1">
        <v>2.3E-2</v>
      </c>
      <c r="AA85" s="1">
        <v>-1.8</v>
      </c>
      <c r="AB85" s="1">
        <v>-1</v>
      </c>
      <c r="AC85" s="1">
        <v>-1</v>
      </c>
      <c r="AD85" s="1">
        <v>2.7490000000000001</v>
      </c>
      <c r="AE85" s="1">
        <v>0</v>
      </c>
      <c r="AF85" s="1">
        <v>3.0000000000000001E-3</v>
      </c>
      <c r="AI85" s="1">
        <v>0</v>
      </c>
      <c r="AJ85" s="1">
        <v>0</v>
      </c>
      <c r="AK85" s="1">
        <v>0</v>
      </c>
      <c r="AL85" s="1">
        <v>1</v>
      </c>
      <c r="AM85" s="1">
        <v>86400</v>
      </c>
      <c r="AN85" s="1">
        <v>78251</v>
      </c>
      <c r="AO85" s="1">
        <v>8149</v>
      </c>
      <c r="AP85" s="1">
        <v>86282</v>
      </c>
      <c r="AQ85" s="1">
        <v>13.2008896502241</v>
      </c>
    </row>
    <row r="86" spans="1:43" x14ac:dyDescent="0.45">
      <c r="A86" s="1">
        <v>85</v>
      </c>
      <c r="B86" s="1">
        <v>143</v>
      </c>
      <c r="C86" s="1">
        <v>64</v>
      </c>
      <c r="D86" s="1" t="s">
        <v>99</v>
      </c>
      <c r="E86" s="1" t="s">
        <v>100</v>
      </c>
      <c r="F86" s="1" t="s">
        <v>101</v>
      </c>
      <c r="G86" s="1" t="s">
        <v>46</v>
      </c>
      <c r="H86" s="1" t="s">
        <v>47</v>
      </c>
      <c r="I86" s="1">
        <v>1411</v>
      </c>
      <c r="J86" s="1">
        <v>38055</v>
      </c>
      <c r="K86" s="1">
        <v>1</v>
      </c>
      <c r="L86" s="1">
        <v>63</v>
      </c>
      <c r="M86" s="1">
        <v>1676</v>
      </c>
      <c r="N86" s="1" t="s">
        <v>48</v>
      </c>
      <c r="O86" s="1">
        <v>198818</v>
      </c>
      <c r="P86" s="1">
        <v>91</v>
      </c>
      <c r="Q86" s="1" t="s">
        <v>106</v>
      </c>
      <c r="R86" s="1" t="s">
        <v>50</v>
      </c>
      <c r="S86" s="1">
        <v>0</v>
      </c>
      <c r="T86" s="1">
        <v>0</v>
      </c>
      <c r="U86" s="1">
        <v>217.74799999999999</v>
      </c>
      <c r="V86" s="1">
        <v>21.881</v>
      </c>
      <c r="W86" s="1">
        <v>1.4</v>
      </c>
      <c r="X86" s="1">
        <v>2.61</v>
      </c>
      <c r="Y86" s="1">
        <v>24.492000000000001</v>
      </c>
      <c r="Z86" s="1">
        <v>2.1999999999999999E-2</v>
      </c>
      <c r="AA86" s="1">
        <v>-2</v>
      </c>
      <c r="AB86" s="1">
        <v>-1</v>
      </c>
      <c r="AC86" s="1">
        <v>-1</v>
      </c>
      <c r="AD86" s="1">
        <v>2.61</v>
      </c>
      <c r="AE86" s="1">
        <v>0</v>
      </c>
      <c r="AF86" s="1">
        <v>3.0000000000000001E-3</v>
      </c>
      <c r="AI86" s="1">
        <v>0</v>
      </c>
      <c r="AJ86" s="1">
        <v>0</v>
      </c>
      <c r="AK86" s="1">
        <v>0</v>
      </c>
      <c r="AL86" s="1">
        <v>1</v>
      </c>
      <c r="AM86" s="1">
        <v>86400</v>
      </c>
      <c r="AN86" s="1">
        <v>70307</v>
      </c>
      <c r="AO86" s="1">
        <v>16092</v>
      </c>
      <c r="AP86" s="1">
        <v>86343</v>
      </c>
      <c r="AQ86" s="1">
        <v>2.1189163386238858</v>
      </c>
    </row>
    <row r="87" spans="1:43" x14ac:dyDescent="0.45">
      <c r="A87" s="1">
        <v>86</v>
      </c>
      <c r="B87" s="1">
        <v>143</v>
      </c>
      <c r="C87" s="1">
        <v>64</v>
      </c>
      <c r="D87" s="1" t="s">
        <v>99</v>
      </c>
      <c r="E87" s="1" t="s">
        <v>100</v>
      </c>
      <c r="F87" s="1" t="s">
        <v>101</v>
      </c>
      <c r="G87" s="1" t="s">
        <v>46</v>
      </c>
      <c r="H87" s="1" t="s">
        <v>47</v>
      </c>
      <c r="I87" s="1">
        <v>1411</v>
      </c>
      <c r="J87" s="1">
        <v>38055</v>
      </c>
      <c r="K87" s="1">
        <v>1</v>
      </c>
      <c r="L87" s="1">
        <v>63</v>
      </c>
      <c r="M87" s="1">
        <v>1677</v>
      </c>
      <c r="N87" s="1" t="s">
        <v>48</v>
      </c>
      <c r="O87" s="1">
        <v>198819</v>
      </c>
      <c r="P87" s="1">
        <v>91</v>
      </c>
      <c r="Q87" s="1" t="s">
        <v>106</v>
      </c>
      <c r="R87" s="1" t="s">
        <v>50</v>
      </c>
      <c r="S87" s="1">
        <v>0</v>
      </c>
      <c r="T87" s="1">
        <v>0</v>
      </c>
      <c r="U87" s="1">
        <v>726.38900000000001</v>
      </c>
      <c r="V87" s="1">
        <v>21.905000000000001</v>
      </c>
      <c r="W87" s="1">
        <v>1.39</v>
      </c>
      <c r="X87" s="1">
        <v>2.5870000000000002</v>
      </c>
      <c r="Y87" s="1">
        <v>24.492000000000001</v>
      </c>
      <c r="Z87" s="1">
        <v>0.01</v>
      </c>
      <c r="AA87" s="1">
        <v>-1.2</v>
      </c>
      <c r="AB87" s="1">
        <v>3</v>
      </c>
      <c r="AC87" s="1">
        <v>3</v>
      </c>
      <c r="AD87" s="1">
        <v>2.5870000000000002</v>
      </c>
      <c r="AE87" s="1">
        <v>1E-3</v>
      </c>
      <c r="AF87" s="1">
        <v>4.0000000000000001E-3</v>
      </c>
      <c r="AI87" s="1">
        <v>0</v>
      </c>
      <c r="AJ87" s="1">
        <v>0</v>
      </c>
      <c r="AK87" s="1">
        <v>0</v>
      </c>
      <c r="AL87" s="1">
        <v>1</v>
      </c>
      <c r="AM87" s="1">
        <v>86400</v>
      </c>
      <c r="AN87" s="1">
        <v>68303</v>
      </c>
      <c r="AO87" s="1">
        <v>18097</v>
      </c>
      <c r="AP87" s="1">
        <v>86054</v>
      </c>
      <c r="AQ87" s="1">
        <v>15.51755964572809</v>
      </c>
    </row>
    <row r="88" spans="1:43" x14ac:dyDescent="0.45">
      <c r="A88" s="1">
        <v>87</v>
      </c>
      <c r="B88" s="1">
        <v>143</v>
      </c>
      <c r="C88" s="1">
        <v>64</v>
      </c>
      <c r="D88" s="1" t="s">
        <v>99</v>
      </c>
      <c r="E88" s="1" t="s">
        <v>100</v>
      </c>
      <c r="F88" s="1" t="s">
        <v>101</v>
      </c>
      <c r="G88" s="1" t="s">
        <v>46</v>
      </c>
      <c r="H88" s="1" t="s">
        <v>47</v>
      </c>
      <c r="I88" s="1">
        <v>1411</v>
      </c>
      <c r="J88" s="1">
        <v>38055</v>
      </c>
      <c r="K88" s="1">
        <v>1</v>
      </c>
      <c r="L88" s="1">
        <v>63</v>
      </c>
      <c r="M88" s="1">
        <v>1680</v>
      </c>
      <c r="N88" s="1" t="s">
        <v>48</v>
      </c>
      <c r="O88" s="1">
        <v>198822</v>
      </c>
      <c r="P88" s="1">
        <v>91</v>
      </c>
      <c r="Q88" s="1" t="s">
        <v>106</v>
      </c>
      <c r="R88" s="1" t="s">
        <v>50</v>
      </c>
      <c r="S88" s="1">
        <v>0</v>
      </c>
      <c r="T88" s="1">
        <v>0</v>
      </c>
      <c r="U88" s="1">
        <v>452.39499999999998</v>
      </c>
      <c r="V88" s="1">
        <v>21.888000000000002</v>
      </c>
      <c r="W88" s="1">
        <v>1.4</v>
      </c>
      <c r="X88" s="1">
        <v>2.6040000000000001</v>
      </c>
      <c r="Y88" s="1">
        <v>24.492000000000001</v>
      </c>
      <c r="Z88" s="1">
        <v>2.7E-2</v>
      </c>
      <c r="AA88" s="1">
        <v>-1.6</v>
      </c>
      <c r="AB88" s="1">
        <v>-2.2999999999999998</v>
      </c>
      <c r="AC88" s="1">
        <v>-2.2999999999999998</v>
      </c>
      <c r="AD88" s="1">
        <v>2.6040000000000001</v>
      </c>
      <c r="AE88" s="1">
        <v>1E-3</v>
      </c>
      <c r="AF88" s="1">
        <v>7.0000000000000001E-3</v>
      </c>
      <c r="AI88" s="1">
        <v>0</v>
      </c>
      <c r="AJ88" s="1">
        <v>0</v>
      </c>
      <c r="AK88" s="1">
        <v>0</v>
      </c>
      <c r="AL88" s="1">
        <v>1</v>
      </c>
      <c r="AM88" s="1">
        <v>86400</v>
      </c>
      <c r="AN88" s="1">
        <v>69772</v>
      </c>
      <c r="AO88" s="1">
        <v>16628</v>
      </c>
      <c r="AP88" s="1">
        <v>86317</v>
      </c>
      <c r="AQ88" s="1">
        <v>2.3511520457252209</v>
      </c>
    </row>
    <row r="89" spans="1:43" x14ac:dyDescent="0.45">
      <c r="A89" s="1">
        <v>88</v>
      </c>
      <c r="B89" s="1">
        <v>143</v>
      </c>
      <c r="C89" s="1">
        <v>64</v>
      </c>
      <c r="D89" s="1" t="s">
        <v>99</v>
      </c>
      <c r="E89" s="1" t="s">
        <v>100</v>
      </c>
      <c r="F89" s="1" t="s">
        <v>101</v>
      </c>
      <c r="G89" s="1" t="s">
        <v>46</v>
      </c>
      <c r="H89" s="1" t="s">
        <v>47</v>
      </c>
      <c r="I89" s="1">
        <v>1411</v>
      </c>
      <c r="J89" s="1">
        <v>38055</v>
      </c>
      <c r="K89" s="1">
        <v>1</v>
      </c>
      <c r="L89" s="1">
        <v>63</v>
      </c>
      <c r="M89" s="1">
        <v>1681</v>
      </c>
      <c r="N89" s="1" t="s">
        <v>48</v>
      </c>
      <c r="O89" s="1">
        <v>198823</v>
      </c>
      <c r="P89" s="1">
        <v>91</v>
      </c>
      <c r="Q89" s="1" t="s">
        <v>106</v>
      </c>
      <c r="R89" s="1" t="s">
        <v>50</v>
      </c>
      <c r="S89" s="1">
        <v>0</v>
      </c>
      <c r="T89" s="1">
        <v>0</v>
      </c>
      <c r="U89" s="1">
        <v>457.721</v>
      </c>
      <c r="V89" s="1">
        <v>21.972000000000001</v>
      </c>
      <c r="W89" s="1">
        <v>1.38</v>
      </c>
      <c r="X89" s="1">
        <v>2.52</v>
      </c>
      <c r="Y89" s="1">
        <v>24.492000000000001</v>
      </c>
      <c r="Z89" s="1">
        <v>1.6E-2</v>
      </c>
      <c r="AA89" s="1">
        <v>0.5</v>
      </c>
      <c r="AB89" s="1">
        <v>2</v>
      </c>
      <c r="AC89" s="1">
        <v>2</v>
      </c>
      <c r="AD89" s="1">
        <v>2.52</v>
      </c>
      <c r="AE89" s="1">
        <v>1E-3</v>
      </c>
      <c r="AF89" s="1">
        <v>4.0000000000000001E-3</v>
      </c>
      <c r="AI89" s="1">
        <v>0</v>
      </c>
      <c r="AJ89" s="1">
        <v>0</v>
      </c>
      <c r="AK89" s="1">
        <v>0</v>
      </c>
      <c r="AL89" s="1">
        <v>1</v>
      </c>
      <c r="AM89" s="1">
        <v>86400</v>
      </c>
      <c r="AN89" s="1">
        <v>63059</v>
      </c>
      <c r="AO89" s="1">
        <v>23341</v>
      </c>
      <c r="AP89" s="1">
        <v>86153</v>
      </c>
      <c r="AQ89" s="1">
        <v>35.312191187687972</v>
      </c>
    </row>
    <row r="90" spans="1:43" x14ac:dyDescent="0.45">
      <c r="A90" s="1">
        <v>89</v>
      </c>
      <c r="B90" s="1">
        <v>143</v>
      </c>
      <c r="C90" s="1">
        <v>64</v>
      </c>
      <c r="D90" s="1" t="s">
        <v>99</v>
      </c>
      <c r="E90" s="1" t="s">
        <v>100</v>
      </c>
      <c r="F90" s="1" t="s">
        <v>101</v>
      </c>
      <c r="G90" s="1" t="s">
        <v>46</v>
      </c>
      <c r="H90" s="1" t="s">
        <v>47</v>
      </c>
      <c r="I90" s="1">
        <v>1411</v>
      </c>
      <c r="J90" s="1">
        <v>38055</v>
      </c>
      <c r="K90" s="1">
        <v>1</v>
      </c>
      <c r="L90" s="1">
        <v>63</v>
      </c>
      <c r="M90" s="1">
        <v>1682</v>
      </c>
      <c r="N90" s="1" t="s">
        <v>48</v>
      </c>
      <c r="O90" s="1">
        <v>198824</v>
      </c>
      <c r="P90" s="1">
        <v>91</v>
      </c>
      <c r="Q90" s="1" t="s">
        <v>106</v>
      </c>
      <c r="R90" s="1" t="s">
        <v>50</v>
      </c>
      <c r="S90" s="1">
        <v>0</v>
      </c>
      <c r="T90" s="1">
        <v>0</v>
      </c>
      <c r="U90" s="1">
        <v>446.22899999999998</v>
      </c>
      <c r="V90" s="1">
        <v>21.9</v>
      </c>
      <c r="W90" s="1">
        <v>1.4</v>
      </c>
      <c r="X90" s="1">
        <v>2.5910000000000002</v>
      </c>
      <c r="Y90" s="1">
        <v>24.492000000000001</v>
      </c>
      <c r="Z90" s="1">
        <v>2.1999999999999999E-2</v>
      </c>
      <c r="AA90" s="1">
        <v>-0.9</v>
      </c>
      <c r="AB90" s="1">
        <v>-1.7</v>
      </c>
      <c r="AC90" s="1">
        <v>-1.7</v>
      </c>
      <c r="AD90" s="1">
        <v>2.5910000000000002</v>
      </c>
      <c r="AE90" s="1">
        <v>1E-3</v>
      </c>
      <c r="AF90" s="1">
        <v>8.0000000000000002E-3</v>
      </c>
      <c r="AI90" s="1">
        <v>0</v>
      </c>
      <c r="AJ90" s="1">
        <v>0</v>
      </c>
      <c r="AK90" s="1">
        <v>0</v>
      </c>
      <c r="AL90" s="1">
        <v>1</v>
      </c>
      <c r="AM90" s="1">
        <v>86400</v>
      </c>
      <c r="AN90" s="1">
        <v>68704</v>
      </c>
      <c r="AO90" s="1">
        <v>17696</v>
      </c>
      <c r="AP90" s="1">
        <v>86252</v>
      </c>
      <c r="AQ90" s="1">
        <v>8.3137607862681389</v>
      </c>
    </row>
    <row r="91" spans="1:43" x14ac:dyDescent="0.45">
      <c r="A91" s="1">
        <v>90</v>
      </c>
      <c r="B91" s="1">
        <v>143</v>
      </c>
      <c r="C91" s="1">
        <v>64</v>
      </c>
      <c r="D91" s="1" t="s">
        <v>99</v>
      </c>
      <c r="E91" s="1" t="s">
        <v>100</v>
      </c>
      <c r="F91" s="1" t="s">
        <v>101</v>
      </c>
      <c r="G91" s="1" t="s">
        <v>46</v>
      </c>
      <c r="H91" s="1" t="s">
        <v>47</v>
      </c>
      <c r="I91" s="1">
        <v>1411</v>
      </c>
      <c r="J91" s="1">
        <v>38055</v>
      </c>
      <c r="K91" s="1">
        <v>1</v>
      </c>
      <c r="L91" s="1">
        <v>63</v>
      </c>
      <c r="M91" s="1">
        <v>1683</v>
      </c>
      <c r="N91" s="1" t="s">
        <v>48</v>
      </c>
      <c r="O91" s="1">
        <v>198825</v>
      </c>
      <c r="P91" s="1">
        <v>91</v>
      </c>
      <c r="Q91" s="1" t="s">
        <v>106</v>
      </c>
      <c r="R91" s="1" t="s">
        <v>50</v>
      </c>
      <c r="S91" s="1">
        <v>0</v>
      </c>
      <c r="T91" s="1">
        <v>0</v>
      </c>
      <c r="U91" s="1">
        <v>420.69600000000003</v>
      </c>
      <c r="V91" s="1">
        <v>21.959</v>
      </c>
      <c r="W91" s="1">
        <v>1.39</v>
      </c>
      <c r="X91" s="1">
        <v>2.5329999999999999</v>
      </c>
      <c r="Y91" s="1">
        <v>24.492000000000001</v>
      </c>
      <c r="Z91" s="1">
        <v>1.7999999999999999E-2</v>
      </c>
      <c r="AA91" s="1">
        <v>-0.4</v>
      </c>
      <c r="AB91" s="1">
        <v>0.4</v>
      </c>
      <c r="AC91" s="1">
        <v>0.4</v>
      </c>
      <c r="AD91" s="1">
        <v>2.5329999999999999</v>
      </c>
      <c r="AE91" s="1">
        <v>1E-3</v>
      </c>
      <c r="AF91" s="1">
        <v>7.0000000000000001E-3</v>
      </c>
      <c r="AI91" s="1">
        <v>0</v>
      </c>
      <c r="AJ91" s="1">
        <v>0</v>
      </c>
      <c r="AK91" s="1">
        <v>0</v>
      </c>
      <c r="AL91" s="1">
        <v>1</v>
      </c>
      <c r="AM91" s="1">
        <v>86400</v>
      </c>
      <c r="AN91" s="1">
        <v>64095</v>
      </c>
      <c r="AO91" s="1">
        <v>22306</v>
      </c>
      <c r="AP91" s="1">
        <v>86203</v>
      </c>
      <c r="AQ91" s="1">
        <v>29.450668699661989</v>
      </c>
    </row>
    <row r="92" spans="1:43" x14ac:dyDescent="0.45">
      <c r="A92" s="1">
        <v>91</v>
      </c>
      <c r="B92" s="1">
        <v>143</v>
      </c>
      <c r="C92" s="1">
        <v>64</v>
      </c>
      <c r="D92" s="1" t="s">
        <v>99</v>
      </c>
      <c r="E92" s="1" t="s">
        <v>100</v>
      </c>
      <c r="F92" s="1" t="s">
        <v>101</v>
      </c>
      <c r="G92" s="1" t="s">
        <v>46</v>
      </c>
      <c r="H92" s="1" t="s">
        <v>47</v>
      </c>
      <c r="I92" s="1">
        <v>1411</v>
      </c>
      <c r="J92" s="1">
        <v>38055</v>
      </c>
      <c r="K92" s="1">
        <v>1</v>
      </c>
      <c r="L92" s="1">
        <v>63</v>
      </c>
      <c r="M92" s="1">
        <v>1684</v>
      </c>
      <c r="N92" s="1" t="s">
        <v>48</v>
      </c>
      <c r="O92" s="1">
        <v>198827</v>
      </c>
      <c r="P92" s="1">
        <v>91</v>
      </c>
      <c r="Q92" s="1" t="s">
        <v>106</v>
      </c>
      <c r="R92" s="1" t="s">
        <v>50</v>
      </c>
      <c r="S92" s="1">
        <v>0</v>
      </c>
      <c r="T92" s="1">
        <v>0</v>
      </c>
      <c r="U92" s="1">
        <v>182.84700000000001</v>
      </c>
      <c r="V92" s="1">
        <v>21.972999999999999</v>
      </c>
      <c r="W92" s="1">
        <v>1.38</v>
      </c>
      <c r="X92" s="1">
        <v>2.5179999999999998</v>
      </c>
      <c r="Y92" s="1">
        <v>24.492000000000001</v>
      </c>
      <c r="Z92" s="1">
        <v>1.9E-2</v>
      </c>
      <c r="AA92" s="1">
        <v>-1.7</v>
      </c>
      <c r="AB92" s="1">
        <v>0.4</v>
      </c>
      <c r="AC92" s="1">
        <v>0.4</v>
      </c>
      <c r="AD92" s="1">
        <v>2.5179999999999998</v>
      </c>
      <c r="AE92" s="1">
        <v>0</v>
      </c>
      <c r="AF92" s="1">
        <v>3.0000000000000001E-3</v>
      </c>
      <c r="AI92" s="1">
        <v>0</v>
      </c>
      <c r="AJ92" s="1">
        <v>0</v>
      </c>
      <c r="AK92" s="1">
        <v>0</v>
      </c>
      <c r="AL92" s="1">
        <v>1</v>
      </c>
      <c r="AM92" s="1">
        <v>86400</v>
      </c>
      <c r="AN92" s="1">
        <v>62927</v>
      </c>
      <c r="AO92" s="1">
        <v>23473</v>
      </c>
      <c r="AP92" s="1">
        <v>86349</v>
      </c>
      <c r="AQ92" s="1">
        <v>13.316614286791451</v>
      </c>
    </row>
    <row r="93" spans="1:43" x14ac:dyDescent="0.45">
      <c r="A93" s="1">
        <v>92</v>
      </c>
      <c r="B93" s="1">
        <v>143</v>
      </c>
      <c r="C93" s="1">
        <v>64</v>
      </c>
      <c r="D93" s="1" t="s">
        <v>99</v>
      </c>
      <c r="E93" s="1" t="s">
        <v>100</v>
      </c>
      <c r="F93" s="1" t="s">
        <v>101</v>
      </c>
      <c r="G93" s="1" t="s">
        <v>46</v>
      </c>
      <c r="H93" s="1" t="s">
        <v>47</v>
      </c>
      <c r="I93" s="1">
        <v>1411</v>
      </c>
      <c r="J93" s="1">
        <v>38055</v>
      </c>
      <c r="K93" s="1">
        <v>1</v>
      </c>
      <c r="L93" s="1">
        <v>63</v>
      </c>
      <c r="M93" s="1">
        <v>1685</v>
      </c>
      <c r="N93" s="1" t="s">
        <v>48</v>
      </c>
      <c r="O93" s="1">
        <v>198828</v>
      </c>
      <c r="P93" s="1">
        <v>91</v>
      </c>
      <c r="Q93" s="1" t="s">
        <v>106</v>
      </c>
      <c r="R93" s="1" t="s">
        <v>50</v>
      </c>
      <c r="S93" s="1">
        <v>0</v>
      </c>
      <c r="T93" s="1">
        <v>0</v>
      </c>
      <c r="U93" s="1">
        <v>91.424000000000007</v>
      </c>
      <c r="V93" s="1">
        <v>22.026</v>
      </c>
      <c r="W93" s="1">
        <v>1.38</v>
      </c>
      <c r="X93" s="1">
        <v>2.4660000000000002</v>
      </c>
      <c r="Y93" s="1">
        <v>24.492000000000001</v>
      </c>
      <c r="Z93" s="1">
        <v>1.9E-2</v>
      </c>
      <c r="AA93" s="1">
        <v>-0.8</v>
      </c>
      <c r="AB93" s="1">
        <v>0.4</v>
      </c>
      <c r="AC93" s="1">
        <v>0.4</v>
      </c>
      <c r="AD93" s="1">
        <v>2.4660000000000002</v>
      </c>
      <c r="AE93" s="1">
        <v>0</v>
      </c>
      <c r="AF93" s="1">
        <v>3.0000000000000001E-3</v>
      </c>
      <c r="AI93" s="1">
        <v>0</v>
      </c>
      <c r="AJ93" s="1">
        <v>0</v>
      </c>
      <c r="AK93" s="1">
        <v>0</v>
      </c>
      <c r="AL93" s="1">
        <v>1</v>
      </c>
      <c r="AM93" s="1">
        <v>86400</v>
      </c>
      <c r="AN93" s="1">
        <v>59111</v>
      </c>
      <c r="AO93" s="1">
        <v>27289</v>
      </c>
      <c r="AP93" s="1">
        <v>86356</v>
      </c>
      <c r="AQ93" s="1">
        <v>6.674082864382977</v>
      </c>
    </row>
    <row r="94" spans="1:43" x14ac:dyDescent="0.45">
      <c r="A94" s="1">
        <v>93</v>
      </c>
      <c r="B94" s="1">
        <v>143</v>
      </c>
      <c r="C94" s="1">
        <v>64</v>
      </c>
      <c r="D94" s="1" t="s">
        <v>99</v>
      </c>
      <c r="E94" s="1" t="s">
        <v>100</v>
      </c>
      <c r="F94" s="1" t="s">
        <v>101</v>
      </c>
      <c r="G94" s="1" t="s">
        <v>46</v>
      </c>
      <c r="H94" s="1" t="s">
        <v>47</v>
      </c>
      <c r="I94" s="1">
        <v>1411</v>
      </c>
      <c r="J94" s="1">
        <v>38055</v>
      </c>
      <c r="K94" s="1">
        <v>1</v>
      </c>
      <c r="L94" s="1">
        <v>63</v>
      </c>
      <c r="M94" s="1">
        <v>1687</v>
      </c>
      <c r="N94" s="1" t="s">
        <v>48</v>
      </c>
      <c r="O94" s="1">
        <v>198830</v>
      </c>
      <c r="P94" s="1">
        <v>91</v>
      </c>
      <c r="Q94" s="1" t="s">
        <v>106</v>
      </c>
      <c r="R94" s="1" t="s">
        <v>50</v>
      </c>
      <c r="S94" s="1">
        <v>0</v>
      </c>
      <c r="T94" s="1">
        <v>0</v>
      </c>
      <c r="U94" s="1">
        <v>91.95</v>
      </c>
      <c r="V94" s="1">
        <v>22.048999999999999</v>
      </c>
      <c r="W94" s="1">
        <v>1.37</v>
      </c>
      <c r="X94" s="1">
        <v>2.4430000000000001</v>
      </c>
      <c r="Y94" s="1">
        <v>24.492000000000001</v>
      </c>
      <c r="Z94" s="1">
        <v>1.6E-2</v>
      </c>
      <c r="AA94" s="1">
        <v>3.1</v>
      </c>
      <c r="AB94" s="1">
        <v>-1.3</v>
      </c>
      <c r="AC94" s="1">
        <v>-1.3</v>
      </c>
      <c r="AD94" s="1">
        <v>2.4430000000000001</v>
      </c>
      <c r="AE94" s="1">
        <v>1E-3</v>
      </c>
      <c r="AF94" s="1">
        <v>1.0999999999999999E-2</v>
      </c>
      <c r="AG94" s="1">
        <v>3.1</v>
      </c>
      <c r="AI94" s="1">
        <v>0</v>
      </c>
      <c r="AJ94" s="1">
        <v>0</v>
      </c>
      <c r="AK94" s="1">
        <v>0</v>
      </c>
      <c r="AL94" s="1">
        <v>1</v>
      </c>
      <c r="AM94" s="1">
        <v>86400</v>
      </c>
      <c r="AN94" s="1">
        <v>57559</v>
      </c>
      <c r="AO94" s="1">
        <v>28841</v>
      </c>
      <c r="AP94" s="1">
        <v>86384</v>
      </c>
      <c r="AQ94" s="1">
        <v>9.6542195110212443</v>
      </c>
    </row>
    <row r="95" spans="1:43" x14ac:dyDescent="0.45">
      <c r="A95" s="1">
        <v>94</v>
      </c>
      <c r="B95" s="1">
        <v>143</v>
      </c>
      <c r="C95" s="1">
        <v>64</v>
      </c>
      <c r="D95" s="1" t="s">
        <v>99</v>
      </c>
      <c r="E95" s="1" t="s">
        <v>100</v>
      </c>
      <c r="F95" s="1" t="s">
        <v>101</v>
      </c>
      <c r="G95" s="1" t="s">
        <v>46</v>
      </c>
      <c r="H95" s="1" t="s">
        <v>47</v>
      </c>
      <c r="I95" s="1">
        <v>1411</v>
      </c>
      <c r="J95" s="1">
        <v>38055</v>
      </c>
      <c r="K95" s="1">
        <v>1</v>
      </c>
      <c r="L95" s="1">
        <v>63</v>
      </c>
      <c r="M95" s="1">
        <v>1688</v>
      </c>
      <c r="N95" s="1" t="s">
        <v>48</v>
      </c>
      <c r="O95" s="1">
        <v>198831</v>
      </c>
      <c r="P95" s="1">
        <v>91</v>
      </c>
      <c r="Q95" s="1" t="s">
        <v>106</v>
      </c>
      <c r="R95" s="1" t="s">
        <v>50</v>
      </c>
      <c r="S95" s="1">
        <v>0</v>
      </c>
      <c r="T95" s="1">
        <v>0</v>
      </c>
      <c r="U95" s="1">
        <v>52.819000000000003</v>
      </c>
      <c r="V95" s="1">
        <v>22.129000000000001</v>
      </c>
      <c r="W95" s="1">
        <v>1.36</v>
      </c>
      <c r="X95" s="1">
        <v>2.363</v>
      </c>
      <c r="Y95" s="1">
        <v>24.492000000000001</v>
      </c>
      <c r="Z95" s="1">
        <v>3.5000000000000003E-2</v>
      </c>
      <c r="AA95" s="1">
        <v>-2.2000000000000002</v>
      </c>
      <c r="AB95" s="1">
        <v>-2.7</v>
      </c>
      <c r="AC95" s="1">
        <v>-2.7</v>
      </c>
      <c r="AD95" s="1">
        <v>2.363</v>
      </c>
      <c r="AE95" s="1">
        <v>1E-3</v>
      </c>
      <c r="AF95" s="1">
        <v>1.2E-2</v>
      </c>
      <c r="AI95" s="1">
        <v>0</v>
      </c>
      <c r="AJ95" s="1">
        <v>0</v>
      </c>
      <c r="AK95" s="1">
        <v>0</v>
      </c>
      <c r="AL95" s="1">
        <v>1</v>
      </c>
      <c r="AM95" s="1">
        <v>86400</v>
      </c>
      <c r="AN95" s="1">
        <v>53328</v>
      </c>
      <c r="AO95" s="1">
        <v>33072</v>
      </c>
      <c r="AP95" s="1">
        <v>86141</v>
      </c>
      <c r="AQ95" s="1">
        <v>2.63378111287494</v>
      </c>
    </row>
    <row r="96" spans="1:43" x14ac:dyDescent="0.45">
      <c r="A96" s="1">
        <v>95</v>
      </c>
      <c r="B96" s="1">
        <v>143</v>
      </c>
      <c r="C96" s="1">
        <v>64</v>
      </c>
      <c r="D96" s="1" t="s">
        <v>99</v>
      </c>
      <c r="E96" s="1" t="s">
        <v>100</v>
      </c>
      <c r="F96" s="1" t="s">
        <v>101</v>
      </c>
      <c r="G96" s="1" t="s">
        <v>46</v>
      </c>
      <c r="H96" s="1" t="s">
        <v>47</v>
      </c>
      <c r="I96" s="1">
        <v>1411</v>
      </c>
      <c r="J96" s="1">
        <v>38055</v>
      </c>
      <c r="K96" s="1">
        <v>1</v>
      </c>
      <c r="L96" s="1">
        <v>63</v>
      </c>
      <c r="M96" s="1">
        <v>1689</v>
      </c>
      <c r="N96" s="1" t="s">
        <v>48</v>
      </c>
      <c r="O96" s="1">
        <v>198878</v>
      </c>
      <c r="P96" s="1">
        <v>91</v>
      </c>
      <c r="Q96" s="1" t="s">
        <v>106</v>
      </c>
      <c r="R96" s="1" t="s">
        <v>50</v>
      </c>
      <c r="S96" s="1">
        <v>0</v>
      </c>
      <c r="T96" s="1">
        <v>0</v>
      </c>
      <c r="U96" s="1">
        <v>73.399000000000001</v>
      </c>
      <c r="V96" s="1">
        <v>22.128</v>
      </c>
      <c r="W96" s="1">
        <v>1.36</v>
      </c>
      <c r="X96" s="1">
        <v>2.3639999999999999</v>
      </c>
      <c r="Y96" s="1">
        <v>24.492000000000001</v>
      </c>
      <c r="Z96" s="1">
        <v>5.5E-2</v>
      </c>
      <c r="AA96" s="1">
        <v>-2.9</v>
      </c>
      <c r="AB96" s="1">
        <v>1.9</v>
      </c>
      <c r="AC96" s="1">
        <v>1.9</v>
      </c>
      <c r="AD96" s="1">
        <v>2.3639999999999999</v>
      </c>
      <c r="AE96" s="1">
        <v>5.0000000000000001E-3</v>
      </c>
      <c r="AF96" s="1">
        <v>0.04</v>
      </c>
      <c r="AI96" s="1">
        <v>0</v>
      </c>
      <c r="AJ96" s="1">
        <v>0</v>
      </c>
      <c r="AK96" s="1">
        <v>0</v>
      </c>
      <c r="AL96" s="1">
        <v>1</v>
      </c>
      <c r="AM96" s="1">
        <v>86400</v>
      </c>
      <c r="AN96" s="1">
        <v>53382</v>
      </c>
      <c r="AO96" s="1">
        <v>33018</v>
      </c>
      <c r="AP96" s="1">
        <v>86371</v>
      </c>
      <c r="AQ96" s="1">
        <v>7.1280436310846298</v>
      </c>
    </row>
    <row r="97" spans="1:43" x14ac:dyDescent="0.45">
      <c r="A97" s="1">
        <v>96</v>
      </c>
      <c r="B97" s="1">
        <v>143</v>
      </c>
      <c r="C97" s="1">
        <v>64</v>
      </c>
      <c r="D97" s="1" t="s">
        <v>99</v>
      </c>
      <c r="E97" s="1" t="s">
        <v>100</v>
      </c>
      <c r="F97" s="1" t="s">
        <v>101</v>
      </c>
      <c r="G97" s="1" t="s">
        <v>46</v>
      </c>
      <c r="H97" s="1" t="s">
        <v>47</v>
      </c>
      <c r="I97" s="1">
        <v>1411</v>
      </c>
      <c r="J97" s="1">
        <v>38055</v>
      </c>
      <c r="K97" s="1">
        <v>1</v>
      </c>
      <c r="L97" s="1">
        <v>63</v>
      </c>
      <c r="M97" s="1">
        <v>1690</v>
      </c>
      <c r="N97" s="1" t="s">
        <v>48</v>
      </c>
      <c r="O97" s="1">
        <v>198880</v>
      </c>
      <c r="P97" s="1">
        <v>91</v>
      </c>
      <c r="Q97" s="1" t="s">
        <v>106</v>
      </c>
      <c r="R97" s="1" t="s">
        <v>50</v>
      </c>
      <c r="S97" s="1">
        <v>0</v>
      </c>
      <c r="T97" s="1">
        <v>0</v>
      </c>
      <c r="U97" s="1">
        <v>136.09700000000001</v>
      </c>
      <c r="V97" s="1">
        <v>21.954999999999998</v>
      </c>
      <c r="W97" s="1">
        <v>1.39</v>
      </c>
      <c r="X97" s="1">
        <v>2.5369999999999999</v>
      </c>
      <c r="Y97" s="1">
        <v>24.492000000000001</v>
      </c>
      <c r="Z97" s="1">
        <v>3.3000000000000002E-2</v>
      </c>
      <c r="AA97" s="1">
        <v>-1.8</v>
      </c>
      <c r="AB97" s="1">
        <v>-1.2</v>
      </c>
      <c r="AC97" s="1">
        <v>-1.2</v>
      </c>
      <c r="AD97" s="1">
        <v>2.5369999999999999</v>
      </c>
      <c r="AE97" s="1">
        <v>0</v>
      </c>
      <c r="AF97" s="1">
        <v>4.0000000000000001E-3</v>
      </c>
      <c r="AI97" s="1">
        <v>0</v>
      </c>
      <c r="AJ97" s="1">
        <v>0</v>
      </c>
      <c r="AK97" s="1">
        <v>0</v>
      </c>
      <c r="AL97" s="1">
        <v>1</v>
      </c>
      <c r="AM97" s="1">
        <v>86400</v>
      </c>
      <c r="AN97" s="1">
        <v>64462</v>
      </c>
      <c r="AO97" s="1">
        <v>21938</v>
      </c>
      <c r="AP97" s="1">
        <v>86062</v>
      </c>
      <c r="AQ97" s="1">
        <v>7.2449964355107257</v>
      </c>
    </row>
    <row r="98" spans="1:43" x14ac:dyDescent="0.45">
      <c r="A98" s="1">
        <v>97</v>
      </c>
      <c r="B98" s="1">
        <v>181</v>
      </c>
      <c r="C98" s="1">
        <v>75</v>
      </c>
      <c r="D98" s="1" t="s">
        <v>64</v>
      </c>
      <c r="E98" s="1" t="s">
        <v>65</v>
      </c>
      <c r="F98" s="1" t="s">
        <v>66</v>
      </c>
      <c r="G98" s="1" t="s">
        <v>46</v>
      </c>
      <c r="H98" s="1" t="s">
        <v>47</v>
      </c>
      <c r="I98" s="1">
        <v>1170</v>
      </c>
      <c r="J98" s="1">
        <v>33499</v>
      </c>
      <c r="K98" s="1">
        <v>1</v>
      </c>
      <c r="L98" s="1">
        <v>74</v>
      </c>
      <c r="M98" s="1">
        <v>1482</v>
      </c>
      <c r="N98" s="1" t="s">
        <v>48</v>
      </c>
      <c r="O98" s="1">
        <v>193959</v>
      </c>
      <c r="P98" s="1">
        <v>91</v>
      </c>
      <c r="Q98" s="1" t="s">
        <v>106</v>
      </c>
      <c r="R98" s="1" t="s">
        <v>50</v>
      </c>
      <c r="S98" s="1">
        <v>0</v>
      </c>
      <c r="T98" s="1">
        <v>0</v>
      </c>
      <c r="U98" s="1">
        <v>510.173</v>
      </c>
      <c r="V98" s="1">
        <v>24.927</v>
      </c>
      <c r="W98" s="1">
        <v>0.55000000000000004</v>
      </c>
      <c r="X98" s="1">
        <v>0.27700000000000002</v>
      </c>
      <c r="Y98" s="1">
        <v>25.204000000000001</v>
      </c>
      <c r="Z98" s="1">
        <v>0.224</v>
      </c>
      <c r="AA98" s="1">
        <v>-2.6</v>
      </c>
      <c r="AB98" s="1">
        <v>-2.6</v>
      </c>
      <c r="AC98" s="1">
        <v>-2.6</v>
      </c>
      <c r="AD98" s="1">
        <v>0.27700000000000002</v>
      </c>
      <c r="AE98" s="1">
        <v>0.156</v>
      </c>
      <c r="AF98" s="1">
        <v>4.9000000000000002E-2</v>
      </c>
      <c r="AG98" s="1">
        <v>-2.6</v>
      </c>
      <c r="AI98" s="1">
        <v>0</v>
      </c>
      <c r="AJ98" s="1">
        <v>0</v>
      </c>
      <c r="AK98" s="1">
        <v>0</v>
      </c>
      <c r="AL98" s="1">
        <v>1</v>
      </c>
      <c r="AM98" s="1">
        <v>86400</v>
      </c>
      <c r="AN98" s="1">
        <v>78450</v>
      </c>
      <c r="AO98" s="1">
        <v>7950</v>
      </c>
      <c r="AP98" s="1">
        <v>50387</v>
      </c>
      <c r="AQ98" s="1">
        <v>39.084261990656927</v>
      </c>
    </row>
    <row r="99" spans="1:43" x14ac:dyDescent="0.45">
      <c r="A99" s="1">
        <v>98</v>
      </c>
      <c r="B99" s="1">
        <v>181</v>
      </c>
      <c r="C99" s="1">
        <v>75</v>
      </c>
      <c r="D99" s="1" t="s">
        <v>64</v>
      </c>
      <c r="E99" s="1" t="s">
        <v>65</v>
      </c>
      <c r="F99" s="1" t="s">
        <v>66</v>
      </c>
      <c r="G99" s="1" t="s">
        <v>46</v>
      </c>
      <c r="H99" s="1" t="s">
        <v>47</v>
      </c>
      <c r="I99" s="1">
        <v>1170</v>
      </c>
      <c r="J99" s="1">
        <v>33499</v>
      </c>
      <c r="K99" s="1">
        <v>1</v>
      </c>
      <c r="L99" s="1">
        <v>74</v>
      </c>
      <c r="M99" s="1">
        <v>1483</v>
      </c>
      <c r="N99" s="1" t="s">
        <v>48</v>
      </c>
      <c r="O99" s="1">
        <v>193961</v>
      </c>
      <c r="P99" s="1">
        <v>91</v>
      </c>
      <c r="Q99" s="1" t="s">
        <v>106</v>
      </c>
      <c r="R99" s="1" t="s">
        <v>50</v>
      </c>
      <c r="S99" s="1">
        <v>0</v>
      </c>
      <c r="T99" s="1">
        <v>0</v>
      </c>
      <c r="U99" s="1">
        <v>510.173</v>
      </c>
      <c r="V99" s="1">
        <v>24.913</v>
      </c>
      <c r="W99" s="1">
        <v>0.55000000000000004</v>
      </c>
      <c r="X99" s="1">
        <v>0.29099999999999998</v>
      </c>
      <c r="Y99" s="1">
        <v>25.204000000000001</v>
      </c>
      <c r="Z99" s="1">
        <v>0.23699999999999999</v>
      </c>
      <c r="AA99" s="1">
        <v>2.2000000000000002</v>
      </c>
      <c r="AB99" s="1">
        <v>2.2000000000000002</v>
      </c>
      <c r="AC99" s="1">
        <v>2.2000000000000002</v>
      </c>
      <c r="AD99" s="1">
        <v>0.29099999999999998</v>
      </c>
      <c r="AE99" s="1">
        <v>0.16400000000000001</v>
      </c>
      <c r="AF99" s="1">
        <v>5.5E-2</v>
      </c>
      <c r="AG99" s="1">
        <v>2.2000000000000002</v>
      </c>
      <c r="AI99" s="1">
        <v>0</v>
      </c>
      <c r="AJ99" s="1">
        <v>0</v>
      </c>
      <c r="AK99" s="1">
        <v>0</v>
      </c>
      <c r="AL99" s="1">
        <v>1</v>
      </c>
      <c r="AM99" s="1">
        <v>86400</v>
      </c>
      <c r="AN99" s="1">
        <v>79220</v>
      </c>
      <c r="AO99" s="1">
        <v>7180</v>
      </c>
      <c r="AP99" s="1">
        <v>50382</v>
      </c>
      <c r="AQ99" s="1">
        <v>47.839602141328243</v>
      </c>
    </row>
    <row r="100" spans="1:43" x14ac:dyDescent="0.45">
      <c r="A100" s="1">
        <v>99</v>
      </c>
      <c r="B100" s="1">
        <v>181</v>
      </c>
      <c r="C100" s="1">
        <v>75</v>
      </c>
      <c r="D100" s="1" t="s">
        <v>64</v>
      </c>
      <c r="E100" s="1" t="s">
        <v>65</v>
      </c>
      <c r="F100" s="1" t="s">
        <v>66</v>
      </c>
      <c r="G100" s="1" t="s">
        <v>46</v>
      </c>
      <c r="H100" s="1" t="s">
        <v>47</v>
      </c>
      <c r="I100" s="1">
        <v>1170</v>
      </c>
      <c r="J100" s="1">
        <v>33499</v>
      </c>
      <c r="K100" s="1">
        <v>1</v>
      </c>
      <c r="L100" s="1">
        <v>74</v>
      </c>
      <c r="M100" s="1">
        <v>1484</v>
      </c>
      <c r="N100" s="1" t="s">
        <v>48</v>
      </c>
      <c r="O100" s="1">
        <v>194014</v>
      </c>
      <c r="P100" s="1">
        <v>91</v>
      </c>
      <c r="Q100" s="1" t="s">
        <v>106</v>
      </c>
      <c r="R100" s="1" t="s">
        <v>50</v>
      </c>
      <c r="S100" s="1">
        <v>0</v>
      </c>
      <c r="T100" s="1">
        <v>0</v>
      </c>
      <c r="U100" s="1">
        <v>551.16899999999998</v>
      </c>
      <c r="V100" s="1">
        <v>24.986999999999998</v>
      </c>
      <c r="W100" s="1">
        <v>0.54</v>
      </c>
      <c r="X100" s="1">
        <v>0.23100000000000001</v>
      </c>
      <c r="Y100" s="1">
        <v>25.218</v>
      </c>
      <c r="Z100" s="1">
        <v>0.108</v>
      </c>
      <c r="AA100" s="1">
        <v>2.2000000000000002</v>
      </c>
      <c r="AB100" s="1">
        <v>2.2000000000000002</v>
      </c>
      <c r="AC100" s="1">
        <v>2.2000000000000002</v>
      </c>
      <c r="AD100" s="1">
        <v>0.23100000000000001</v>
      </c>
      <c r="AE100" s="1">
        <v>8.6999999999999994E-2</v>
      </c>
      <c r="AF100" s="1">
        <v>2.3E-2</v>
      </c>
      <c r="AG100" s="1">
        <v>2.2000000000000002</v>
      </c>
      <c r="AI100" s="1">
        <v>0</v>
      </c>
      <c r="AJ100" s="1">
        <v>0</v>
      </c>
      <c r="AK100" s="1">
        <v>0</v>
      </c>
      <c r="AL100" s="1">
        <v>1</v>
      </c>
      <c r="AM100" s="1">
        <v>86400</v>
      </c>
      <c r="AN100" s="1">
        <v>78739</v>
      </c>
      <c r="AO100" s="1">
        <v>7661</v>
      </c>
      <c r="AP100" s="1">
        <v>50175</v>
      </c>
      <c r="AQ100" s="1">
        <v>1.590368793303959</v>
      </c>
    </row>
    <row r="101" spans="1:43" x14ac:dyDescent="0.45">
      <c r="A101" s="1">
        <v>100</v>
      </c>
      <c r="B101" s="1">
        <v>181</v>
      </c>
      <c r="C101" s="1">
        <v>75</v>
      </c>
      <c r="D101" s="1" t="s">
        <v>64</v>
      </c>
      <c r="E101" s="1" t="s">
        <v>65</v>
      </c>
      <c r="F101" s="1" t="s">
        <v>66</v>
      </c>
      <c r="G101" s="1" t="s">
        <v>46</v>
      </c>
      <c r="H101" s="1" t="s">
        <v>47</v>
      </c>
      <c r="I101" s="1">
        <v>1170</v>
      </c>
      <c r="J101" s="1">
        <v>33499</v>
      </c>
      <c r="K101" s="1">
        <v>1</v>
      </c>
      <c r="L101" s="1">
        <v>74</v>
      </c>
      <c r="M101" s="1">
        <v>1485</v>
      </c>
      <c r="N101" s="1" t="s">
        <v>48</v>
      </c>
      <c r="O101" s="1">
        <v>194021</v>
      </c>
      <c r="P101" s="1">
        <v>91</v>
      </c>
      <c r="Q101" s="1" t="s">
        <v>106</v>
      </c>
      <c r="R101" s="1" t="s">
        <v>50</v>
      </c>
      <c r="S101" s="1">
        <v>0</v>
      </c>
      <c r="T101" s="1">
        <v>0</v>
      </c>
      <c r="U101" s="1">
        <v>595.303</v>
      </c>
      <c r="V101" s="1">
        <v>24.879000000000001</v>
      </c>
      <c r="W101" s="1">
        <v>0.56000000000000005</v>
      </c>
      <c r="X101" s="1">
        <v>0.32600000000000001</v>
      </c>
      <c r="Y101" s="1">
        <v>25.204000000000001</v>
      </c>
      <c r="Z101" s="1">
        <v>0.42599999999999999</v>
      </c>
      <c r="AA101" s="1">
        <v>2.4</v>
      </c>
      <c r="AB101" s="1">
        <v>2.2999999999999998</v>
      </c>
      <c r="AC101" s="1">
        <v>2.2999999999999998</v>
      </c>
      <c r="AD101" s="1">
        <v>0.32600000000000001</v>
      </c>
      <c r="AE101" s="1">
        <v>0.25700000000000001</v>
      </c>
      <c r="AF101" s="1">
        <v>0.11799999999999999</v>
      </c>
      <c r="AG101" s="1">
        <v>2.4</v>
      </c>
      <c r="AI101" s="1">
        <v>0</v>
      </c>
      <c r="AJ101" s="1">
        <v>0</v>
      </c>
      <c r="AK101" s="1">
        <v>0</v>
      </c>
      <c r="AL101" s="1">
        <v>1</v>
      </c>
      <c r="AM101" s="1">
        <v>86400</v>
      </c>
      <c r="AN101" s="1">
        <v>80830</v>
      </c>
      <c r="AO101" s="1">
        <v>5570</v>
      </c>
      <c r="AP101" s="1">
        <v>50291</v>
      </c>
      <c r="AQ101" s="1">
        <v>2.7063584476982121</v>
      </c>
    </row>
    <row r="102" spans="1:43" x14ac:dyDescent="0.45">
      <c r="A102" s="1">
        <v>101</v>
      </c>
      <c r="B102" s="1">
        <v>181</v>
      </c>
      <c r="C102" s="1">
        <v>75</v>
      </c>
      <c r="D102" s="1" t="s">
        <v>64</v>
      </c>
      <c r="E102" s="1" t="s">
        <v>65</v>
      </c>
      <c r="F102" s="1" t="s">
        <v>66</v>
      </c>
      <c r="G102" s="1" t="s">
        <v>46</v>
      </c>
      <c r="H102" s="1" t="s">
        <v>47</v>
      </c>
      <c r="I102" s="1">
        <v>1170</v>
      </c>
      <c r="J102" s="1">
        <v>33499</v>
      </c>
      <c r="K102" s="1">
        <v>1</v>
      </c>
      <c r="L102" s="1">
        <v>74</v>
      </c>
      <c r="M102" s="1">
        <v>1486</v>
      </c>
      <c r="N102" s="1" t="s">
        <v>48</v>
      </c>
      <c r="O102" s="1">
        <v>194022</v>
      </c>
      <c r="P102" s="1">
        <v>91</v>
      </c>
      <c r="Q102" s="1" t="s">
        <v>106</v>
      </c>
      <c r="R102" s="1" t="s">
        <v>50</v>
      </c>
      <c r="S102" s="1">
        <v>0</v>
      </c>
      <c r="T102" s="1">
        <v>0</v>
      </c>
      <c r="U102" s="1">
        <v>889.76199999999994</v>
      </c>
      <c r="V102" s="1">
        <v>24.957000000000001</v>
      </c>
      <c r="W102" s="1">
        <v>0.54</v>
      </c>
      <c r="X102" s="1">
        <v>0.246</v>
      </c>
      <c r="Y102" s="1">
        <v>25.202999999999999</v>
      </c>
      <c r="Z102" s="1">
        <v>0.23799999999999999</v>
      </c>
      <c r="AA102" s="1">
        <v>-2.6</v>
      </c>
      <c r="AB102" s="1">
        <v>-2.6</v>
      </c>
      <c r="AC102" s="1">
        <v>-2.6</v>
      </c>
      <c r="AD102" s="1">
        <v>0.246</v>
      </c>
      <c r="AE102" s="1">
        <v>0.16400000000000001</v>
      </c>
      <c r="AF102" s="1">
        <v>4.3999999999999997E-2</v>
      </c>
      <c r="AG102" s="1">
        <v>-2.6</v>
      </c>
      <c r="AI102" s="1">
        <v>0</v>
      </c>
      <c r="AJ102" s="1">
        <v>0</v>
      </c>
      <c r="AK102" s="1">
        <v>0</v>
      </c>
      <c r="AL102" s="1">
        <v>1</v>
      </c>
      <c r="AM102" s="1">
        <v>86400</v>
      </c>
      <c r="AN102" s="1">
        <v>75691</v>
      </c>
      <c r="AO102" s="1">
        <v>10709</v>
      </c>
      <c r="AP102" s="1">
        <v>50324</v>
      </c>
      <c r="AQ102" s="1">
        <v>0.32259802925756131</v>
      </c>
    </row>
    <row r="103" spans="1:43" x14ac:dyDescent="0.45">
      <c r="A103" s="1">
        <v>102</v>
      </c>
      <c r="B103" s="1">
        <v>181</v>
      </c>
      <c r="C103" s="1">
        <v>75</v>
      </c>
      <c r="D103" s="1" t="s">
        <v>64</v>
      </c>
      <c r="E103" s="1" t="s">
        <v>65</v>
      </c>
      <c r="F103" s="1" t="s">
        <v>66</v>
      </c>
      <c r="G103" s="1" t="s">
        <v>46</v>
      </c>
      <c r="H103" s="1" t="s">
        <v>47</v>
      </c>
      <c r="I103" s="1">
        <v>1170</v>
      </c>
      <c r="J103" s="1">
        <v>33499</v>
      </c>
      <c r="K103" s="1">
        <v>1</v>
      </c>
      <c r="L103" s="1">
        <v>74</v>
      </c>
      <c r="M103" s="1">
        <v>1487</v>
      </c>
      <c r="N103" s="1" t="s">
        <v>48</v>
      </c>
      <c r="O103" s="1">
        <v>194023</v>
      </c>
      <c r="P103" s="1">
        <v>91</v>
      </c>
      <c r="Q103" s="1" t="s">
        <v>106</v>
      </c>
      <c r="R103" s="1" t="s">
        <v>50</v>
      </c>
      <c r="S103" s="1">
        <v>0</v>
      </c>
      <c r="T103" s="1">
        <v>0</v>
      </c>
      <c r="U103" s="1">
        <v>495.976</v>
      </c>
      <c r="V103" s="1">
        <v>24.9</v>
      </c>
      <c r="W103" s="1">
        <v>0.55000000000000004</v>
      </c>
      <c r="X103" s="1">
        <v>0.30299999999999999</v>
      </c>
      <c r="Y103" s="1">
        <v>25.202999999999999</v>
      </c>
      <c r="Z103" s="1">
        <v>0.20799999999999999</v>
      </c>
      <c r="AA103" s="1">
        <v>-2.8</v>
      </c>
      <c r="AB103" s="1">
        <v>-2.7</v>
      </c>
      <c r="AC103" s="1">
        <v>-2.7</v>
      </c>
      <c r="AD103" s="1">
        <v>0.30199999999999999</v>
      </c>
      <c r="AE103" s="1">
        <v>0.14199999999999999</v>
      </c>
      <c r="AF103" s="1">
        <v>0.05</v>
      </c>
      <c r="AG103" s="1">
        <v>-2.8</v>
      </c>
      <c r="AI103" s="1">
        <v>0</v>
      </c>
      <c r="AJ103" s="1">
        <v>0</v>
      </c>
      <c r="AK103" s="1">
        <v>0</v>
      </c>
      <c r="AL103" s="1">
        <v>1</v>
      </c>
      <c r="AM103" s="1">
        <v>86400</v>
      </c>
      <c r="AN103" s="1">
        <v>79669</v>
      </c>
      <c r="AO103" s="1">
        <v>6731</v>
      </c>
      <c r="AP103" s="1">
        <v>50270</v>
      </c>
      <c r="AQ103" s="1">
        <v>26.101421947845822</v>
      </c>
    </row>
    <row r="104" spans="1:43" x14ac:dyDescent="0.45">
      <c r="A104" s="1">
        <v>103</v>
      </c>
      <c r="B104" s="1">
        <v>181</v>
      </c>
      <c r="C104" s="1">
        <v>75</v>
      </c>
      <c r="D104" s="1" t="s">
        <v>64</v>
      </c>
      <c r="E104" s="1" t="s">
        <v>65</v>
      </c>
      <c r="F104" s="1" t="s">
        <v>66</v>
      </c>
      <c r="G104" s="1" t="s">
        <v>46</v>
      </c>
      <c r="H104" s="1" t="s">
        <v>47</v>
      </c>
      <c r="I104" s="1">
        <v>1170</v>
      </c>
      <c r="J104" s="1">
        <v>33499</v>
      </c>
      <c r="K104" s="1">
        <v>1</v>
      </c>
      <c r="L104" s="1">
        <v>74</v>
      </c>
      <c r="M104" s="1">
        <v>1488</v>
      </c>
      <c r="N104" s="1" t="s">
        <v>48</v>
      </c>
      <c r="O104" s="1">
        <v>194024</v>
      </c>
      <c r="P104" s="1">
        <v>91</v>
      </c>
      <c r="Q104" s="1" t="s">
        <v>106</v>
      </c>
      <c r="R104" s="1" t="s">
        <v>50</v>
      </c>
      <c r="S104" s="1">
        <v>0</v>
      </c>
      <c r="T104" s="1">
        <v>0</v>
      </c>
      <c r="U104" s="1">
        <v>236.39</v>
      </c>
      <c r="V104" s="1">
        <v>24.927</v>
      </c>
      <c r="W104" s="1">
        <v>0.54</v>
      </c>
      <c r="X104" s="1">
        <v>0.27800000000000002</v>
      </c>
      <c r="Y104" s="1">
        <v>25.204999999999998</v>
      </c>
      <c r="Z104" s="1">
        <v>0.19700000000000001</v>
      </c>
      <c r="AA104" s="1">
        <v>-2.2999999999999998</v>
      </c>
      <c r="AB104" s="1">
        <v>-2.6</v>
      </c>
      <c r="AC104" s="1">
        <v>-2.5</v>
      </c>
      <c r="AD104" s="1">
        <v>0.27700000000000002</v>
      </c>
      <c r="AE104" s="1">
        <v>9.7000000000000003E-2</v>
      </c>
      <c r="AF104" s="1">
        <v>4.2000000000000003E-2</v>
      </c>
      <c r="AG104" s="1">
        <v>-2.2999999999999998</v>
      </c>
      <c r="AI104" s="1">
        <v>0</v>
      </c>
      <c r="AJ104" s="1">
        <v>0</v>
      </c>
      <c r="AK104" s="1">
        <v>0</v>
      </c>
      <c r="AL104" s="1">
        <v>1</v>
      </c>
      <c r="AM104" s="1">
        <v>86400</v>
      </c>
      <c r="AN104" s="1">
        <v>78129</v>
      </c>
      <c r="AO104" s="1">
        <v>8271</v>
      </c>
      <c r="AP104" s="1">
        <v>50378</v>
      </c>
      <c r="AQ104" s="1">
        <v>0.1408123542554123</v>
      </c>
    </row>
    <row r="105" spans="1:43" x14ac:dyDescent="0.45">
      <c r="A105" s="1">
        <v>104</v>
      </c>
      <c r="B105" s="1">
        <v>181</v>
      </c>
      <c r="C105" s="1">
        <v>75</v>
      </c>
      <c r="D105" s="1" t="s">
        <v>64</v>
      </c>
      <c r="E105" s="1" t="s">
        <v>65</v>
      </c>
      <c r="F105" s="1" t="s">
        <v>66</v>
      </c>
      <c r="G105" s="1" t="s">
        <v>46</v>
      </c>
      <c r="H105" s="1" t="s">
        <v>47</v>
      </c>
      <c r="I105" s="1">
        <v>1170</v>
      </c>
      <c r="J105" s="1">
        <v>33499</v>
      </c>
      <c r="K105" s="1">
        <v>1</v>
      </c>
      <c r="L105" s="1">
        <v>74</v>
      </c>
      <c r="M105" s="1">
        <v>1491</v>
      </c>
      <c r="N105" s="1" t="s">
        <v>48</v>
      </c>
      <c r="O105" s="1">
        <v>194037</v>
      </c>
      <c r="P105" s="1">
        <v>91</v>
      </c>
      <c r="Q105" s="1" t="s">
        <v>106</v>
      </c>
      <c r="R105" s="1" t="s">
        <v>50</v>
      </c>
      <c r="S105" s="1">
        <v>0</v>
      </c>
      <c r="T105" s="1">
        <v>0</v>
      </c>
      <c r="U105" s="1">
        <v>71.201999999999998</v>
      </c>
      <c r="V105" s="1">
        <v>24.815999999999999</v>
      </c>
      <c r="W105" s="1">
        <v>0.56000000000000005</v>
      </c>
      <c r="X105" s="1">
        <v>0.39</v>
      </c>
      <c r="Y105" s="1">
        <v>25.206</v>
      </c>
      <c r="Z105" s="1">
        <v>0.14099999999999999</v>
      </c>
      <c r="AA105" s="1">
        <v>0.6</v>
      </c>
      <c r="AB105" s="1">
        <v>0.9</v>
      </c>
      <c r="AC105" s="1">
        <v>0.9</v>
      </c>
      <c r="AD105" s="1">
        <v>0.38900000000000001</v>
      </c>
      <c r="AE105" s="1">
        <v>0.06</v>
      </c>
      <c r="AF105" s="1">
        <v>4.4999999999999998E-2</v>
      </c>
      <c r="AG105" s="1">
        <v>0.6</v>
      </c>
      <c r="AI105" s="1">
        <v>0</v>
      </c>
      <c r="AJ105" s="1">
        <v>0</v>
      </c>
      <c r="AK105" s="1">
        <v>0</v>
      </c>
      <c r="AL105" s="1">
        <v>1</v>
      </c>
      <c r="AM105" s="1">
        <v>86400</v>
      </c>
      <c r="AN105" s="1">
        <v>81163</v>
      </c>
      <c r="AO105" s="1">
        <v>5237</v>
      </c>
      <c r="AP105" s="1">
        <v>50362</v>
      </c>
      <c r="AQ105" s="1">
        <v>12.96701355991765</v>
      </c>
    </row>
    <row r="106" spans="1:43" x14ac:dyDescent="0.45">
      <c r="A106" s="1">
        <v>105</v>
      </c>
      <c r="B106" s="1">
        <v>181</v>
      </c>
      <c r="C106" s="1">
        <v>75</v>
      </c>
      <c r="D106" s="1" t="s">
        <v>64</v>
      </c>
      <c r="E106" s="1" t="s">
        <v>65</v>
      </c>
      <c r="F106" s="1" t="s">
        <v>66</v>
      </c>
      <c r="G106" s="1" t="s">
        <v>46</v>
      </c>
      <c r="H106" s="1" t="s">
        <v>47</v>
      </c>
      <c r="I106" s="1">
        <v>1170</v>
      </c>
      <c r="J106" s="1">
        <v>33499</v>
      </c>
      <c r="K106" s="1">
        <v>1</v>
      </c>
      <c r="L106" s="1">
        <v>74</v>
      </c>
      <c r="M106" s="1">
        <v>1514</v>
      </c>
      <c r="N106" s="1" t="s">
        <v>48</v>
      </c>
      <c r="O106" s="1">
        <v>194098</v>
      </c>
      <c r="P106" s="1">
        <v>91</v>
      </c>
      <c r="Q106" s="1" t="s">
        <v>106</v>
      </c>
      <c r="R106" s="1" t="s">
        <v>50</v>
      </c>
      <c r="S106" s="1">
        <v>0</v>
      </c>
      <c r="T106" s="1">
        <v>0</v>
      </c>
      <c r="U106" s="1">
        <v>590.79899999999998</v>
      </c>
      <c r="V106" s="1">
        <v>25.291</v>
      </c>
      <c r="W106" s="1">
        <v>0.53</v>
      </c>
      <c r="X106" s="1">
        <v>0.20100000000000001</v>
      </c>
      <c r="Y106" s="1">
        <v>25.492000000000001</v>
      </c>
      <c r="Z106" s="1">
        <v>5.8000000000000003E-2</v>
      </c>
      <c r="AA106" s="1">
        <v>-3</v>
      </c>
      <c r="AB106" s="1">
        <v>-3</v>
      </c>
      <c r="AC106" s="1">
        <v>-3</v>
      </c>
      <c r="AD106" s="1">
        <v>0.20100000000000001</v>
      </c>
      <c r="AE106" s="1">
        <v>5.8000000000000003E-2</v>
      </c>
      <c r="AF106" s="1">
        <v>1.2E-2</v>
      </c>
      <c r="AG106" s="1">
        <v>-3</v>
      </c>
      <c r="AI106" s="1">
        <v>0</v>
      </c>
      <c r="AJ106" s="1">
        <v>0</v>
      </c>
      <c r="AK106" s="1">
        <v>0</v>
      </c>
      <c r="AL106" s="1">
        <v>1</v>
      </c>
      <c r="AM106" s="1">
        <v>86400</v>
      </c>
      <c r="AN106" s="1">
        <v>76091</v>
      </c>
      <c r="AO106" s="1">
        <v>10309</v>
      </c>
      <c r="AP106" s="1">
        <v>43416</v>
      </c>
      <c r="AQ106" s="1">
        <v>2.1861732595933532</v>
      </c>
    </row>
    <row r="107" spans="1:43" x14ac:dyDescent="0.45">
      <c r="A107" s="1">
        <v>106</v>
      </c>
      <c r="B107" s="1">
        <v>181</v>
      </c>
      <c r="C107" s="1">
        <v>75</v>
      </c>
      <c r="D107" s="1" t="s">
        <v>64</v>
      </c>
      <c r="E107" s="1" t="s">
        <v>65</v>
      </c>
      <c r="F107" s="1" t="s">
        <v>66</v>
      </c>
      <c r="G107" s="1" t="s">
        <v>46</v>
      </c>
      <c r="H107" s="1" t="s">
        <v>47</v>
      </c>
      <c r="I107" s="1">
        <v>1170</v>
      </c>
      <c r="J107" s="1">
        <v>33499</v>
      </c>
      <c r="K107" s="1">
        <v>1</v>
      </c>
      <c r="L107" s="1">
        <v>74</v>
      </c>
      <c r="M107" s="1">
        <v>1515</v>
      </c>
      <c r="N107" s="1" t="s">
        <v>48</v>
      </c>
      <c r="O107" s="1">
        <v>194101</v>
      </c>
      <c r="P107" s="1">
        <v>91</v>
      </c>
      <c r="Q107" s="1" t="s">
        <v>106</v>
      </c>
      <c r="R107" s="1" t="s">
        <v>50</v>
      </c>
      <c r="S107" s="1">
        <v>0</v>
      </c>
      <c r="T107" s="1">
        <v>0</v>
      </c>
      <c r="U107" s="1">
        <v>715.21299999999997</v>
      </c>
      <c r="V107" s="1">
        <v>25.327000000000002</v>
      </c>
      <c r="W107" s="1">
        <v>0.53</v>
      </c>
      <c r="X107" s="1">
        <v>0.16700000000000001</v>
      </c>
      <c r="Y107" s="1">
        <v>25.494</v>
      </c>
      <c r="Z107" s="1">
        <v>9.7000000000000003E-2</v>
      </c>
      <c r="AA107" s="1">
        <v>3</v>
      </c>
      <c r="AB107" s="1">
        <v>3</v>
      </c>
      <c r="AC107" s="1">
        <v>3</v>
      </c>
      <c r="AD107" s="1">
        <v>0.16700000000000001</v>
      </c>
      <c r="AE107" s="1">
        <v>9.7000000000000003E-2</v>
      </c>
      <c r="AF107" s="1">
        <v>1.6E-2</v>
      </c>
      <c r="AG107" s="1">
        <v>3</v>
      </c>
      <c r="AI107" s="1">
        <v>0</v>
      </c>
      <c r="AJ107" s="1">
        <v>0</v>
      </c>
      <c r="AK107" s="1">
        <v>0</v>
      </c>
      <c r="AL107" s="1">
        <v>1</v>
      </c>
      <c r="AM107" s="1">
        <v>86400</v>
      </c>
      <c r="AN107" s="1">
        <v>77578</v>
      </c>
      <c r="AO107" s="1">
        <v>8822</v>
      </c>
      <c r="AP107" s="1">
        <v>46850</v>
      </c>
      <c r="AQ107" s="1">
        <v>1.705766435611443</v>
      </c>
    </row>
    <row r="108" spans="1:43" x14ac:dyDescent="0.45">
      <c r="A108" s="1">
        <v>107</v>
      </c>
      <c r="B108" s="1">
        <v>181</v>
      </c>
      <c r="C108" s="1">
        <v>75</v>
      </c>
      <c r="D108" s="1" t="s">
        <v>64</v>
      </c>
      <c r="E108" s="1" t="s">
        <v>65</v>
      </c>
      <c r="F108" s="1" t="s">
        <v>66</v>
      </c>
      <c r="G108" s="1" t="s">
        <v>46</v>
      </c>
      <c r="H108" s="1" t="s">
        <v>47</v>
      </c>
      <c r="I108" s="1">
        <v>1170</v>
      </c>
      <c r="J108" s="1">
        <v>33499</v>
      </c>
      <c r="K108" s="1">
        <v>1</v>
      </c>
      <c r="L108" s="1">
        <v>74</v>
      </c>
      <c r="M108" s="1">
        <v>1666</v>
      </c>
      <c r="N108" s="1" t="s">
        <v>48</v>
      </c>
      <c r="O108" s="1">
        <v>198606</v>
      </c>
      <c r="P108" s="1">
        <v>91</v>
      </c>
      <c r="Q108" s="1" t="s">
        <v>106</v>
      </c>
      <c r="R108" s="1" t="s">
        <v>50</v>
      </c>
      <c r="S108" s="1">
        <v>0</v>
      </c>
      <c r="T108" s="1">
        <v>0</v>
      </c>
      <c r="U108" s="1">
        <v>92.590999999999994</v>
      </c>
      <c r="V108" s="1">
        <v>25.254000000000001</v>
      </c>
      <c r="W108" s="1">
        <v>0.52</v>
      </c>
      <c r="X108" s="1">
        <v>0.13800000000000001</v>
      </c>
      <c r="Y108" s="1">
        <v>25.391999999999999</v>
      </c>
      <c r="Z108" s="1">
        <v>0.104</v>
      </c>
      <c r="AA108" s="1">
        <v>0.9</v>
      </c>
      <c r="AB108" s="1">
        <v>0.3</v>
      </c>
      <c r="AC108" s="1">
        <v>0.3</v>
      </c>
      <c r="AD108" s="1">
        <v>0.13800000000000001</v>
      </c>
      <c r="AE108" s="1">
        <v>6.0999999999999999E-2</v>
      </c>
      <c r="AF108" s="1">
        <v>8.9999999999999993E-3</v>
      </c>
      <c r="AG108" s="1">
        <v>0.9</v>
      </c>
      <c r="AI108" s="1">
        <v>0</v>
      </c>
      <c r="AJ108" s="1">
        <v>0</v>
      </c>
      <c r="AK108" s="1">
        <v>0</v>
      </c>
      <c r="AL108" s="1">
        <v>1</v>
      </c>
      <c r="AM108" s="1">
        <v>86400</v>
      </c>
      <c r="AN108" s="1">
        <v>80050</v>
      </c>
      <c r="AO108" s="1">
        <v>6350</v>
      </c>
      <c r="AP108" s="1">
        <v>49317</v>
      </c>
      <c r="AQ108" s="1">
        <v>16.327837453438821</v>
      </c>
    </row>
    <row r="109" spans="1:43" x14ac:dyDescent="0.45">
      <c r="A109" s="1">
        <v>108</v>
      </c>
      <c r="B109" s="1">
        <v>181</v>
      </c>
      <c r="C109" s="1">
        <v>75</v>
      </c>
      <c r="D109" s="1" t="s">
        <v>64</v>
      </c>
      <c r="E109" s="1" t="s">
        <v>65</v>
      </c>
      <c r="F109" s="1" t="s">
        <v>66</v>
      </c>
      <c r="G109" s="1" t="s">
        <v>46</v>
      </c>
      <c r="H109" s="1" t="s">
        <v>47</v>
      </c>
      <c r="I109" s="1">
        <v>1170</v>
      </c>
      <c r="J109" s="1">
        <v>33499</v>
      </c>
      <c r="K109" s="1">
        <v>1</v>
      </c>
      <c r="L109" s="1">
        <v>74</v>
      </c>
      <c r="M109" s="1">
        <v>1667</v>
      </c>
      <c r="N109" s="1" t="s">
        <v>48</v>
      </c>
      <c r="O109" s="1">
        <v>198607</v>
      </c>
      <c r="P109" s="1">
        <v>91</v>
      </c>
      <c r="Q109" s="1" t="s">
        <v>106</v>
      </c>
      <c r="R109" s="1" t="s">
        <v>50</v>
      </c>
      <c r="S109" s="1">
        <v>0</v>
      </c>
      <c r="T109" s="1">
        <v>0</v>
      </c>
      <c r="U109" s="1">
        <v>71.430000000000007</v>
      </c>
      <c r="V109" s="1">
        <v>25.236000000000001</v>
      </c>
      <c r="W109" s="1">
        <v>0.52</v>
      </c>
      <c r="X109" s="1">
        <v>0.156</v>
      </c>
      <c r="Y109" s="1">
        <v>25.391999999999999</v>
      </c>
      <c r="Z109" s="1">
        <v>0.113</v>
      </c>
      <c r="AA109" s="1">
        <v>-0.7</v>
      </c>
      <c r="AB109" s="1">
        <v>-0.7</v>
      </c>
      <c r="AC109" s="1">
        <v>-0.7</v>
      </c>
      <c r="AD109" s="1">
        <v>0.156</v>
      </c>
      <c r="AE109" s="1">
        <v>7.6999999999999999E-2</v>
      </c>
      <c r="AF109" s="1">
        <v>1.2E-2</v>
      </c>
      <c r="AG109" s="1">
        <v>-0.7</v>
      </c>
      <c r="AI109" s="1">
        <v>0</v>
      </c>
      <c r="AJ109" s="1">
        <v>0</v>
      </c>
      <c r="AK109" s="1">
        <v>0</v>
      </c>
      <c r="AL109" s="1">
        <v>1</v>
      </c>
      <c r="AM109" s="1">
        <v>86400</v>
      </c>
      <c r="AN109" s="1">
        <v>80751</v>
      </c>
      <c r="AO109" s="1">
        <v>5649</v>
      </c>
      <c r="AP109" s="1">
        <v>50287</v>
      </c>
      <c r="AQ109" s="1">
        <v>1.7753314003685849</v>
      </c>
    </row>
    <row r="110" spans="1:43" x14ac:dyDescent="0.45">
      <c r="A110" s="1">
        <v>109</v>
      </c>
      <c r="B110" s="1">
        <v>181</v>
      </c>
      <c r="C110" s="1">
        <v>75</v>
      </c>
      <c r="D110" s="1" t="s">
        <v>64</v>
      </c>
      <c r="E110" s="1" t="s">
        <v>65</v>
      </c>
      <c r="F110" s="1" t="s">
        <v>66</v>
      </c>
      <c r="G110" s="1" t="s">
        <v>46</v>
      </c>
      <c r="H110" s="1" t="s">
        <v>47</v>
      </c>
      <c r="I110" s="1">
        <v>1170</v>
      </c>
      <c r="J110" s="1">
        <v>33499</v>
      </c>
      <c r="K110" s="1">
        <v>1</v>
      </c>
      <c r="L110" s="1">
        <v>74</v>
      </c>
      <c r="M110" s="1">
        <v>1668</v>
      </c>
      <c r="N110" s="1" t="s">
        <v>48</v>
      </c>
      <c r="O110" s="1">
        <v>198616</v>
      </c>
      <c r="P110" s="1">
        <v>91</v>
      </c>
      <c r="Q110" s="1" t="s">
        <v>106</v>
      </c>
      <c r="R110" s="1" t="s">
        <v>50</v>
      </c>
      <c r="S110" s="1">
        <v>0</v>
      </c>
      <c r="T110" s="1">
        <v>0</v>
      </c>
      <c r="U110" s="1">
        <v>155.554</v>
      </c>
      <c r="V110" s="1">
        <v>25.196999999999999</v>
      </c>
      <c r="W110" s="1">
        <v>0.53</v>
      </c>
      <c r="X110" s="1">
        <v>0.217</v>
      </c>
      <c r="Y110" s="1">
        <v>25.413</v>
      </c>
      <c r="Z110" s="1">
        <v>2.8000000000000001E-2</v>
      </c>
      <c r="AA110" s="1">
        <v>-0.6</v>
      </c>
      <c r="AB110" s="1">
        <v>-0.6</v>
      </c>
      <c r="AC110" s="1">
        <v>-0.6</v>
      </c>
      <c r="AD110" s="1">
        <v>0.217</v>
      </c>
      <c r="AE110" s="1">
        <v>2.8000000000000001E-2</v>
      </c>
      <c r="AF110" s="1">
        <v>6.0000000000000001E-3</v>
      </c>
      <c r="AG110" s="1">
        <v>-0.6</v>
      </c>
      <c r="AI110" s="1">
        <v>0</v>
      </c>
      <c r="AJ110" s="1">
        <v>0</v>
      </c>
      <c r="AK110" s="1">
        <v>0</v>
      </c>
      <c r="AL110" s="1">
        <v>1</v>
      </c>
      <c r="AM110" s="1">
        <v>86400</v>
      </c>
      <c r="AN110" s="1">
        <v>75421</v>
      </c>
      <c r="AO110" s="1">
        <v>10979</v>
      </c>
      <c r="AP110" s="1">
        <v>46958</v>
      </c>
      <c r="AQ110" s="1">
        <v>0.49721296494119721</v>
      </c>
    </row>
    <row r="111" spans="1:43" x14ac:dyDescent="0.45">
      <c r="A111" s="1">
        <v>110</v>
      </c>
      <c r="B111" s="1">
        <v>332</v>
      </c>
      <c r="C111" s="1">
        <v>25</v>
      </c>
      <c r="D111" s="1" t="s">
        <v>70</v>
      </c>
      <c r="E111" s="1" t="s">
        <v>71</v>
      </c>
      <c r="F111" s="1" t="s">
        <v>72</v>
      </c>
      <c r="G111" s="1" t="s">
        <v>46</v>
      </c>
      <c r="H111" s="1" t="s">
        <v>47</v>
      </c>
      <c r="I111" s="1">
        <v>664</v>
      </c>
      <c r="J111" s="1">
        <v>19970</v>
      </c>
      <c r="K111" s="1">
        <v>1</v>
      </c>
      <c r="L111" s="1">
        <v>24</v>
      </c>
      <c r="M111" s="1">
        <v>1448</v>
      </c>
      <c r="N111" s="1" t="s">
        <v>48</v>
      </c>
      <c r="O111" s="1">
        <v>183770</v>
      </c>
      <c r="P111" s="1">
        <v>91</v>
      </c>
      <c r="Q111" s="1" t="s">
        <v>106</v>
      </c>
      <c r="R111" s="1" t="s">
        <v>50</v>
      </c>
      <c r="S111" s="1">
        <v>0</v>
      </c>
      <c r="T111" s="1">
        <v>0</v>
      </c>
      <c r="U111" s="1">
        <v>134.53299999999999</v>
      </c>
      <c r="V111" s="1">
        <v>25.527000000000001</v>
      </c>
      <c r="W111" s="1">
        <v>1.29</v>
      </c>
      <c r="X111" s="1">
        <v>1.752</v>
      </c>
      <c r="Y111" s="1">
        <v>27.279</v>
      </c>
      <c r="Z111" s="1">
        <v>0.14599999999999999</v>
      </c>
      <c r="AA111" s="1">
        <v>2.7</v>
      </c>
      <c r="AB111" s="1">
        <v>2.7</v>
      </c>
      <c r="AC111" s="1">
        <v>2.7</v>
      </c>
      <c r="AD111" s="1">
        <v>1.752</v>
      </c>
      <c r="AE111" s="1">
        <v>0.14599999999999999</v>
      </c>
      <c r="AF111" s="1">
        <v>0.25600000000000001</v>
      </c>
      <c r="AG111" s="1">
        <v>2.7</v>
      </c>
      <c r="AI111" s="1">
        <v>0</v>
      </c>
      <c r="AJ111" s="1">
        <v>0</v>
      </c>
      <c r="AK111" s="1">
        <v>0</v>
      </c>
      <c r="AL111" s="1">
        <v>1</v>
      </c>
      <c r="AM111" s="1">
        <v>86400</v>
      </c>
      <c r="AN111" s="1">
        <v>79534</v>
      </c>
      <c r="AO111" s="1">
        <v>6866</v>
      </c>
      <c r="AP111" s="1">
        <v>43446</v>
      </c>
      <c r="AQ111" s="1">
        <v>14.97557869697212</v>
      </c>
    </row>
    <row r="112" spans="1:43" x14ac:dyDescent="0.45">
      <c r="A112" s="1">
        <v>111</v>
      </c>
      <c r="B112" s="1">
        <v>332</v>
      </c>
      <c r="C112" s="1">
        <v>25</v>
      </c>
      <c r="D112" s="1" t="s">
        <v>70</v>
      </c>
      <c r="E112" s="1" t="s">
        <v>71</v>
      </c>
      <c r="F112" s="1" t="s">
        <v>72</v>
      </c>
      <c r="G112" s="1" t="s">
        <v>46</v>
      </c>
      <c r="H112" s="1" t="s">
        <v>47</v>
      </c>
      <c r="I112" s="1">
        <v>664</v>
      </c>
      <c r="J112" s="1">
        <v>19970</v>
      </c>
      <c r="K112" s="1">
        <v>1</v>
      </c>
      <c r="L112" s="1">
        <v>24</v>
      </c>
      <c r="M112" s="1">
        <v>1450</v>
      </c>
      <c r="N112" s="1" t="s">
        <v>48</v>
      </c>
      <c r="O112" s="1">
        <v>183857</v>
      </c>
      <c r="P112" s="1">
        <v>91</v>
      </c>
      <c r="Q112" s="1" t="s">
        <v>106</v>
      </c>
      <c r="R112" s="1" t="s">
        <v>50</v>
      </c>
      <c r="S112" s="1">
        <v>0</v>
      </c>
      <c r="T112" s="1">
        <v>0</v>
      </c>
      <c r="U112" s="1">
        <v>97.05</v>
      </c>
      <c r="V112" s="1">
        <v>27.024000000000001</v>
      </c>
      <c r="W112" s="1">
        <v>0.53</v>
      </c>
      <c r="X112" s="1">
        <v>0.16900000000000001</v>
      </c>
      <c r="Y112" s="1">
        <v>27.193999999999999</v>
      </c>
      <c r="Z112" s="1">
        <v>0.20699999999999999</v>
      </c>
      <c r="AA112" s="1">
        <v>-1.6</v>
      </c>
      <c r="AB112" s="1">
        <v>-1.6</v>
      </c>
      <c r="AC112" s="1">
        <v>-1.6</v>
      </c>
      <c r="AD112" s="1">
        <v>0.16900000000000001</v>
      </c>
      <c r="AE112" s="1">
        <v>0.20699999999999999</v>
      </c>
      <c r="AF112" s="1">
        <v>3.5000000000000003E-2</v>
      </c>
      <c r="AG112" s="1">
        <v>-1.6</v>
      </c>
      <c r="AI112" s="1">
        <v>0</v>
      </c>
      <c r="AJ112" s="1">
        <v>0</v>
      </c>
      <c r="AK112" s="1">
        <v>0</v>
      </c>
      <c r="AL112" s="1">
        <v>1</v>
      </c>
      <c r="AM112" s="1">
        <v>86400</v>
      </c>
      <c r="AN112" s="1">
        <v>65763</v>
      </c>
      <c r="AO112" s="1">
        <v>18632</v>
      </c>
      <c r="AP112" s="1">
        <v>47120</v>
      </c>
      <c r="AQ112" s="1">
        <v>12.13985088347876</v>
      </c>
    </row>
    <row r="113" spans="1:43" x14ac:dyDescent="0.45">
      <c r="A113" s="1">
        <v>112</v>
      </c>
      <c r="B113" s="1">
        <v>333</v>
      </c>
      <c r="C113" s="1">
        <v>24</v>
      </c>
      <c r="D113" s="1" t="s">
        <v>73</v>
      </c>
      <c r="E113" s="1" t="s">
        <v>74</v>
      </c>
      <c r="F113" s="1" t="s">
        <v>75</v>
      </c>
      <c r="G113" s="1" t="s">
        <v>46</v>
      </c>
      <c r="H113" s="1" t="s">
        <v>47</v>
      </c>
      <c r="I113" s="1">
        <v>586</v>
      </c>
      <c r="J113" s="1">
        <v>18129</v>
      </c>
      <c r="K113" s="1">
        <v>1</v>
      </c>
      <c r="L113" s="1">
        <v>23</v>
      </c>
      <c r="M113" s="1">
        <v>1448</v>
      </c>
      <c r="N113" s="1" t="s">
        <v>48</v>
      </c>
      <c r="O113" s="1">
        <v>183770</v>
      </c>
      <c r="P113" s="1">
        <v>91</v>
      </c>
      <c r="Q113" s="1" t="s">
        <v>106</v>
      </c>
      <c r="R113" s="1" t="s">
        <v>50</v>
      </c>
      <c r="S113" s="1">
        <v>0</v>
      </c>
      <c r="T113" s="1">
        <v>0</v>
      </c>
      <c r="U113" s="1">
        <v>134.53299999999999</v>
      </c>
      <c r="V113" s="1">
        <v>25.527000000000001</v>
      </c>
      <c r="W113" s="1">
        <v>1.29</v>
      </c>
      <c r="X113" s="1">
        <v>1.752</v>
      </c>
      <c r="Y113" s="1">
        <v>27.279</v>
      </c>
      <c r="Z113" s="1">
        <v>0.14599999999999999</v>
      </c>
      <c r="AA113" s="1">
        <v>2.7</v>
      </c>
      <c r="AB113" s="1">
        <v>2.7</v>
      </c>
      <c r="AC113" s="1">
        <v>2.7</v>
      </c>
      <c r="AD113" s="1">
        <v>1.752</v>
      </c>
      <c r="AE113" s="1">
        <v>0.14599999999999999</v>
      </c>
      <c r="AF113" s="1">
        <v>0.25600000000000001</v>
      </c>
      <c r="AG113" s="1">
        <v>2.7</v>
      </c>
      <c r="AI113" s="1">
        <v>0</v>
      </c>
      <c r="AJ113" s="1">
        <v>0</v>
      </c>
      <c r="AK113" s="1">
        <v>0</v>
      </c>
      <c r="AL113" s="1">
        <v>1</v>
      </c>
      <c r="AM113" s="1">
        <v>86400</v>
      </c>
      <c r="AN113" s="1">
        <v>79534</v>
      </c>
      <c r="AO113" s="1">
        <v>6866</v>
      </c>
      <c r="AP113" s="1">
        <v>43446</v>
      </c>
      <c r="AQ113" s="1">
        <v>1.107249760698368</v>
      </c>
    </row>
    <row r="114" spans="1:43" x14ac:dyDescent="0.45">
      <c r="A114" s="1">
        <v>113</v>
      </c>
      <c r="B114" s="1">
        <v>334</v>
      </c>
      <c r="C114" s="1">
        <v>25</v>
      </c>
      <c r="D114" s="1" t="s">
        <v>70</v>
      </c>
      <c r="E114" s="1" t="s">
        <v>71</v>
      </c>
      <c r="F114" s="1" t="s">
        <v>72</v>
      </c>
      <c r="G114" s="1" t="s">
        <v>46</v>
      </c>
      <c r="H114" s="1" t="s">
        <v>47</v>
      </c>
      <c r="I114" s="1">
        <v>664</v>
      </c>
      <c r="J114" s="1">
        <v>19970</v>
      </c>
      <c r="K114" s="1">
        <v>1</v>
      </c>
      <c r="L114" s="1">
        <v>24</v>
      </c>
      <c r="M114" s="1">
        <v>1448</v>
      </c>
      <c r="N114" s="1" t="s">
        <v>48</v>
      </c>
      <c r="O114" s="1">
        <v>183770</v>
      </c>
      <c r="P114" s="1">
        <v>91</v>
      </c>
      <c r="Q114" s="1" t="s">
        <v>106</v>
      </c>
      <c r="R114" s="1" t="s">
        <v>50</v>
      </c>
      <c r="S114" s="1">
        <v>0</v>
      </c>
      <c r="T114" s="1">
        <v>0</v>
      </c>
      <c r="U114" s="1">
        <v>134.53299999999999</v>
      </c>
      <c r="V114" s="1">
        <v>25.527000000000001</v>
      </c>
      <c r="W114" s="1">
        <v>1.29</v>
      </c>
      <c r="X114" s="1">
        <v>1.752</v>
      </c>
      <c r="Y114" s="1">
        <v>27.279</v>
      </c>
      <c r="Z114" s="1">
        <v>0.14599999999999999</v>
      </c>
      <c r="AA114" s="1">
        <v>2.7</v>
      </c>
      <c r="AB114" s="1">
        <v>2.7</v>
      </c>
      <c r="AC114" s="1">
        <v>2.7</v>
      </c>
      <c r="AD114" s="1">
        <v>1.752</v>
      </c>
      <c r="AE114" s="1">
        <v>0.14599999999999999</v>
      </c>
      <c r="AF114" s="1">
        <v>0.25600000000000001</v>
      </c>
      <c r="AG114" s="1">
        <v>2.7</v>
      </c>
      <c r="AI114" s="1">
        <v>0</v>
      </c>
      <c r="AJ114" s="1">
        <v>0</v>
      </c>
      <c r="AK114" s="1">
        <v>0</v>
      </c>
      <c r="AL114" s="1">
        <v>1</v>
      </c>
      <c r="AM114" s="1">
        <v>86400</v>
      </c>
      <c r="AN114" s="1">
        <v>79534</v>
      </c>
      <c r="AO114" s="1">
        <v>6866</v>
      </c>
      <c r="AP114" s="1">
        <v>43446</v>
      </c>
      <c r="AQ114" s="1">
        <v>1.092180301669939</v>
      </c>
    </row>
    <row r="115" spans="1:43" x14ac:dyDescent="0.45">
      <c r="A115" s="1">
        <v>114</v>
      </c>
      <c r="B115" s="1">
        <v>351</v>
      </c>
      <c r="C115" s="1">
        <v>63</v>
      </c>
      <c r="D115" s="1" t="s">
        <v>76</v>
      </c>
      <c r="E115" s="1" t="s">
        <v>77</v>
      </c>
      <c r="F115" s="1" t="s">
        <v>78</v>
      </c>
      <c r="G115" s="1" t="s">
        <v>46</v>
      </c>
      <c r="H115" s="1" t="s">
        <v>47</v>
      </c>
      <c r="I115" s="1">
        <v>1247</v>
      </c>
      <c r="J115" s="1">
        <v>27398</v>
      </c>
      <c r="K115" s="1">
        <v>1</v>
      </c>
      <c r="L115" s="1">
        <v>62</v>
      </c>
      <c r="M115" s="1">
        <v>1442</v>
      </c>
      <c r="N115" s="1" t="s">
        <v>48</v>
      </c>
      <c r="O115" s="1">
        <v>181344</v>
      </c>
      <c r="P115" s="1">
        <v>91</v>
      </c>
      <c r="Q115" s="1" t="s">
        <v>106</v>
      </c>
      <c r="R115" s="1" t="s">
        <v>50</v>
      </c>
      <c r="S115" s="1">
        <v>0</v>
      </c>
      <c r="T115" s="1">
        <v>0</v>
      </c>
      <c r="U115" s="1">
        <v>509.673</v>
      </c>
      <c r="V115" s="1">
        <v>23.771999999999998</v>
      </c>
      <c r="W115" s="1">
        <v>0.63</v>
      </c>
      <c r="X115" s="1">
        <v>0.76900000000000002</v>
      </c>
      <c r="Y115" s="1">
        <v>24.541</v>
      </c>
      <c r="Z115" s="1">
        <v>0.13500000000000001</v>
      </c>
      <c r="AA115" s="1">
        <v>-3</v>
      </c>
      <c r="AB115" s="1">
        <v>-3</v>
      </c>
      <c r="AC115" s="1">
        <v>-3</v>
      </c>
      <c r="AD115" s="1">
        <v>0.76900000000000002</v>
      </c>
      <c r="AE115" s="1">
        <v>0.13500000000000001</v>
      </c>
      <c r="AF115" s="1">
        <v>0.104</v>
      </c>
      <c r="AG115" s="1">
        <v>-3</v>
      </c>
      <c r="AI115" s="1">
        <v>0</v>
      </c>
      <c r="AJ115" s="1">
        <v>0</v>
      </c>
      <c r="AK115" s="1">
        <v>0</v>
      </c>
      <c r="AL115" s="1">
        <v>1</v>
      </c>
      <c r="AM115" s="1">
        <v>86400</v>
      </c>
      <c r="AN115" s="1">
        <v>79116</v>
      </c>
      <c r="AO115" s="1">
        <v>7284</v>
      </c>
      <c r="AP115" s="1">
        <v>43374</v>
      </c>
      <c r="AQ115" s="1">
        <v>25.565098127340359</v>
      </c>
    </row>
    <row r="116" spans="1:43" x14ac:dyDescent="0.45">
      <c r="A116" s="1">
        <v>115</v>
      </c>
      <c r="B116" s="1">
        <v>351</v>
      </c>
      <c r="C116" s="1">
        <v>63</v>
      </c>
      <c r="D116" s="1" t="s">
        <v>76</v>
      </c>
      <c r="E116" s="1" t="s">
        <v>77</v>
      </c>
      <c r="F116" s="1" t="s">
        <v>78</v>
      </c>
      <c r="G116" s="1" t="s">
        <v>46</v>
      </c>
      <c r="H116" s="1" t="s">
        <v>47</v>
      </c>
      <c r="I116" s="1">
        <v>1247</v>
      </c>
      <c r="J116" s="1">
        <v>27398</v>
      </c>
      <c r="K116" s="1">
        <v>1</v>
      </c>
      <c r="L116" s="1">
        <v>62</v>
      </c>
      <c r="M116" s="1">
        <v>1452</v>
      </c>
      <c r="N116" s="1" t="s">
        <v>48</v>
      </c>
      <c r="O116" s="1">
        <v>184182</v>
      </c>
      <c r="P116" s="1">
        <v>91</v>
      </c>
      <c r="Q116" s="1" t="s">
        <v>106</v>
      </c>
      <c r="R116" s="1" t="s">
        <v>50</v>
      </c>
      <c r="S116" s="1">
        <v>0</v>
      </c>
      <c r="T116" s="1">
        <v>0</v>
      </c>
      <c r="U116" s="1">
        <v>51.722999999999999</v>
      </c>
      <c r="V116" s="1">
        <v>24.972999999999999</v>
      </c>
      <c r="W116" s="1">
        <v>0.54</v>
      </c>
      <c r="X116" s="1">
        <v>0.23100000000000001</v>
      </c>
      <c r="Y116" s="1">
        <v>25.204999999999998</v>
      </c>
      <c r="Z116" s="1">
        <v>0.115</v>
      </c>
      <c r="AA116" s="1">
        <v>-2.8</v>
      </c>
      <c r="AB116" s="1">
        <v>-2.8</v>
      </c>
      <c r="AC116" s="1">
        <v>-2.8</v>
      </c>
      <c r="AD116" s="1">
        <v>0.23100000000000001</v>
      </c>
      <c r="AE116" s="1">
        <v>0.115</v>
      </c>
      <c r="AF116" s="1">
        <v>2.7E-2</v>
      </c>
      <c r="AG116" s="1">
        <v>-2.8</v>
      </c>
      <c r="AI116" s="1">
        <v>0</v>
      </c>
      <c r="AJ116" s="1">
        <v>0</v>
      </c>
      <c r="AK116" s="1">
        <v>0</v>
      </c>
      <c r="AL116" s="1">
        <v>1</v>
      </c>
      <c r="AM116" s="1">
        <v>86400</v>
      </c>
      <c r="AN116" s="1">
        <v>81035</v>
      </c>
      <c r="AO116" s="1">
        <v>5365</v>
      </c>
      <c r="AP116" s="1">
        <v>47312</v>
      </c>
      <c r="AQ116" s="1">
        <v>12.851985611736319</v>
      </c>
    </row>
    <row r="117" spans="1:43" x14ac:dyDescent="0.45">
      <c r="A117" s="1">
        <v>116</v>
      </c>
      <c r="B117" s="1">
        <v>351</v>
      </c>
      <c r="C117" s="1">
        <v>63</v>
      </c>
      <c r="D117" s="1" t="s">
        <v>76</v>
      </c>
      <c r="E117" s="1" t="s">
        <v>77</v>
      </c>
      <c r="F117" s="1" t="s">
        <v>78</v>
      </c>
      <c r="G117" s="1" t="s">
        <v>46</v>
      </c>
      <c r="H117" s="1" t="s">
        <v>47</v>
      </c>
      <c r="I117" s="1">
        <v>1247</v>
      </c>
      <c r="J117" s="1">
        <v>27398</v>
      </c>
      <c r="K117" s="1">
        <v>1</v>
      </c>
      <c r="L117" s="1">
        <v>62</v>
      </c>
      <c r="M117" s="1">
        <v>1453</v>
      </c>
      <c r="N117" s="1" t="s">
        <v>48</v>
      </c>
      <c r="O117" s="1">
        <v>184187</v>
      </c>
      <c r="P117" s="1">
        <v>91</v>
      </c>
      <c r="Q117" s="1" t="s">
        <v>106</v>
      </c>
      <c r="R117" s="1" t="s">
        <v>50</v>
      </c>
      <c r="S117" s="1">
        <v>0</v>
      </c>
      <c r="T117" s="1">
        <v>0</v>
      </c>
      <c r="U117" s="1">
        <v>148.02699999999999</v>
      </c>
      <c r="V117" s="1">
        <v>25.082999999999998</v>
      </c>
      <c r="W117" s="1">
        <v>0.52</v>
      </c>
      <c r="X117" s="1">
        <v>0.13600000000000001</v>
      </c>
      <c r="Y117" s="1">
        <v>25.219000000000001</v>
      </c>
      <c r="Z117" s="1">
        <v>0.25700000000000001</v>
      </c>
      <c r="AA117" s="1">
        <v>1.9</v>
      </c>
      <c r="AB117" s="1">
        <v>1.9</v>
      </c>
      <c r="AC117" s="1">
        <v>1.9</v>
      </c>
      <c r="AD117" s="1">
        <v>0.13600000000000001</v>
      </c>
      <c r="AE117" s="1">
        <v>0.25600000000000001</v>
      </c>
      <c r="AF117" s="1">
        <v>3.5000000000000003E-2</v>
      </c>
      <c r="AG117" s="1">
        <v>1.9</v>
      </c>
      <c r="AI117" s="1">
        <v>0</v>
      </c>
      <c r="AJ117" s="1">
        <v>0</v>
      </c>
      <c r="AK117" s="1">
        <v>0</v>
      </c>
      <c r="AL117" s="1">
        <v>1</v>
      </c>
      <c r="AM117" s="1">
        <v>86400</v>
      </c>
      <c r="AN117" s="1">
        <v>81159</v>
      </c>
      <c r="AO117" s="1">
        <v>5241</v>
      </c>
      <c r="AP117" s="1">
        <v>43560</v>
      </c>
      <c r="AQ117" s="1">
        <v>2.804081138854984</v>
      </c>
    </row>
    <row r="118" spans="1:43" x14ac:dyDescent="0.45">
      <c r="A118" s="1">
        <v>117</v>
      </c>
      <c r="B118" s="1">
        <v>384</v>
      </c>
      <c r="C118" s="1">
        <v>19</v>
      </c>
      <c r="D118" s="1" t="s">
        <v>102</v>
      </c>
      <c r="E118" s="1" t="s">
        <v>103</v>
      </c>
      <c r="F118" s="1" t="s">
        <v>104</v>
      </c>
      <c r="G118" s="1" t="s">
        <v>46</v>
      </c>
      <c r="H118" s="1" t="s">
        <v>47</v>
      </c>
      <c r="I118" s="1">
        <v>806</v>
      </c>
      <c r="J118" s="1">
        <v>27768</v>
      </c>
      <c r="K118" s="1">
        <v>1</v>
      </c>
      <c r="L118" s="1">
        <v>18</v>
      </c>
      <c r="M118" s="1">
        <v>1481</v>
      </c>
      <c r="N118" s="1" t="s">
        <v>48</v>
      </c>
      <c r="O118" s="1">
        <v>185253</v>
      </c>
      <c r="P118" s="1">
        <v>91</v>
      </c>
      <c r="Q118" s="1" t="s">
        <v>106</v>
      </c>
      <c r="R118" s="1" t="s">
        <v>50</v>
      </c>
      <c r="S118" s="1">
        <v>0</v>
      </c>
      <c r="T118" s="1">
        <v>0</v>
      </c>
      <c r="U118" s="1">
        <v>256.815</v>
      </c>
      <c r="V118" s="1">
        <v>24.222999999999999</v>
      </c>
      <c r="W118" s="1">
        <v>0.52</v>
      </c>
      <c r="X118" s="1">
        <v>0.104</v>
      </c>
      <c r="Y118" s="1">
        <v>24.327999999999999</v>
      </c>
      <c r="Z118" s="1">
        <v>0.222</v>
      </c>
      <c r="AA118" s="1">
        <v>2.9</v>
      </c>
      <c r="AB118" s="1">
        <v>3</v>
      </c>
      <c r="AC118" s="1">
        <v>3</v>
      </c>
      <c r="AD118" s="1">
        <v>0.104</v>
      </c>
      <c r="AE118" s="1">
        <v>0.22</v>
      </c>
      <c r="AF118" s="1">
        <v>2.3E-2</v>
      </c>
      <c r="AG118" s="1">
        <v>2.9</v>
      </c>
      <c r="AI118" s="1">
        <v>0</v>
      </c>
      <c r="AJ118" s="1">
        <v>0</v>
      </c>
      <c r="AK118" s="1">
        <v>0</v>
      </c>
      <c r="AL118" s="1">
        <v>1</v>
      </c>
      <c r="AM118" s="1">
        <v>86400</v>
      </c>
      <c r="AN118" s="1">
        <v>80001</v>
      </c>
      <c r="AO118" s="1">
        <v>6399</v>
      </c>
      <c r="AP118" s="1">
        <v>46833</v>
      </c>
      <c r="AQ118" s="1">
        <v>13.49032915473626</v>
      </c>
    </row>
    <row r="119" spans="1:43" x14ac:dyDescent="0.45">
      <c r="A119" s="1">
        <v>118</v>
      </c>
      <c r="B119" s="1">
        <v>425</v>
      </c>
      <c r="C119" s="1">
        <v>24</v>
      </c>
      <c r="D119" s="1" t="s">
        <v>73</v>
      </c>
      <c r="E119" s="1" t="s">
        <v>74</v>
      </c>
      <c r="F119" s="1" t="s">
        <v>75</v>
      </c>
      <c r="G119" s="1" t="s">
        <v>46</v>
      </c>
      <c r="H119" s="1" t="s">
        <v>47</v>
      </c>
      <c r="I119" s="1">
        <v>586</v>
      </c>
      <c r="J119" s="1">
        <v>18129</v>
      </c>
      <c r="K119" s="1">
        <v>1</v>
      </c>
      <c r="L119" s="1">
        <v>23</v>
      </c>
      <c r="M119" s="1">
        <v>1446</v>
      </c>
      <c r="N119" s="1" t="s">
        <v>48</v>
      </c>
      <c r="O119" s="1">
        <v>183748</v>
      </c>
      <c r="P119" s="1">
        <v>91</v>
      </c>
      <c r="Q119" s="1" t="s">
        <v>106</v>
      </c>
      <c r="R119" s="1" t="s">
        <v>50</v>
      </c>
      <c r="S119" s="1">
        <v>0</v>
      </c>
      <c r="T119" s="1">
        <v>0</v>
      </c>
      <c r="U119" s="1">
        <v>288.11500000000001</v>
      </c>
      <c r="V119" s="1">
        <v>27.244</v>
      </c>
      <c r="W119" s="1">
        <v>0.56000000000000005</v>
      </c>
      <c r="X119" s="1">
        <v>0.375</v>
      </c>
      <c r="Y119" s="1">
        <v>27.619</v>
      </c>
      <c r="Z119" s="1">
        <v>0.189</v>
      </c>
      <c r="AA119" s="1">
        <v>-2.4</v>
      </c>
      <c r="AB119" s="1">
        <v>-2.4</v>
      </c>
      <c r="AC119" s="1">
        <v>-2.4</v>
      </c>
      <c r="AD119" s="1">
        <v>0.375</v>
      </c>
      <c r="AE119" s="1">
        <v>0.189</v>
      </c>
      <c r="AF119" s="1">
        <v>7.0999999999999994E-2</v>
      </c>
      <c r="AG119" s="1">
        <v>-2.4</v>
      </c>
      <c r="AI119" s="1">
        <v>0</v>
      </c>
      <c r="AJ119" s="1">
        <v>0</v>
      </c>
      <c r="AK119" s="1">
        <v>0</v>
      </c>
      <c r="AL119" s="1">
        <v>1</v>
      </c>
      <c r="AM119" s="1">
        <v>86400</v>
      </c>
      <c r="AN119" s="1">
        <v>80347</v>
      </c>
      <c r="AO119" s="1">
        <v>6053</v>
      </c>
      <c r="AP119" s="1">
        <v>43332</v>
      </c>
      <c r="AQ119" s="1">
        <v>17.13936196617848</v>
      </c>
    </row>
    <row r="120" spans="1:43" x14ac:dyDescent="0.45">
      <c r="A120" s="1">
        <v>119</v>
      </c>
      <c r="B120" s="1">
        <v>425</v>
      </c>
      <c r="C120" s="1">
        <v>24</v>
      </c>
      <c r="D120" s="1" t="s">
        <v>73</v>
      </c>
      <c r="E120" s="1" t="s">
        <v>74</v>
      </c>
      <c r="F120" s="1" t="s">
        <v>75</v>
      </c>
      <c r="G120" s="1" t="s">
        <v>46</v>
      </c>
      <c r="H120" s="1" t="s">
        <v>47</v>
      </c>
      <c r="I120" s="1">
        <v>586</v>
      </c>
      <c r="J120" s="1">
        <v>18129</v>
      </c>
      <c r="K120" s="1">
        <v>1</v>
      </c>
      <c r="L120" s="1">
        <v>23</v>
      </c>
      <c r="M120" s="1">
        <v>1447</v>
      </c>
      <c r="N120" s="1" t="s">
        <v>48</v>
      </c>
      <c r="O120" s="1">
        <v>183760</v>
      </c>
      <c r="P120" s="1">
        <v>91</v>
      </c>
      <c r="Q120" s="1" t="s">
        <v>106</v>
      </c>
      <c r="R120" s="1" t="s">
        <v>50</v>
      </c>
      <c r="S120" s="1">
        <v>0</v>
      </c>
      <c r="T120" s="1">
        <v>0</v>
      </c>
      <c r="U120" s="1">
        <v>463.62599999999998</v>
      </c>
      <c r="V120" s="1">
        <v>27.099</v>
      </c>
      <c r="W120" s="1">
        <v>0.52</v>
      </c>
      <c r="X120" s="1">
        <v>0.127</v>
      </c>
      <c r="Y120" s="1">
        <v>27.225999999999999</v>
      </c>
      <c r="Z120" s="1">
        <v>0.11799999999999999</v>
      </c>
      <c r="AA120" s="1">
        <v>-1.5</v>
      </c>
      <c r="AB120" s="1">
        <v>-1.5</v>
      </c>
      <c r="AC120" s="1">
        <v>-1.5</v>
      </c>
      <c r="AD120" s="1">
        <v>0.127</v>
      </c>
      <c r="AE120" s="1">
        <v>0.11700000000000001</v>
      </c>
      <c r="AF120" s="1">
        <v>1.4999999999999999E-2</v>
      </c>
      <c r="AG120" s="1">
        <v>-1.5</v>
      </c>
      <c r="AI120" s="1">
        <v>0</v>
      </c>
      <c r="AJ120" s="1">
        <v>0</v>
      </c>
      <c r="AK120" s="1">
        <v>0</v>
      </c>
      <c r="AL120" s="1">
        <v>1</v>
      </c>
      <c r="AM120" s="1">
        <v>86400</v>
      </c>
      <c r="AN120" s="1">
        <v>78269</v>
      </c>
      <c r="AO120" s="1">
        <v>8128</v>
      </c>
      <c r="AP120" s="1">
        <v>47124</v>
      </c>
      <c r="AQ120" s="1">
        <v>22.064773613282629</v>
      </c>
    </row>
    <row r="121" spans="1:43" x14ac:dyDescent="0.45">
      <c r="A121" s="1">
        <v>120</v>
      </c>
      <c r="B121" s="1">
        <v>425</v>
      </c>
      <c r="C121" s="1">
        <v>24</v>
      </c>
      <c r="D121" s="1" t="s">
        <v>73</v>
      </c>
      <c r="E121" s="1" t="s">
        <v>74</v>
      </c>
      <c r="F121" s="1" t="s">
        <v>75</v>
      </c>
      <c r="G121" s="1" t="s">
        <v>46</v>
      </c>
      <c r="H121" s="1" t="s">
        <v>47</v>
      </c>
      <c r="I121" s="1">
        <v>586</v>
      </c>
      <c r="J121" s="1">
        <v>18129</v>
      </c>
      <c r="K121" s="1">
        <v>1</v>
      </c>
      <c r="L121" s="1">
        <v>23</v>
      </c>
      <c r="M121" s="1">
        <v>1448</v>
      </c>
      <c r="N121" s="1" t="s">
        <v>48</v>
      </c>
      <c r="O121" s="1">
        <v>183770</v>
      </c>
      <c r="P121" s="1">
        <v>91</v>
      </c>
      <c r="Q121" s="1" t="s">
        <v>106</v>
      </c>
      <c r="R121" s="1" t="s">
        <v>50</v>
      </c>
      <c r="S121" s="1">
        <v>0</v>
      </c>
      <c r="T121" s="1">
        <v>0</v>
      </c>
      <c r="U121" s="1">
        <v>134.53299999999999</v>
      </c>
      <c r="V121" s="1">
        <v>25.527000000000001</v>
      </c>
      <c r="W121" s="1">
        <v>1.29</v>
      </c>
      <c r="X121" s="1">
        <v>1.752</v>
      </c>
      <c r="Y121" s="1">
        <v>27.279</v>
      </c>
      <c r="Z121" s="1">
        <v>0.14599999999999999</v>
      </c>
      <c r="AA121" s="1">
        <v>2.7</v>
      </c>
      <c r="AB121" s="1">
        <v>2.7</v>
      </c>
      <c r="AC121" s="1">
        <v>2.7</v>
      </c>
      <c r="AD121" s="1">
        <v>1.752</v>
      </c>
      <c r="AE121" s="1">
        <v>0.14599999999999999</v>
      </c>
      <c r="AF121" s="1">
        <v>0.25600000000000001</v>
      </c>
      <c r="AG121" s="1">
        <v>2.7</v>
      </c>
      <c r="AI121" s="1">
        <v>0</v>
      </c>
      <c r="AJ121" s="1">
        <v>0</v>
      </c>
      <c r="AK121" s="1">
        <v>0</v>
      </c>
      <c r="AL121" s="1">
        <v>1</v>
      </c>
      <c r="AM121" s="1">
        <v>86400</v>
      </c>
      <c r="AN121" s="1">
        <v>79534</v>
      </c>
      <c r="AO121" s="1">
        <v>6866</v>
      </c>
      <c r="AP121" s="1">
        <v>43446</v>
      </c>
      <c r="AQ121" s="1">
        <v>15.60055264735368</v>
      </c>
    </row>
    <row r="122" spans="1:43" x14ac:dyDescent="0.45">
      <c r="A122" s="1">
        <v>121</v>
      </c>
      <c r="B122" s="1">
        <v>425</v>
      </c>
      <c r="C122" s="1">
        <v>24</v>
      </c>
      <c r="D122" s="1" t="s">
        <v>73</v>
      </c>
      <c r="E122" s="1" t="s">
        <v>74</v>
      </c>
      <c r="F122" s="1" t="s">
        <v>75</v>
      </c>
      <c r="G122" s="1" t="s">
        <v>46</v>
      </c>
      <c r="H122" s="1" t="s">
        <v>47</v>
      </c>
      <c r="I122" s="1">
        <v>586</v>
      </c>
      <c r="J122" s="1">
        <v>18129</v>
      </c>
      <c r="K122" s="1">
        <v>1</v>
      </c>
      <c r="L122" s="1">
        <v>23</v>
      </c>
      <c r="M122" s="1">
        <v>1449</v>
      </c>
      <c r="N122" s="1" t="s">
        <v>48</v>
      </c>
      <c r="O122" s="1">
        <v>183771</v>
      </c>
      <c r="P122" s="1">
        <v>91</v>
      </c>
      <c r="Q122" s="1" t="s">
        <v>106</v>
      </c>
      <c r="R122" s="1" t="s">
        <v>50</v>
      </c>
      <c r="S122" s="1">
        <v>0</v>
      </c>
      <c r="T122" s="1">
        <v>0</v>
      </c>
      <c r="U122" s="1">
        <v>106.956</v>
      </c>
      <c r="V122" s="1">
        <v>27.111999999999998</v>
      </c>
      <c r="W122" s="1">
        <v>0.53</v>
      </c>
      <c r="X122" s="1">
        <v>0.16800000000000001</v>
      </c>
      <c r="Y122" s="1">
        <v>27.28</v>
      </c>
      <c r="Z122" s="1">
        <v>0.20599999999999999</v>
      </c>
      <c r="AA122" s="1">
        <v>-1.1000000000000001</v>
      </c>
      <c r="AB122" s="1">
        <v>-1.1000000000000001</v>
      </c>
      <c r="AC122" s="1">
        <v>-1.1000000000000001</v>
      </c>
      <c r="AD122" s="1">
        <v>0.16800000000000001</v>
      </c>
      <c r="AE122" s="1">
        <v>0.20599999999999999</v>
      </c>
      <c r="AF122" s="1">
        <v>3.5000000000000003E-2</v>
      </c>
      <c r="AG122" s="1">
        <v>-1.1000000000000001</v>
      </c>
      <c r="AI122" s="1">
        <v>0</v>
      </c>
      <c r="AJ122" s="1">
        <v>0</v>
      </c>
      <c r="AK122" s="1">
        <v>0</v>
      </c>
      <c r="AL122" s="1">
        <v>1</v>
      </c>
      <c r="AM122" s="1">
        <v>86400</v>
      </c>
      <c r="AN122" s="1">
        <v>79386</v>
      </c>
      <c r="AO122" s="1">
        <v>7014</v>
      </c>
      <c r="AP122" s="1">
        <v>43443</v>
      </c>
      <c r="AQ122" s="1">
        <v>5.9693195119678606</v>
      </c>
    </row>
    <row r="123" spans="1:43" x14ac:dyDescent="0.45">
      <c r="A123" s="1">
        <v>122</v>
      </c>
      <c r="B123" s="1">
        <v>431</v>
      </c>
      <c r="C123" s="1">
        <v>91</v>
      </c>
      <c r="D123" s="1" t="s">
        <v>79</v>
      </c>
      <c r="E123" s="1" t="s">
        <v>80</v>
      </c>
      <c r="F123" s="1" t="s">
        <v>81</v>
      </c>
      <c r="G123" s="1" t="s">
        <v>54</v>
      </c>
      <c r="H123" s="1" t="s">
        <v>47</v>
      </c>
      <c r="I123" s="1">
        <v>764</v>
      </c>
      <c r="J123" s="1">
        <v>21102</v>
      </c>
      <c r="K123" s="1">
        <v>1</v>
      </c>
      <c r="L123" s="1">
        <v>90</v>
      </c>
      <c r="M123" s="1">
        <v>1456</v>
      </c>
      <c r="N123" s="1" t="s">
        <v>48</v>
      </c>
      <c r="O123" s="1">
        <v>184863</v>
      </c>
      <c r="P123" s="1">
        <v>91</v>
      </c>
      <c r="Q123" s="1" t="s">
        <v>106</v>
      </c>
      <c r="R123" s="1" t="s">
        <v>50</v>
      </c>
      <c r="S123" s="1">
        <v>0</v>
      </c>
      <c r="T123" s="1">
        <v>0</v>
      </c>
      <c r="U123" s="1">
        <v>325.68799999999999</v>
      </c>
      <c r="V123" s="1">
        <v>24.777999999999999</v>
      </c>
      <c r="W123" s="1">
        <v>0.53</v>
      </c>
      <c r="X123" s="1">
        <v>0.16200000000000001</v>
      </c>
      <c r="Y123" s="1">
        <v>24.94</v>
      </c>
      <c r="Z123" s="1">
        <v>9.8000000000000004E-2</v>
      </c>
      <c r="AA123" s="1">
        <v>1.6</v>
      </c>
      <c r="AB123" s="1">
        <v>1.6</v>
      </c>
      <c r="AC123" s="1">
        <v>1.6</v>
      </c>
      <c r="AD123" s="1">
        <v>0.16200000000000001</v>
      </c>
      <c r="AE123" s="1">
        <v>9.8000000000000004E-2</v>
      </c>
      <c r="AF123" s="1">
        <v>1.6E-2</v>
      </c>
      <c r="AG123" s="1">
        <v>1.6</v>
      </c>
      <c r="AI123" s="1">
        <v>0</v>
      </c>
      <c r="AJ123" s="1">
        <v>0</v>
      </c>
      <c r="AK123" s="1">
        <v>0</v>
      </c>
      <c r="AL123" s="1">
        <v>1</v>
      </c>
      <c r="AM123" s="1">
        <v>86400</v>
      </c>
      <c r="AN123" s="1">
        <v>80692</v>
      </c>
      <c r="AO123" s="1">
        <v>5708</v>
      </c>
      <c r="AP123" s="1">
        <v>43569</v>
      </c>
      <c r="AQ123" s="1">
        <v>1.7066617168632481</v>
      </c>
    </row>
    <row r="124" spans="1:43" x14ac:dyDescent="0.45">
      <c r="A124" s="1">
        <v>123</v>
      </c>
      <c r="B124" s="1">
        <v>439</v>
      </c>
      <c r="C124" s="1">
        <v>94</v>
      </c>
      <c r="D124" s="1" t="s">
        <v>82</v>
      </c>
      <c r="E124" s="1" t="s">
        <v>83</v>
      </c>
      <c r="F124" s="1" t="s">
        <v>84</v>
      </c>
      <c r="G124" s="1" t="s">
        <v>46</v>
      </c>
      <c r="H124" s="1" t="s">
        <v>47</v>
      </c>
      <c r="I124" s="1">
        <v>490</v>
      </c>
      <c r="J124" s="1">
        <v>12595</v>
      </c>
      <c r="K124" s="1">
        <v>1</v>
      </c>
      <c r="L124" s="1">
        <v>93</v>
      </c>
      <c r="M124" s="1">
        <v>1463</v>
      </c>
      <c r="N124" s="1" t="s">
        <v>48</v>
      </c>
      <c r="O124" s="1">
        <v>184940</v>
      </c>
      <c r="P124" s="1">
        <v>91</v>
      </c>
      <c r="Q124" s="1" t="s">
        <v>106</v>
      </c>
      <c r="R124" s="1" t="s">
        <v>50</v>
      </c>
      <c r="S124" s="1">
        <v>0</v>
      </c>
      <c r="T124" s="1">
        <v>0</v>
      </c>
      <c r="U124" s="1">
        <v>261.22399999999999</v>
      </c>
      <c r="V124" s="1">
        <v>23.815999999999999</v>
      </c>
      <c r="W124" s="1">
        <v>0.57999999999999996</v>
      </c>
      <c r="X124" s="1">
        <v>0.443</v>
      </c>
      <c r="Y124" s="1">
        <v>24.26</v>
      </c>
      <c r="Z124" s="1">
        <v>0.33900000000000002</v>
      </c>
      <c r="AA124" s="1">
        <v>-1.9</v>
      </c>
      <c r="AB124" s="1">
        <v>-1.9</v>
      </c>
      <c r="AC124" s="1">
        <v>-1.9</v>
      </c>
      <c r="AD124" s="1">
        <v>0.443</v>
      </c>
      <c r="AE124" s="1">
        <v>0.33900000000000002</v>
      </c>
      <c r="AF124" s="1">
        <v>0.15</v>
      </c>
      <c r="AG124" s="1">
        <v>-1.9</v>
      </c>
      <c r="AI124" s="1">
        <v>0</v>
      </c>
      <c r="AJ124" s="1">
        <v>0</v>
      </c>
      <c r="AK124" s="1">
        <v>0</v>
      </c>
      <c r="AL124" s="1">
        <v>1</v>
      </c>
      <c r="AM124" s="1">
        <v>86400</v>
      </c>
      <c r="AN124" s="1">
        <v>81198</v>
      </c>
      <c r="AO124" s="1">
        <v>5202</v>
      </c>
      <c r="AP124" s="1">
        <v>46980</v>
      </c>
      <c r="AQ124" s="1">
        <v>42.510154089918373</v>
      </c>
    </row>
    <row r="125" spans="1:43" x14ac:dyDescent="0.45">
      <c r="A125" s="1">
        <v>124</v>
      </c>
      <c r="B125" s="1">
        <v>439</v>
      </c>
      <c r="C125" s="1">
        <v>94</v>
      </c>
      <c r="D125" s="1" t="s">
        <v>82</v>
      </c>
      <c r="E125" s="1" t="s">
        <v>83</v>
      </c>
      <c r="F125" s="1" t="s">
        <v>84</v>
      </c>
      <c r="G125" s="1" t="s">
        <v>46</v>
      </c>
      <c r="H125" s="1" t="s">
        <v>47</v>
      </c>
      <c r="I125" s="1">
        <v>490</v>
      </c>
      <c r="J125" s="1">
        <v>12595</v>
      </c>
      <c r="K125" s="1">
        <v>1</v>
      </c>
      <c r="L125" s="1">
        <v>93</v>
      </c>
      <c r="M125" s="1">
        <v>1465</v>
      </c>
      <c r="N125" s="1" t="s">
        <v>48</v>
      </c>
      <c r="O125" s="1">
        <v>185010</v>
      </c>
      <c r="P125" s="1">
        <v>91</v>
      </c>
      <c r="Q125" s="1" t="s">
        <v>106</v>
      </c>
      <c r="R125" s="1" t="s">
        <v>50</v>
      </c>
      <c r="S125" s="1">
        <v>0</v>
      </c>
      <c r="T125" s="1">
        <v>0</v>
      </c>
      <c r="U125" s="1">
        <v>53.661000000000001</v>
      </c>
      <c r="V125" s="1">
        <v>23.934999999999999</v>
      </c>
      <c r="W125" s="1">
        <v>0.53</v>
      </c>
      <c r="X125" s="1">
        <v>0.13200000000000001</v>
      </c>
      <c r="Y125" s="1">
        <v>24.067</v>
      </c>
      <c r="Z125" s="1">
        <v>1.1890000000000001</v>
      </c>
      <c r="AA125" s="1">
        <v>-2.9</v>
      </c>
      <c r="AB125" s="1">
        <v>-2.9</v>
      </c>
      <c r="AC125" s="1">
        <v>-2.9</v>
      </c>
      <c r="AD125" s="1">
        <v>0.13200000000000001</v>
      </c>
      <c r="AE125" s="1">
        <v>1.1870000000000001</v>
      </c>
      <c r="AF125" s="1">
        <v>0.156</v>
      </c>
      <c r="AG125" s="1">
        <v>-2.9</v>
      </c>
      <c r="AI125" s="1">
        <v>0</v>
      </c>
      <c r="AJ125" s="1">
        <v>0</v>
      </c>
      <c r="AK125" s="1">
        <v>0</v>
      </c>
      <c r="AL125" s="1">
        <v>1</v>
      </c>
      <c r="AM125" s="1">
        <v>86400</v>
      </c>
      <c r="AN125" s="1">
        <v>75856</v>
      </c>
      <c r="AO125" s="1">
        <v>10543</v>
      </c>
      <c r="AP125" s="1">
        <v>46901</v>
      </c>
      <c r="AQ125" s="1">
        <v>12.012680811710871</v>
      </c>
    </row>
    <row r="126" spans="1:43" x14ac:dyDescent="0.45">
      <c r="A126" s="1">
        <v>125</v>
      </c>
      <c r="B126" s="1">
        <v>439</v>
      </c>
      <c r="C126" s="1">
        <v>94</v>
      </c>
      <c r="D126" s="1" t="s">
        <v>82</v>
      </c>
      <c r="E126" s="1" t="s">
        <v>83</v>
      </c>
      <c r="F126" s="1" t="s">
        <v>84</v>
      </c>
      <c r="G126" s="1" t="s">
        <v>46</v>
      </c>
      <c r="H126" s="1" t="s">
        <v>47</v>
      </c>
      <c r="I126" s="1">
        <v>490</v>
      </c>
      <c r="J126" s="1">
        <v>12595</v>
      </c>
      <c r="K126" s="1">
        <v>1</v>
      </c>
      <c r="L126" s="1">
        <v>93</v>
      </c>
      <c r="M126" s="1">
        <v>1466</v>
      </c>
      <c r="N126" s="1" t="s">
        <v>48</v>
      </c>
      <c r="O126" s="1">
        <v>185014</v>
      </c>
      <c r="P126" s="1">
        <v>91</v>
      </c>
      <c r="Q126" s="1" t="s">
        <v>106</v>
      </c>
      <c r="R126" s="1" t="s">
        <v>50</v>
      </c>
      <c r="S126" s="1">
        <v>0</v>
      </c>
      <c r="T126" s="1">
        <v>0</v>
      </c>
      <c r="U126" s="1">
        <v>475.46899999999999</v>
      </c>
      <c r="V126" s="1">
        <v>23.841000000000001</v>
      </c>
      <c r="W126" s="1">
        <v>0.54</v>
      </c>
      <c r="X126" s="1">
        <v>0.19700000000000001</v>
      </c>
      <c r="Y126" s="1">
        <v>24.038</v>
      </c>
      <c r="Z126" s="1">
        <v>0.34399999999999997</v>
      </c>
      <c r="AA126" s="1">
        <v>-2.7</v>
      </c>
      <c r="AB126" s="1">
        <v>-2.7</v>
      </c>
      <c r="AC126" s="1">
        <v>-2.7</v>
      </c>
      <c r="AD126" s="1">
        <v>0.19700000000000001</v>
      </c>
      <c r="AE126" s="1">
        <v>0.34300000000000003</v>
      </c>
      <c r="AF126" s="1">
        <v>6.8000000000000005E-2</v>
      </c>
      <c r="AG126" s="1">
        <v>-2.7</v>
      </c>
      <c r="AI126" s="1">
        <v>0</v>
      </c>
      <c r="AJ126" s="1">
        <v>0</v>
      </c>
      <c r="AK126" s="1">
        <v>0</v>
      </c>
      <c r="AL126" s="1">
        <v>1</v>
      </c>
      <c r="AM126" s="1">
        <v>86400</v>
      </c>
      <c r="AN126" s="1">
        <v>79284</v>
      </c>
      <c r="AO126" s="1">
        <v>7116</v>
      </c>
      <c r="AP126" s="1">
        <v>46940</v>
      </c>
      <c r="AQ126" s="1">
        <v>45.30645802650001</v>
      </c>
    </row>
    <row r="127" spans="1:43" x14ac:dyDescent="0.45">
      <c r="A127" s="1">
        <v>126</v>
      </c>
      <c r="B127" s="1">
        <v>439</v>
      </c>
      <c r="C127" s="1">
        <v>94</v>
      </c>
      <c r="D127" s="1" t="s">
        <v>82</v>
      </c>
      <c r="E127" s="1" t="s">
        <v>83</v>
      </c>
      <c r="F127" s="1" t="s">
        <v>84</v>
      </c>
      <c r="G127" s="1" t="s">
        <v>46</v>
      </c>
      <c r="H127" s="1" t="s">
        <v>47</v>
      </c>
      <c r="I127" s="1">
        <v>490</v>
      </c>
      <c r="J127" s="1">
        <v>12595</v>
      </c>
      <c r="K127" s="1">
        <v>1</v>
      </c>
      <c r="L127" s="1">
        <v>93</v>
      </c>
      <c r="M127" s="1">
        <v>1468</v>
      </c>
      <c r="N127" s="1" t="s">
        <v>48</v>
      </c>
      <c r="O127" s="1">
        <v>185061</v>
      </c>
      <c r="P127" s="1">
        <v>91</v>
      </c>
      <c r="Q127" s="1" t="s">
        <v>106</v>
      </c>
      <c r="R127" s="1" t="s">
        <v>50</v>
      </c>
      <c r="S127" s="1">
        <v>0</v>
      </c>
      <c r="T127" s="1">
        <v>0</v>
      </c>
      <c r="U127" s="1">
        <v>504.226</v>
      </c>
      <c r="V127" s="1">
        <v>23.829000000000001</v>
      </c>
      <c r="W127" s="1">
        <v>0.54</v>
      </c>
      <c r="X127" s="1">
        <v>0.20699999999999999</v>
      </c>
      <c r="Y127" s="1">
        <v>24.036000000000001</v>
      </c>
      <c r="Z127" s="1">
        <v>0.35299999999999998</v>
      </c>
      <c r="AA127" s="1">
        <v>-2.9</v>
      </c>
      <c r="AB127" s="1">
        <v>-2.9</v>
      </c>
      <c r="AC127" s="1">
        <v>-2.9</v>
      </c>
      <c r="AD127" s="1">
        <v>0.20699999999999999</v>
      </c>
      <c r="AE127" s="1">
        <v>0.35199999999999998</v>
      </c>
      <c r="AF127" s="1">
        <v>7.2999999999999995E-2</v>
      </c>
      <c r="AG127" s="1">
        <v>-2.9</v>
      </c>
      <c r="AI127" s="1">
        <v>0</v>
      </c>
      <c r="AJ127" s="1">
        <v>0</v>
      </c>
      <c r="AK127" s="1">
        <v>0</v>
      </c>
      <c r="AL127" s="1">
        <v>1</v>
      </c>
      <c r="AM127" s="1">
        <v>86400</v>
      </c>
      <c r="AN127" s="1">
        <v>79684</v>
      </c>
      <c r="AO127" s="1">
        <v>6716</v>
      </c>
      <c r="AP127" s="1">
        <v>46971</v>
      </c>
      <c r="AQ127" s="1">
        <v>0.85267399366333962</v>
      </c>
    </row>
    <row r="128" spans="1:43" x14ac:dyDescent="0.45">
      <c r="A128" s="1">
        <v>127</v>
      </c>
      <c r="B128" s="1">
        <v>439</v>
      </c>
      <c r="C128" s="1">
        <v>94</v>
      </c>
      <c r="D128" s="1" t="s">
        <v>82</v>
      </c>
      <c r="E128" s="1" t="s">
        <v>83</v>
      </c>
      <c r="F128" s="1" t="s">
        <v>84</v>
      </c>
      <c r="G128" s="1" t="s">
        <v>46</v>
      </c>
      <c r="H128" s="1" t="s">
        <v>47</v>
      </c>
      <c r="I128" s="1">
        <v>490</v>
      </c>
      <c r="J128" s="1">
        <v>12595</v>
      </c>
      <c r="K128" s="1">
        <v>1</v>
      </c>
      <c r="L128" s="1">
        <v>93</v>
      </c>
      <c r="M128" s="1">
        <v>1469</v>
      </c>
      <c r="N128" s="1" t="s">
        <v>48</v>
      </c>
      <c r="O128" s="1">
        <v>185062</v>
      </c>
      <c r="P128" s="1">
        <v>91</v>
      </c>
      <c r="Q128" s="1" t="s">
        <v>106</v>
      </c>
      <c r="R128" s="1" t="s">
        <v>50</v>
      </c>
      <c r="S128" s="1">
        <v>0</v>
      </c>
      <c r="T128" s="1">
        <v>0</v>
      </c>
      <c r="U128" s="1">
        <v>817.89</v>
      </c>
      <c r="V128" s="1">
        <v>23.803000000000001</v>
      </c>
      <c r="W128" s="1">
        <v>0.54</v>
      </c>
      <c r="X128" s="1">
        <v>0.23400000000000001</v>
      </c>
      <c r="Y128" s="1">
        <v>24.036999999999999</v>
      </c>
      <c r="Z128" s="1">
        <v>0.377</v>
      </c>
      <c r="AA128" s="1">
        <v>-3</v>
      </c>
      <c r="AB128" s="1">
        <v>-3</v>
      </c>
      <c r="AC128" s="1">
        <v>-3</v>
      </c>
      <c r="AD128" s="1">
        <v>0.23400000000000001</v>
      </c>
      <c r="AE128" s="1">
        <v>0.376</v>
      </c>
      <c r="AF128" s="1">
        <v>8.7999999999999995E-2</v>
      </c>
      <c r="AG128" s="1">
        <v>-3</v>
      </c>
      <c r="AI128" s="1">
        <v>0</v>
      </c>
      <c r="AJ128" s="1">
        <v>0</v>
      </c>
      <c r="AK128" s="1">
        <v>0</v>
      </c>
      <c r="AL128" s="1">
        <v>1</v>
      </c>
      <c r="AM128" s="1">
        <v>86400</v>
      </c>
      <c r="AN128" s="1">
        <v>80843</v>
      </c>
      <c r="AO128" s="1">
        <v>5557</v>
      </c>
      <c r="AP128" s="1">
        <v>46928</v>
      </c>
      <c r="AQ128" s="1">
        <v>1.100552351128296</v>
      </c>
    </row>
    <row r="129" spans="1:43" x14ac:dyDescent="0.45">
      <c r="A129" s="1">
        <v>128</v>
      </c>
      <c r="B129" s="1">
        <v>439</v>
      </c>
      <c r="C129" s="1">
        <v>94</v>
      </c>
      <c r="D129" s="1" t="s">
        <v>82</v>
      </c>
      <c r="E129" s="1" t="s">
        <v>83</v>
      </c>
      <c r="F129" s="1" t="s">
        <v>84</v>
      </c>
      <c r="G129" s="1" t="s">
        <v>46</v>
      </c>
      <c r="H129" s="1" t="s">
        <v>47</v>
      </c>
      <c r="I129" s="1">
        <v>490</v>
      </c>
      <c r="J129" s="1">
        <v>12595</v>
      </c>
      <c r="K129" s="1">
        <v>1</v>
      </c>
      <c r="L129" s="1">
        <v>93</v>
      </c>
      <c r="M129" s="1">
        <v>1470</v>
      </c>
      <c r="N129" s="1" t="s">
        <v>48</v>
      </c>
      <c r="O129" s="1">
        <v>185063</v>
      </c>
      <c r="P129" s="1">
        <v>91</v>
      </c>
      <c r="Q129" s="1" t="s">
        <v>106</v>
      </c>
      <c r="R129" s="1" t="s">
        <v>50</v>
      </c>
      <c r="S129" s="1">
        <v>0</v>
      </c>
      <c r="T129" s="1">
        <v>0</v>
      </c>
      <c r="U129" s="1">
        <v>330.41199999999998</v>
      </c>
      <c r="V129" s="1">
        <v>23.858000000000001</v>
      </c>
      <c r="W129" s="1">
        <v>0.54</v>
      </c>
      <c r="X129" s="1">
        <v>0.18099999999999999</v>
      </c>
      <c r="Y129" s="1">
        <v>24.038</v>
      </c>
      <c r="Z129" s="1">
        <v>0.46200000000000002</v>
      </c>
      <c r="AA129" s="1">
        <v>-3</v>
      </c>
      <c r="AB129" s="1">
        <v>-3</v>
      </c>
      <c r="AC129" s="1">
        <v>-3</v>
      </c>
      <c r="AD129" s="1">
        <v>0.18099999999999999</v>
      </c>
      <c r="AE129" s="1">
        <v>0.46100000000000002</v>
      </c>
      <c r="AF129" s="1">
        <v>8.3000000000000004E-2</v>
      </c>
      <c r="AG129" s="1">
        <v>-3</v>
      </c>
      <c r="AI129" s="1">
        <v>0</v>
      </c>
      <c r="AJ129" s="1">
        <v>0</v>
      </c>
      <c r="AK129" s="1">
        <v>0</v>
      </c>
      <c r="AL129" s="1">
        <v>1</v>
      </c>
      <c r="AM129" s="1">
        <v>86400</v>
      </c>
      <c r="AN129" s="1">
        <v>78682</v>
      </c>
      <c r="AO129" s="1">
        <v>7718</v>
      </c>
      <c r="AP129" s="1">
        <v>46969</v>
      </c>
      <c r="AQ129" s="1">
        <v>25.41992129785066</v>
      </c>
    </row>
    <row r="130" spans="1:43" x14ac:dyDescent="0.45">
      <c r="A130" s="1">
        <v>129</v>
      </c>
      <c r="B130" s="1">
        <v>439</v>
      </c>
      <c r="C130" s="1">
        <v>94</v>
      </c>
      <c r="D130" s="1" t="s">
        <v>82</v>
      </c>
      <c r="E130" s="1" t="s">
        <v>83</v>
      </c>
      <c r="F130" s="1" t="s">
        <v>84</v>
      </c>
      <c r="G130" s="1" t="s">
        <v>46</v>
      </c>
      <c r="H130" s="1" t="s">
        <v>47</v>
      </c>
      <c r="I130" s="1">
        <v>490</v>
      </c>
      <c r="J130" s="1">
        <v>12595</v>
      </c>
      <c r="K130" s="1">
        <v>1</v>
      </c>
      <c r="L130" s="1">
        <v>93</v>
      </c>
      <c r="M130" s="1">
        <v>1471</v>
      </c>
      <c r="N130" s="1" t="s">
        <v>48</v>
      </c>
      <c r="O130" s="1">
        <v>185064</v>
      </c>
      <c r="P130" s="1">
        <v>91</v>
      </c>
      <c r="Q130" s="1" t="s">
        <v>106</v>
      </c>
      <c r="R130" s="1" t="s">
        <v>50</v>
      </c>
      <c r="S130" s="1">
        <v>0</v>
      </c>
      <c r="T130" s="1">
        <v>0</v>
      </c>
      <c r="U130" s="1">
        <v>177.54</v>
      </c>
      <c r="V130" s="1">
        <v>23.756</v>
      </c>
      <c r="W130" s="1">
        <v>0.56000000000000005</v>
      </c>
      <c r="X130" s="1">
        <v>0.27200000000000002</v>
      </c>
      <c r="Y130" s="1">
        <v>24.027999999999999</v>
      </c>
      <c r="Z130" s="1">
        <v>0.69499999999999995</v>
      </c>
      <c r="AA130" s="1">
        <v>-2.9</v>
      </c>
      <c r="AB130" s="1">
        <v>-2.9</v>
      </c>
      <c r="AC130" s="1">
        <v>-2.9</v>
      </c>
      <c r="AD130" s="1">
        <v>0.27200000000000002</v>
      </c>
      <c r="AE130" s="1">
        <v>0.69399999999999995</v>
      </c>
      <c r="AF130" s="1">
        <v>0.189</v>
      </c>
      <c r="AG130" s="1">
        <v>-2.9</v>
      </c>
      <c r="AI130" s="1">
        <v>0</v>
      </c>
      <c r="AJ130" s="1">
        <v>0</v>
      </c>
      <c r="AK130" s="1">
        <v>0</v>
      </c>
      <c r="AL130" s="1">
        <v>1</v>
      </c>
      <c r="AM130" s="1">
        <v>86400</v>
      </c>
      <c r="AN130" s="1">
        <v>80946</v>
      </c>
      <c r="AO130" s="1">
        <v>5454</v>
      </c>
      <c r="AP130" s="1">
        <v>47029</v>
      </c>
      <c r="AQ130" s="1">
        <v>1.259733542848309</v>
      </c>
    </row>
    <row r="131" spans="1:43" x14ac:dyDescent="0.45">
      <c r="A131" s="1">
        <v>130</v>
      </c>
      <c r="B131" s="1">
        <v>439</v>
      </c>
      <c r="C131" s="1">
        <v>94</v>
      </c>
      <c r="D131" s="1" t="s">
        <v>82</v>
      </c>
      <c r="E131" s="1" t="s">
        <v>83</v>
      </c>
      <c r="F131" s="1" t="s">
        <v>84</v>
      </c>
      <c r="G131" s="1" t="s">
        <v>46</v>
      </c>
      <c r="H131" s="1" t="s">
        <v>47</v>
      </c>
      <c r="I131" s="1">
        <v>490</v>
      </c>
      <c r="J131" s="1">
        <v>12595</v>
      </c>
      <c r="K131" s="1">
        <v>1</v>
      </c>
      <c r="L131" s="1">
        <v>93</v>
      </c>
      <c r="M131" s="1">
        <v>1472</v>
      </c>
      <c r="N131" s="1" t="s">
        <v>48</v>
      </c>
      <c r="O131" s="1">
        <v>185065</v>
      </c>
      <c r="P131" s="1">
        <v>91</v>
      </c>
      <c r="Q131" s="1" t="s">
        <v>106</v>
      </c>
      <c r="R131" s="1" t="s">
        <v>50</v>
      </c>
      <c r="S131" s="1">
        <v>0</v>
      </c>
      <c r="T131" s="1">
        <v>0</v>
      </c>
      <c r="U131" s="1">
        <v>55.773000000000003</v>
      </c>
      <c r="V131" s="1">
        <v>23.952999999999999</v>
      </c>
      <c r="W131" s="1">
        <v>0.53</v>
      </c>
      <c r="X131" s="1">
        <v>0.10199999999999999</v>
      </c>
      <c r="Y131" s="1">
        <v>24.055</v>
      </c>
      <c r="Z131" s="1">
        <v>1.6970000000000001</v>
      </c>
      <c r="AA131" s="1">
        <v>-3</v>
      </c>
      <c r="AB131" s="1">
        <v>-3</v>
      </c>
      <c r="AC131" s="1">
        <v>-3</v>
      </c>
      <c r="AD131" s="1">
        <v>0.10199999999999999</v>
      </c>
      <c r="AE131" s="1">
        <v>1.6950000000000001</v>
      </c>
      <c r="AF131" s="1">
        <v>0.17299999999999999</v>
      </c>
      <c r="AG131" s="1">
        <v>-3</v>
      </c>
      <c r="AI131" s="1">
        <v>0</v>
      </c>
      <c r="AJ131" s="1">
        <v>0</v>
      </c>
      <c r="AK131" s="1">
        <v>0</v>
      </c>
      <c r="AL131" s="1">
        <v>1</v>
      </c>
      <c r="AM131" s="1">
        <v>61452</v>
      </c>
      <c r="AN131" s="1">
        <v>28401</v>
      </c>
      <c r="AO131" s="1">
        <v>33052</v>
      </c>
      <c r="AP131" s="1">
        <v>46839</v>
      </c>
      <c r="AQ131" s="1">
        <v>0.66646226650313478</v>
      </c>
    </row>
    <row r="132" spans="1:43" x14ac:dyDescent="0.45">
      <c r="A132" s="1">
        <v>131</v>
      </c>
      <c r="B132" s="1">
        <v>439</v>
      </c>
      <c r="C132" s="1">
        <v>94</v>
      </c>
      <c r="D132" s="1" t="s">
        <v>82</v>
      </c>
      <c r="E132" s="1" t="s">
        <v>83</v>
      </c>
      <c r="F132" s="1" t="s">
        <v>84</v>
      </c>
      <c r="G132" s="1" t="s">
        <v>46</v>
      </c>
      <c r="H132" s="1" t="s">
        <v>47</v>
      </c>
      <c r="I132" s="1">
        <v>490</v>
      </c>
      <c r="J132" s="1">
        <v>12595</v>
      </c>
      <c r="K132" s="1">
        <v>1</v>
      </c>
      <c r="L132" s="1">
        <v>93</v>
      </c>
      <c r="M132" s="1">
        <v>1474</v>
      </c>
      <c r="N132" s="1" t="s">
        <v>48</v>
      </c>
      <c r="O132" s="1">
        <v>185078</v>
      </c>
      <c r="P132" s="1">
        <v>91</v>
      </c>
      <c r="Q132" s="1" t="s">
        <v>106</v>
      </c>
      <c r="R132" s="1" t="s">
        <v>50</v>
      </c>
      <c r="S132" s="1">
        <v>0</v>
      </c>
      <c r="T132" s="1">
        <v>0</v>
      </c>
      <c r="U132" s="1">
        <v>88.46</v>
      </c>
      <c r="V132" s="1">
        <v>24.093</v>
      </c>
      <c r="W132" s="1">
        <v>0.54</v>
      </c>
      <c r="X132" s="1">
        <v>0.159</v>
      </c>
      <c r="Y132" s="1">
        <v>24.251999999999999</v>
      </c>
      <c r="Z132" s="1">
        <v>0.96699999999999997</v>
      </c>
      <c r="AA132" s="1">
        <v>-3.1</v>
      </c>
      <c r="AB132" s="1">
        <v>-3.1</v>
      </c>
      <c r="AC132" s="1">
        <v>-3.1</v>
      </c>
      <c r="AD132" s="1">
        <v>0.159</v>
      </c>
      <c r="AE132" s="1">
        <v>0.96599999999999997</v>
      </c>
      <c r="AF132" s="1">
        <v>0.154</v>
      </c>
      <c r="AG132" s="1">
        <v>-3.1</v>
      </c>
      <c r="AI132" s="1">
        <v>0</v>
      </c>
      <c r="AJ132" s="1">
        <v>0</v>
      </c>
      <c r="AK132" s="1">
        <v>0</v>
      </c>
      <c r="AL132" s="1">
        <v>1</v>
      </c>
      <c r="AM132" s="1">
        <v>68709</v>
      </c>
      <c r="AN132" s="1">
        <v>43268</v>
      </c>
      <c r="AO132" s="1">
        <v>25442</v>
      </c>
      <c r="AP132" s="1">
        <v>47323</v>
      </c>
      <c r="AQ132" s="1">
        <v>13.972522456240981</v>
      </c>
    </row>
    <row r="133" spans="1:43" x14ac:dyDescent="0.45">
      <c r="A133" s="1">
        <v>132</v>
      </c>
      <c r="B133" s="1">
        <v>439</v>
      </c>
      <c r="C133" s="1">
        <v>94</v>
      </c>
      <c r="D133" s="1" t="s">
        <v>82</v>
      </c>
      <c r="E133" s="1" t="s">
        <v>83</v>
      </c>
      <c r="F133" s="1" t="s">
        <v>84</v>
      </c>
      <c r="G133" s="1" t="s">
        <v>46</v>
      </c>
      <c r="H133" s="1" t="s">
        <v>47</v>
      </c>
      <c r="I133" s="1">
        <v>490</v>
      </c>
      <c r="J133" s="1">
        <v>12595</v>
      </c>
      <c r="K133" s="1">
        <v>1</v>
      </c>
      <c r="L133" s="1">
        <v>93</v>
      </c>
      <c r="M133" s="1">
        <v>1475</v>
      </c>
      <c r="N133" s="1" t="s">
        <v>48</v>
      </c>
      <c r="O133" s="1">
        <v>185080</v>
      </c>
      <c r="P133" s="1">
        <v>91</v>
      </c>
      <c r="Q133" s="1" t="s">
        <v>106</v>
      </c>
      <c r="R133" s="1" t="s">
        <v>50</v>
      </c>
      <c r="S133" s="1">
        <v>0</v>
      </c>
      <c r="T133" s="1">
        <v>0</v>
      </c>
      <c r="U133" s="1">
        <v>129.07900000000001</v>
      </c>
      <c r="V133" s="1">
        <v>24.146999999999998</v>
      </c>
      <c r="W133" s="1">
        <v>0.52</v>
      </c>
      <c r="X133" s="1">
        <v>0.10299999999999999</v>
      </c>
      <c r="Y133" s="1">
        <v>24.25</v>
      </c>
      <c r="Z133" s="1">
        <v>0.72</v>
      </c>
      <c r="AA133" s="1">
        <v>-3.1</v>
      </c>
      <c r="AB133" s="1">
        <v>-3.1</v>
      </c>
      <c r="AC133" s="1">
        <v>-3.1</v>
      </c>
      <c r="AD133" s="1">
        <v>0.10299999999999999</v>
      </c>
      <c r="AE133" s="1">
        <v>0.71899999999999997</v>
      </c>
      <c r="AF133" s="1">
        <v>7.3999999999999996E-2</v>
      </c>
      <c r="AG133" s="1">
        <v>-3.1</v>
      </c>
      <c r="AI133" s="1">
        <v>0</v>
      </c>
      <c r="AJ133" s="1">
        <v>0</v>
      </c>
      <c r="AK133" s="1">
        <v>0</v>
      </c>
      <c r="AL133" s="1">
        <v>1</v>
      </c>
      <c r="AM133" s="1">
        <v>54142</v>
      </c>
      <c r="AN133" s="1">
        <v>10908</v>
      </c>
      <c r="AO133" s="1">
        <v>43234</v>
      </c>
      <c r="AP133" s="1">
        <v>46913</v>
      </c>
      <c r="AQ133" s="1">
        <v>2.2360358767229358</v>
      </c>
    </row>
    <row r="134" spans="1:43" x14ac:dyDescent="0.45">
      <c r="A134" s="1">
        <v>133</v>
      </c>
      <c r="B134" s="1">
        <v>439</v>
      </c>
      <c r="C134" s="1">
        <v>94</v>
      </c>
      <c r="D134" s="1" t="s">
        <v>82</v>
      </c>
      <c r="E134" s="1" t="s">
        <v>83</v>
      </c>
      <c r="F134" s="1" t="s">
        <v>84</v>
      </c>
      <c r="G134" s="1" t="s">
        <v>46</v>
      </c>
      <c r="H134" s="1" t="s">
        <v>47</v>
      </c>
      <c r="I134" s="1">
        <v>490</v>
      </c>
      <c r="J134" s="1">
        <v>12595</v>
      </c>
      <c r="K134" s="1">
        <v>1</v>
      </c>
      <c r="L134" s="1">
        <v>93</v>
      </c>
      <c r="M134" s="1">
        <v>1476</v>
      </c>
      <c r="N134" s="1" t="s">
        <v>48</v>
      </c>
      <c r="O134" s="1">
        <v>185085</v>
      </c>
      <c r="P134" s="1">
        <v>91</v>
      </c>
      <c r="Q134" s="1" t="s">
        <v>106</v>
      </c>
      <c r="R134" s="1" t="s">
        <v>50</v>
      </c>
      <c r="S134" s="1">
        <v>0</v>
      </c>
      <c r="T134" s="1">
        <v>0</v>
      </c>
      <c r="U134" s="1">
        <v>144.268</v>
      </c>
      <c r="V134" s="1">
        <v>24.087</v>
      </c>
      <c r="W134" s="1">
        <v>0.53</v>
      </c>
      <c r="X134" s="1">
        <v>0.17299999999999999</v>
      </c>
      <c r="Y134" s="1">
        <v>24.26</v>
      </c>
      <c r="Z134" s="1">
        <v>0.21099999999999999</v>
      </c>
      <c r="AA134" s="1">
        <v>-0.8</v>
      </c>
      <c r="AB134" s="1">
        <v>-0.9</v>
      </c>
      <c r="AC134" s="1">
        <v>-0.9</v>
      </c>
      <c r="AD134" s="1">
        <v>0.17299999999999999</v>
      </c>
      <c r="AE134" s="1">
        <v>0.18</v>
      </c>
      <c r="AF134" s="1">
        <v>3.1E-2</v>
      </c>
      <c r="AG134" s="1">
        <v>-0.8</v>
      </c>
      <c r="AI134" s="1">
        <v>0</v>
      </c>
      <c r="AJ134" s="1">
        <v>0</v>
      </c>
      <c r="AK134" s="1">
        <v>0</v>
      </c>
      <c r="AL134" s="1">
        <v>1</v>
      </c>
      <c r="AM134" s="1">
        <v>86400</v>
      </c>
      <c r="AN134" s="1">
        <v>77452</v>
      </c>
      <c r="AO134" s="1">
        <v>8948</v>
      </c>
      <c r="AP134" s="1">
        <v>47148</v>
      </c>
      <c r="AQ134" s="1">
        <v>20.343053902491771</v>
      </c>
    </row>
    <row r="135" spans="1:43" x14ac:dyDescent="0.45">
      <c r="A135" s="1">
        <v>134</v>
      </c>
      <c r="B135" s="1">
        <v>439</v>
      </c>
      <c r="C135" s="1">
        <v>94</v>
      </c>
      <c r="D135" s="1" t="s">
        <v>82</v>
      </c>
      <c r="E135" s="1" t="s">
        <v>83</v>
      </c>
      <c r="F135" s="1" t="s">
        <v>84</v>
      </c>
      <c r="G135" s="1" t="s">
        <v>46</v>
      </c>
      <c r="H135" s="1" t="s">
        <v>47</v>
      </c>
      <c r="I135" s="1">
        <v>490</v>
      </c>
      <c r="J135" s="1">
        <v>12595</v>
      </c>
      <c r="K135" s="1">
        <v>1</v>
      </c>
      <c r="L135" s="1">
        <v>93</v>
      </c>
      <c r="M135" s="1">
        <v>1477</v>
      </c>
      <c r="N135" s="1" t="s">
        <v>48</v>
      </c>
      <c r="O135" s="1">
        <v>185086</v>
      </c>
      <c r="P135" s="1">
        <v>91</v>
      </c>
      <c r="Q135" s="1" t="s">
        <v>106</v>
      </c>
      <c r="R135" s="1" t="s">
        <v>50</v>
      </c>
      <c r="S135" s="1">
        <v>0</v>
      </c>
      <c r="T135" s="1">
        <v>0</v>
      </c>
      <c r="U135" s="1">
        <v>153.83099999999999</v>
      </c>
      <c r="V135" s="1">
        <v>24.013000000000002</v>
      </c>
      <c r="W135" s="1">
        <v>0.54</v>
      </c>
      <c r="X135" s="1">
        <v>0.245</v>
      </c>
      <c r="Y135" s="1">
        <v>24.259</v>
      </c>
      <c r="Z135" s="1">
        <v>0.13800000000000001</v>
      </c>
      <c r="AA135" s="1">
        <v>-1.5</v>
      </c>
      <c r="AB135" s="1">
        <v>-1.5</v>
      </c>
      <c r="AC135" s="1">
        <v>-1.5</v>
      </c>
      <c r="AD135" s="1">
        <v>0.245</v>
      </c>
      <c r="AE135" s="1">
        <v>0.13800000000000001</v>
      </c>
      <c r="AF135" s="1">
        <v>3.4000000000000002E-2</v>
      </c>
      <c r="AG135" s="1">
        <v>-1.5</v>
      </c>
      <c r="AI135" s="1">
        <v>0</v>
      </c>
      <c r="AJ135" s="1">
        <v>0</v>
      </c>
      <c r="AK135" s="1">
        <v>0</v>
      </c>
      <c r="AL135" s="1">
        <v>1</v>
      </c>
      <c r="AM135" s="1">
        <v>86400</v>
      </c>
      <c r="AN135" s="1">
        <v>78947</v>
      </c>
      <c r="AO135" s="1">
        <v>7453</v>
      </c>
      <c r="AP135" s="1">
        <v>47136</v>
      </c>
      <c r="AQ135" s="1">
        <v>1.6394359583819851</v>
      </c>
    </row>
    <row r="136" spans="1:43" x14ac:dyDescent="0.45">
      <c r="A136" s="1">
        <v>135</v>
      </c>
      <c r="B136" s="1">
        <v>446</v>
      </c>
      <c r="C136" s="1">
        <v>97</v>
      </c>
      <c r="D136" s="1" t="s">
        <v>85</v>
      </c>
      <c r="E136" s="1" t="s">
        <v>86</v>
      </c>
      <c r="F136" s="1" t="s">
        <v>87</v>
      </c>
      <c r="G136" s="1" t="s">
        <v>46</v>
      </c>
      <c r="H136" s="1" t="s">
        <v>47</v>
      </c>
      <c r="I136" s="1">
        <v>1089</v>
      </c>
      <c r="J136" s="1">
        <v>26566</v>
      </c>
      <c r="K136" s="1">
        <v>1</v>
      </c>
      <c r="L136" s="1">
        <v>96</v>
      </c>
      <c r="M136" s="1">
        <v>1456</v>
      </c>
      <c r="N136" s="1" t="s">
        <v>48</v>
      </c>
      <c r="O136" s="1">
        <v>184863</v>
      </c>
      <c r="P136" s="1">
        <v>91</v>
      </c>
      <c r="Q136" s="1" t="s">
        <v>106</v>
      </c>
      <c r="R136" s="1" t="s">
        <v>50</v>
      </c>
      <c r="S136" s="1">
        <v>0</v>
      </c>
      <c r="T136" s="1">
        <v>0</v>
      </c>
      <c r="U136" s="1">
        <v>325.68799999999999</v>
      </c>
      <c r="V136" s="1">
        <v>24.777999999999999</v>
      </c>
      <c r="W136" s="1">
        <v>0.53</v>
      </c>
      <c r="X136" s="1">
        <v>0.16200000000000001</v>
      </c>
      <c r="Y136" s="1">
        <v>24.94</v>
      </c>
      <c r="Z136" s="1">
        <v>9.8000000000000004E-2</v>
      </c>
      <c r="AA136" s="1">
        <v>1.6</v>
      </c>
      <c r="AB136" s="1">
        <v>1.6</v>
      </c>
      <c r="AC136" s="1">
        <v>1.6</v>
      </c>
      <c r="AD136" s="1">
        <v>0.16200000000000001</v>
      </c>
      <c r="AE136" s="1">
        <v>9.8000000000000004E-2</v>
      </c>
      <c r="AF136" s="1">
        <v>1.6E-2</v>
      </c>
      <c r="AG136" s="1">
        <v>1.6</v>
      </c>
      <c r="AI136" s="1">
        <v>0</v>
      </c>
      <c r="AJ136" s="1">
        <v>0</v>
      </c>
      <c r="AK136" s="1">
        <v>0</v>
      </c>
      <c r="AL136" s="1">
        <v>1</v>
      </c>
      <c r="AM136" s="1">
        <v>86400</v>
      </c>
      <c r="AN136" s="1">
        <v>80692</v>
      </c>
      <c r="AO136" s="1">
        <v>5708</v>
      </c>
      <c r="AP136" s="1">
        <v>43569</v>
      </c>
      <c r="AQ136" s="1">
        <v>15.74861294678051</v>
      </c>
    </row>
    <row r="137" spans="1:43" x14ac:dyDescent="0.45">
      <c r="A137" s="1">
        <v>136</v>
      </c>
      <c r="B137" s="1">
        <v>446</v>
      </c>
      <c r="C137" s="1">
        <v>97</v>
      </c>
      <c r="D137" s="1" t="s">
        <v>85</v>
      </c>
      <c r="E137" s="1" t="s">
        <v>86</v>
      </c>
      <c r="F137" s="1" t="s">
        <v>87</v>
      </c>
      <c r="G137" s="1" t="s">
        <v>46</v>
      </c>
      <c r="H137" s="1" t="s">
        <v>47</v>
      </c>
      <c r="I137" s="1">
        <v>1089</v>
      </c>
      <c r="J137" s="1">
        <v>26566</v>
      </c>
      <c r="K137" s="1">
        <v>1</v>
      </c>
      <c r="L137" s="1">
        <v>96</v>
      </c>
      <c r="M137" s="1">
        <v>1457</v>
      </c>
      <c r="N137" s="1" t="s">
        <v>48</v>
      </c>
      <c r="O137" s="1">
        <v>184866</v>
      </c>
      <c r="P137" s="1">
        <v>91</v>
      </c>
      <c r="Q137" s="1" t="s">
        <v>106</v>
      </c>
      <c r="R137" s="1" t="s">
        <v>50</v>
      </c>
      <c r="S137" s="1">
        <v>0</v>
      </c>
      <c r="T137" s="1">
        <v>0</v>
      </c>
      <c r="U137" s="1">
        <v>867.36900000000003</v>
      </c>
      <c r="V137" s="1">
        <v>24.741</v>
      </c>
      <c r="W137" s="1">
        <v>0.53</v>
      </c>
      <c r="X137" s="1">
        <v>0.2</v>
      </c>
      <c r="Y137" s="1">
        <v>24.940999999999999</v>
      </c>
      <c r="Z137" s="1">
        <v>0.13400000000000001</v>
      </c>
      <c r="AA137" s="1">
        <v>2.9</v>
      </c>
      <c r="AB137" s="1">
        <v>2.9</v>
      </c>
      <c r="AC137" s="1">
        <v>2.9</v>
      </c>
      <c r="AD137" s="1">
        <v>0.2</v>
      </c>
      <c r="AE137" s="1">
        <v>0.13300000000000001</v>
      </c>
      <c r="AF137" s="1">
        <v>2.7E-2</v>
      </c>
      <c r="AG137" s="1">
        <v>2.9</v>
      </c>
      <c r="AI137" s="1">
        <v>0</v>
      </c>
      <c r="AJ137" s="1">
        <v>0</v>
      </c>
      <c r="AK137" s="1">
        <v>0</v>
      </c>
      <c r="AL137" s="1">
        <v>1</v>
      </c>
      <c r="AM137" s="1">
        <v>86400</v>
      </c>
      <c r="AN137" s="1">
        <v>73520</v>
      </c>
      <c r="AO137" s="1">
        <v>12880</v>
      </c>
      <c r="AP137" s="1">
        <v>43849</v>
      </c>
      <c r="AQ137" s="1">
        <v>1.37213259683311</v>
      </c>
    </row>
    <row r="138" spans="1:43" x14ac:dyDescent="0.45">
      <c r="A138" s="1">
        <v>137</v>
      </c>
      <c r="B138" s="1">
        <v>446</v>
      </c>
      <c r="C138" s="1">
        <v>97</v>
      </c>
      <c r="D138" s="1" t="s">
        <v>85</v>
      </c>
      <c r="E138" s="1" t="s">
        <v>86</v>
      </c>
      <c r="F138" s="1" t="s">
        <v>87</v>
      </c>
      <c r="G138" s="1" t="s">
        <v>46</v>
      </c>
      <c r="H138" s="1" t="s">
        <v>47</v>
      </c>
      <c r="I138" s="1">
        <v>1089</v>
      </c>
      <c r="J138" s="1">
        <v>26566</v>
      </c>
      <c r="K138" s="1">
        <v>1</v>
      </c>
      <c r="L138" s="1">
        <v>96</v>
      </c>
      <c r="M138" s="1">
        <v>1458</v>
      </c>
      <c r="N138" s="1" t="s">
        <v>48</v>
      </c>
      <c r="O138" s="1">
        <v>184873</v>
      </c>
      <c r="P138" s="1">
        <v>91</v>
      </c>
      <c r="Q138" s="1" t="s">
        <v>106</v>
      </c>
      <c r="R138" s="1" t="s">
        <v>50</v>
      </c>
      <c r="S138" s="1">
        <v>0</v>
      </c>
      <c r="T138" s="1">
        <v>0</v>
      </c>
      <c r="U138" s="1">
        <v>89.039000000000001</v>
      </c>
      <c r="V138" s="1">
        <v>24.5</v>
      </c>
      <c r="W138" s="1">
        <v>0.56999999999999995</v>
      </c>
      <c r="X138" s="1">
        <v>0.441</v>
      </c>
      <c r="Y138" s="1">
        <v>24.94</v>
      </c>
      <c r="Z138" s="1">
        <v>3.5000000000000003E-2</v>
      </c>
      <c r="AA138" s="1">
        <v>-2.2000000000000002</v>
      </c>
      <c r="AB138" s="1">
        <v>-2</v>
      </c>
      <c r="AC138" s="1">
        <v>-2</v>
      </c>
      <c r="AD138" s="1">
        <v>0.441</v>
      </c>
      <c r="AE138" s="1">
        <v>1.2999999999999999E-2</v>
      </c>
      <c r="AF138" s="1">
        <v>1.2999999999999999E-2</v>
      </c>
      <c r="AI138" s="1">
        <v>0</v>
      </c>
      <c r="AJ138" s="1">
        <v>0</v>
      </c>
      <c r="AK138" s="1">
        <v>0</v>
      </c>
      <c r="AL138" s="1">
        <v>1</v>
      </c>
      <c r="AM138" s="1">
        <v>86400</v>
      </c>
      <c r="AN138" s="1">
        <v>79794</v>
      </c>
      <c r="AO138" s="1">
        <v>6606</v>
      </c>
      <c r="AP138" s="1">
        <v>43606</v>
      </c>
      <c r="AQ138" s="1">
        <v>23.23517241928969</v>
      </c>
    </row>
    <row r="139" spans="1:43" x14ac:dyDescent="0.45">
      <c r="A139" s="1">
        <v>138</v>
      </c>
      <c r="B139" s="1">
        <v>446</v>
      </c>
      <c r="C139" s="1">
        <v>97</v>
      </c>
      <c r="D139" s="1" t="s">
        <v>85</v>
      </c>
      <c r="E139" s="1" t="s">
        <v>86</v>
      </c>
      <c r="F139" s="1" t="s">
        <v>87</v>
      </c>
      <c r="G139" s="1" t="s">
        <v>46</v>
      </c>
      <c r="H139" s="1" t="s">
        <v>47</v>
      </c>
      <c r="I139" s="1">
        <v>1089</v>
      </c>
      <c r="J139" s="1">
        <v>26566</v>
      </c>
      <c r="K139" s="1">
        <v>1</v>
      </c>
      <c r="L139" s="1">
        <v>96</v>
      </c>
      <c r="M139" s="1">
        <v>1459</v>
      </c>
      <c r="N139" s="1" t="s">
        <v>48</v>
      </c>
      <c r="O139" s="1">
        <v>184874</v>
      </c>
      <c r="P139" s="1">
        <v>91</v>
      </c>
      <c r="Q139" s="1" t="s">
        <v>106</v>
      </c>
      <c r="R139" s="1" t="s">
        <v>50</v>
      </c>
      <c r="S139" s="1">
        <v>0</v>
      </c>
      <c r="T139" s="1">
        <v>0</v>
      </c>
      <c r="U139" s="1">
        <v>429.66300000000001</v>
      </c>
      <c r="V139" s="1">
        <v>24.591999999999999</v>
      </c>
      <c r="W139" s="1">
        <v>0.56000000000000005</v>
      </c>
      <c r="X139" s="1">
        <v>0.34799999999999998</v>
      </c>
      <c r="Y139" s="1">
        <v>24.94</v>
      </c>
      <c r="Z139" s="1">
        <v>6.3E-2</v>
      </c>
      <c r="AA139" s="1">
        <v>-2.6</v>
      </c>
      <c r="AB139" s="1">
        <v>-2.6</v>
      </c>
      <c r="AC139" s="1">
        <v>-2.6</v>
      </c>
      <c r="AD139" s="1">
        <v>0.34799999999999998</v>
      </c>
      <c r="AE139" s="1">
        <v>6.3E-2</v>
      </c>
      <c r="AF139" s="1">
        <v>2.1999999999999999E-2</v>
      </c>
      <c r="AG139" s="1">
        <v>-2.6</v>
      </c>
      <c r="AI139" s="1">
        <v>0</v>
      </c>
      <c r="AJ139" s="1">
        <v>0</v>
      </c>
      <c r="AK139" s="1">
        <v>0</v>
      </c>
      <c r="AL139" s="1">
        <v>1</v>
      </c>
      <c r="AM139" s="1">
        <v>86400</v>
      </c>
      <c r="AN139" s="1">
        <v>77983</v>
      </c>
      <c r="AO139" s="1">
        <v>8417</v>
      </c>
      <c r="AP139" s="1">
        <v>43656</v>
      </c>
      <c r="AQ139" s="1">
        <v>36.228889069663921</v>
      </c>
    </row>
    <row r="140" spans="1:43" x14ac:dyDescent="0.45">
      <c r="A140" s="1">
        <v>139</v>
      </c>
      <c r="B140" s="1">
        <v>446</v>
      </c>
      <c r="C140" s="1">
        <v>97</v>
      </c>
      <c r="D140" s="1" t="s">
        <v>85</v>
      </c>
      <c r="E140" s="1" t="s">
        <v>86</v>
      </c>
      <c r="F140" s="1" t="s">
        <v>87</v>
      </c>
      <c r="G140" s="1" t="s">
        <v>46</v>
      </c>
      <c r="H140" s="1" t="s">
        <v>47</v>
      </c>
      <c r="I140" s="1">
        <v>1089</v>
      </c>
      <c r="J140" s="1">
        <v>26566</v>
      </c>
      <c r="K140" s="1">
        <v>1</v>
      </c>
      <c r="L140" s="1">
        <v>96</v>
      </c>
      <c r="M140" s="1">
        <v>1460</v>
      </c>
      <c r="N140" s="1" t="s">
        <v>48</v>
      </c>
      <c r="O140" s="1">
        <v>184875</v>
      </c>
      <c r="P140" s="1">
        <v>91</v>
      </c>
      <c r="Q140" s="1" t="s">
        <v>106</v>
      </c>
      <c r="R140" s="1" t="s">
        <v>50</v>
      </c>
      <c r="S140" s="1">
        <v>0</v>
      </c>
      <c r="T140" s="1">
        <v>0</v>
      </c>
      <c r="U140" s="1">
        <v>213.364</v>
      </c>
      <c r="V140" s="1">
        <v>24.367999999999999</v>
      </c>
      <c r="W140" s="1">
        <v>0.59</v>
      </c>
      <c r="X140" s="1">
        <v>0.57299999999999995</v>
      </c>
      <c r="Y140" s="1">
        <v>24.940999999999999</v>
      </c>
      <c r="Z140" s="1">
        <v>3.9E-2</v>
      </c>
      <c r="AA140" s="1">
        <v>-0.9</v>
      </c>
      <c r="AB140" s="1">
        <v>2.7</v>
      </c>
      <c r="AC140" s="1">
        <v>2.7</v>
      </c>
      <c r="AD140" s="1">
        <v>0.57299999999999995</v>
      </c>
      <c r="AE140" s="1">
        <v>3.1E-2</v>
      </c>
      <c r="AF140" s="1">
        <v>1.7999999999999999E-2</v>
      </c>
      <c r="AG140" s="1">
        <v>-0.9</v>
      </c>
      <c r="AI140" s="1">
        <v>0</v>
      </c>
      <c r="AJ140" s="1">
        <v>0</v>
      </c>
      <c r="AK140" s="1">
        <v>0</v>
      </c>
      <c r="AL140" s="1">
        <v>1</v>
      </c>
      <c r="AM140" s="1">
        <v>86400</v>
      </c>
      <c r="AN140" s="1">
        <v>81299</v>
      </c>
      <c r="AO140" s="1">
        <v>5101</v>
      </c>
      <c r="AP140" s="1">
        <v>46936</v>
      </c>
      <c r="AQ140" s="1">
        <v>2.3289428131713419</v>
      </c>
    </row>
    <row r="141" spans="1:43" x14ac:dyDescent="0.45">
      <c r="A141" s="1">
        <v>140</v>
      </c>
      <c r="B141" s="1">
        <v>446</v>
      </c>
      <c r="C141" s="1">
        <v>97</v>
      </c>
      <c r="D141" s="1" t="s">
        <v>85</v>
      </c>
      <c r="E141" s="1" t="s">
        <v>86</v>
      </c>
      <c r="F141" s="1" t="s">
        <v>87</v>
      </c>
      <c r="G141" s="1" t="s">
        <v>46</v>
      </c>
      <c r="H141" s="1" t="s">
        <v>47</v>
      </c>
      <c r="I141" s="1">
        <v>1089</v>
      </c>
      <c r="J141" s="1">
        <v>26566</v>
      </c>
      <c r="K141" s="1">
        <v>1</v>
      </c>
      <c r="L141" s="1">
        <v>96</v>
      </c>
      <c r="M141" s="1">
        <v>1461</v>
      </c>
      <c r="N141" s="1" t="s">
        <v>48</v>
      </c>
      <c r="O141" s="1">
        <v>184876</v>
      </c>
      <c r="P141" s="1">
        <v>91</v>
      </c>
      <c r="Q141" s="1" t="s">
        <v>106</v>
      </c>
      <c r="R141" s="1" t="s">
        <v>50</v>
      </c>
      <c r="S141" s="1">
        <v>0</v>
      </c>
      <c r="T141" s="1">
        <v>0</v>
      </c>
      <c r="U141" s="1">
        <v>217.46</v>
      </c>
      <c r="V141" s="1">
        <v>24.515000000000001</v>
      </c>
      <c r="W141" s="1">
        <v>0.56999999999999995</v>
      </c>
      <c r="X141" s="1">
        <v>0.42499999999999999</v>
      </c>
      <c r="Y141" s="1">
        <v>24.94</v>
      </c>
      <c r="Z141" s="1">
        <v>4.2000000000000003E-2</v>
      </c>
      <c r="AA141" s="1">
        <v>0.3</v>
      </c>
      <c r="AB141" s="1">
        <v>0.8</v>
      </c>
      <c r="AC141" s="1">
        <v>0.8</v>
      </c>
      <c r="AD141" s="1">
        <v>0.42499999999999999</v>
      </c>
      <c r="AE141" s="1">
        <v>0.04</v>
      </c>
      <c r="AF141" s="1">
        <v>1.7000000000000001E-2</v>
      </c>
      <c r="AG141" s="1">
        <v>0.3</v>
      </c>
      <c r="AI141" s="1">
        <v>0</v>
      </c>
      <c r="AJ141" s="1">
        <v>0</v>
      </c>
      <c r="AK141" s="1">
        <v>0</v>
      </c>
      <c r="AL141" s="1">
        <v>1</v>
      </c>
      <c r="AM141" s="1">
        <v>86400</v>
      </c>
      <c r="AN141" s="1">
        <v>79481</v>
      </c>
      <c r="AO141" s="1">
        <v>6919</v>
      </c>
      <c r="AP141" s="1">
        <v>47012</v>
      </c>
      <c r="AQ141" s="1">
        <v>19.045530927795099</v>
      </c>
    </row>
    <row r="142" spans="1:43" x14ac:dyDescent="0.45">
      <c r="A142" s="1">
        <v>141</v>
      </c>
      <c r="B142" s="1">
        <v>446</v>
      </c>
      <c r="C142" s="1">
        <v>97</v>
      </c>
      <c r="D142" s="1" t="s">
        <v>85</v>
      </c>
      <c r="E142" s="1" t="s">
        <v>86</v>
      </c>
      <c r="F142" s="1" t="s">
        <v>87</v>
      </c>
      <c r="G142" s="1" t="s">
        <v>46</v>
      </c>
      <c r="H142" s="1" t="s">
        <v>47</v>
      </c>
      <c r="I142" s="1">
        <v>1089</v>
      </c>
      <c r="J142" s="1">
        <v>26566</v>
      </c>
      <c r="K142" s="1">
        <v>1</v>
      </c>
      <c r="L142" s="1">
        <v>96</v>
      </c>
      <c r="M142" s="1">
        <v>1464</v>
      </c>
      <c r="N142" s="1" t="s">
        <v>48</v>
      </c>
      <c r="O142" s="1">
        <v>184955</v>
      </c>
      <c r="P142" s="1">
        <v>91</v>
      </c>
      <c r="Q142" s="1" t="s">
        <v>106</v>
      </c>
      <c r="R142" s="1" t="s">
        <v>50</v>
      </c>
      <c r="S142" s="1">
        <v>0</v>
      </c>
      <c r="T142" s="1">
        <v>0</v>
      </c>
      <c r="U142" s="1">
        <v>142.041</v>
      </c>
      <c r="V142" s="1">
        <v>25.390999999999998</v>
      </c>
      <c r="W142" s="1">
        <v>0.52</v>
      </c>
      <c r="X142" s="1">
        <v>0.112</v>
      </c>
      <c r="Y142" s="1">
        <v>25.503</v>
      </c>
      <c r="Z142" s="1">
        <v>0.19600000000000001</v>
      </c>
      <c r="AA142" s="1">
        <v>-1.3</v>
      </c>
      <c r="AB142" s="1">
        <v>-1.3</v>
      </c>
      <c r="AC142" s="1">
        <v>-1.3</v>
      </c>
      <c r="AD142" s="1">
        <v>0.112</v>
      </c>
      <c r="AE142" s="1">
        <v>0.19600000000000001</v>
      </c>
      <c r="AF142" s="1">
        <v>2.1999999999999999E-2</v>
      </c>
      <c r="AG142" s="1">
        <v>-1.3</v>
      </c>
      <c r="AI142" s="1">
        <v>0</v>
      </c>
      <c r="AJ142" s="1">
        <v>0</v>
      </c>
      <c r="AK142" s="1">
        <v>0</v>
      </c>
      <c r="AL142" s="1">
        <v>1</v>
      </c>
      <c r="AM142" s="1">
        <v>86400</v>
      </c>
      <c r="AN142" s="1">
        <v>80676</v>
      </c>
      <c r="AO142" s="1">
        <v>5718</v>
      </c>
      <c r="AP142" s="1">
        <v>43866</v>
      </c>
      <c r="AQ142" s="1">
        <v>19.92750351117078</v>
      </c>
    </row>
    <row r="143" spans="1:43" x14ac:dyDescent="0.45">
      <c r="A143" s="1">
        <v>142</v>
      </c>
      <c r="B143" s="1">
        <v>450</v>
      </c>
      <c r="C143" s="1">
        <v>97</v>
      </c>
      <c r="D143" s="1" t="s">
        <v>85</v>
      </c>
      <c r="E143" s="1" t="s">
        <v>86</v>
      </c>
      <c r="F143" s="1" t="s">
        <v>87</v>
      </c>
      <c r="G143" s="1" t="s">
        <v>46</v>
      </c>
      <c r="H143" s="1" t="s">
        <v>47</v>
      </c>
      <c r="I143" s="1">
        <v>1089</v>
      </c>
      <c r="J143" s="1">
        <v>26566</v>
      </c>
      <c r="K143" s="1">
        <v>1</v>
      </c>
      <c r="L143" s="1">
        <v>96</v>
      </c>
      <c r="M143" s="1">
        <v>1462</v>
      </c>
      <c r="N143" s="1" t="s">
        <v>48</v>
      </c>
      <c r="O143" s="1">
        <v>184881</v>
      </c>
      <c r="P143" s="1">
        <v>91</v>
      </c>
      <c r="Q143" s="1" t="s">
        <v>106</v>
      </c>
      <c r="R143" s="1" t="s">
        <v>50</v>
      </c>
      <c r="S143" s="1">
        <v>0</v>
      </c>
      <c r="T143" s="1">
        <v>0</v>
      </c>
      <c r="U143" s="1">
        <v>126.512</v>
      </c>
      <c r="V143" s="1">
        <v>25.347999999999999</v>
      </c>
      <c r="W143" s="1">
        <v>0.53</v>
      </c>
      <c r="X143" s="1">
        <v>0.14399999999999999</v>
      </c>
      <c r="Y143" s="1">
        <v>25.492000000000001</v>
      </c>
      <c r="Z143" s="1">
        <v>0.65</v>
      </c>
      <c r="AA143" s="1">
        <v>0.1</v>
      </c>
      <c r="AB143" s="1">
        <v>0.1</v>
      </c>
      <c r="AC143" s="1">
        <v>0.1</v>
      </c>
      <c r="AD143" s="1">
        <v>0.14399999999999999</v>
      </c>
      <c r="AE143" s="1">
        <v>0.64800000000000002</v>
      </c>
      <c r="AF143" s="1">
        <v>9.4E-2</v>
      </c>
      <c r="AG143" s="1">
        <v>0.1</v>
      </c>
      <c r="AI143" s="1">
        <v>0</v>
      </c>
      <c r="AJ143" s="1">
        <v>0</v>
      </c>
      <c r="AK143" s="1">
        <v>0</v>
      </c>
      <c r="AL143" s="1">
        <v>1</v>
      </c>
      <c r="AM143" s="1">
        <v>56302</v>
      </c>
      <c r="AN143" s="1">
        <v>8243</v>
      </c>
      <c r="AO143" s="1">
        <v>47986</v>
      </c>
      <c r="AP143" s="1">
        <v>52294</v>
      </c>
      <c r="AQ143" s="1">
        <v>21.192493647705771</v>
      </c>
    </row>
    <row r="144" spans="1:43" x14ac:dyDescent="0.45">
      <c r="A144" s="1">
        <v>143</v>
      </c>
      <c r="B144" s="1">
        <v>454</v>
      </c>
      <c r="C144" s="1">
        <v>23</v>
      </c>
      <c r="D144" s="1" t="s">
        <v>88</v>
      </c>
      <c r="E144" s="1" t="s">
        <v>89</v>
      </c>
      <c r="F144" s="1" t="s">
        <v>90</v>
      </c>
      <c r="G144" s="1" t="s">
        <v>91</v>
      </c>
      <c r="H144" s="1" t="s">
        <v>47</v>
      </c>
      <c r="I144" s="1">
        <v>330</v>
      </c>
      <c r="J144" s="1">
        <v>5916</v>
      </c>
      <c r="K144" s="1">
        <v>1</v>
      </c>
      <c r="L144" s="1">
        <v>22</v>
      </c>
      <c r="M144" s="1">
        <v>1428</v>
      </c>
      <c r="N144" s="1" t="s">
        <v>48</v>
      </c>
      <c r="O144" s="1">
        <v>175496</v>
      </c>
      <c r="P144" s="1">
        <v>91</v>
      </c>
      <c r="Q144" s="1" t="s">
        <v>106</v>
      </c>
      <c r="R144" s="1" t="s">
        <v>50</v>
      </c>
      <c r="S144" s="1">
        <v>0</v>
      </c>
      <c r="T144" s="1">
        <v>0</v>
      </c>
      <c r="U144" s="1">
        <v>338.95299999999997</v>
      </c>
      <c r="V144" s="1">
        <v>24.632999999999999</v>
      </c>
      <c r="W144" s="1">
        <v>0.52</v>
      </c>
      <c r="X144" s="1">
        <v>0.11</v>
      </c>
      <c r="Y144" s="1">
        <v>24.742000000000001</v>
      </c>
      <c r="Z144" s="1">
        <v>5.7000000000000002E-2</v>
      </c>
      <c r="AA144" s="1">
        <v>2</v>
      </c>
      <c r="AB144" s="1">
        <v>2</v>
      </c>
      <c r="AC144" s="1">
        <v>2</v>
      </c>
      <c r="AD144" s="1">
        <v>0.11</v>
      </c>
      <c r="AE144" s="1">
        <v>5.7000000000000002E-2</v>
      </c>
      <c r="AF144" s="1">
        <v>6.0000000000000001E-3</v>
      </c>
      <c r="AG144" s="1">
        <v>2</v>
      </c>
      <c r="AI144" s="1">
        <v>0</v>
      </c>
      <c r="AJ144" s="1">
        <v>0</v>
      </c>
      <c r="AK144" s="1">
        <v>0</v>
      </c>
      <c r="AL144" s="1">
        <v>1</v>
      </c>
      <c r="AM144" s="1">
        <v>86400</v>
      </c>
      <c r="AN144" s="1">
        <v>76374</v>
      </c>
      <c r="AO144" s="1">
        <v>10026</v>
      </c>
      <c r="AP144" s="1">
        <v>43381</v>
      </c>
      <c r="AQ144" s="1">
        <v>2.5436351825059029</v>
      </c>
    </row>
    <row r="145" spans="1:43" x14ac:dyDescent="0.45">
      <c r="A145" s="1">
        <v>144</v>
      </c>
      <c r="B145" s="1">
        <v>454</v>
      </c>
      <c r="C145" s="1">
        <v>23</v>
      </c>
      <c r="D145" s="1" t="s">
        <v>88</v>
      </c>
      <c r="E145" s="1" t="s">
        <v>89</v>
      </c>
      <c r="F145" s="1" t="s">
        <v>90</v>
      </c>
      <c r="G145" s="1" t="s">
        <v>91</v>
      </c>
      <c r="H145" s="1" t="s">
        <v>47</v>
      </c>
      <c r="I145" s="1">
        <v>330</v>
      </c>
      <c r="J145" s="1">
        <v>5916</v>
      </c>
      <c r="K145" s="1">
        <v>1</v>
      </c>
      <c r="L145" s="1">
        <v>22</v>
      </c>
      <c r="M145" s="1">
        <v>1429</v>
      </c>
      <c r="N145" s="1" t="s">
        <v>48</v>
      </c>
      <c r="O145" s="1">
        <v>175913</v>
      </c>
      <c r="P145" s="1">
        <v>91</v>
      </c>
      <c r="Q145" s="1" t="s">
        <v>106</v>
      </c>
      <c r="R145" s="1" t="s">
        <v>50</v>
      </c>
      <c r="S145" s="1">
        <v>0</v>
      </c>
      <c r="T145" s="1">
        <v>0</v>
      </c>
      <c r="U145" s="1">
        <v>73.203000000000003</v>
      </c>
      <c r="V145" s="1">
        <v>25.163</v>
      </c>
      <c r="W145" s="1">
        <v>0.55000000000000004</v>
      </c>
      <c r="X145" s="1">
        <v>0.32600000000000001</v>
      </c>
      <c r="Y145" s="1">
        <v>25.49</v>
      </c>
      <c r="Z145" s="1">
        <v>4.7E-2</v>
      </c>
      <c r="AA145" s="1">
        <v>-1.5</v>
      </c>
      <c r="AB145" s="1">
        <v>-1.5</v>
      </c>
      <c r="AC145" s="1">
        <v>-1.5</v>
      </c>
      <c r="AD145" s="1">
        <v>0.32600000000000001</v>
      </c>
      <c r="AE145" s="1">
        <v>4.7E-2</v>
      </c>
      <c r="AF145" s="1">
        <v>1.4999999999999999E-2</v>
      </c>
      <c r="AG145" s="1">
        <v>-1.5</v>
      </c>
      <c r="AI145" s="1">
        <v>0</v>
      </c>
      <c r="AJ145" s="1">
        <v>0</v>
      </c>
      <c r="AK145" s="1">
        <v>0</v>
      </c>
      <c r="AL145" s="1">
        <v>1</v>
      </c>
      <c r="AM145" s="1">
        <v>86400</v>
      </c>
      <c r="AN145" s="1">
        <v>79657</v>
      </c>
      <c r="AO145" s="1">
        <v>6743</v>
      </c>
      <c r="AP145" s="1">
        <v>43400</v>
      </c>
      <c r="AQ145" s="1">
        <v>12.51607896382912</v>
      </c>
    </row>
    <row r="146" spans="1:43" x14ac:dyDescent="0.45">
      <c r="A146" s="1">
        <v>145</v>
      </c>
      <c r="B146" s="1">
        <v>454</v>
      </c>
      <c r="C146" s="1">
        <v>23</v>
      </c>
      <c r="D146" s="1" t="s">
        <v>88</v>
      </c>
      <c r="E146" s="1" t="s">
        <v>89</v>
      </c>
      <c r="F146" s="1" t="s">
        <v>90</v>
      </c>
      <c r="G146" s="1" t="s">
        <v>91</v>
      </c>
      <c r="H146" s="1" t="s">
        <v>47</v>
      </c>
      <c r="I146" s="1">
        <v>330</v>
      </c>
      <c r="J146" s="1">
        <v>5916</v>
      </c>
      <c r="K146" s="1">
        <v>1</v>
      </c>
      <c r="L146" s="1">
        <v>22</v>
      </c>
      <c r="M146" s="1">
        <v>1430</v>
      </c>
      <c r="N146" s="1" t="s">
        <v>48</v>
      </c>
      <c r="O146" s="1">
        <v>175914</v>
      </c>
      <c r="P146" s="1">
        <v>91</v>
      </c>
      <c r="Q146" s="1" t="s">
        <v>106</v>
      </c>
      <c r="R146" s="1" t="s">
        <v>50</v>
      </c>
      <c r="S146" s="1">
        <v>0</v>
      </c>
      <c r="T146" s="1">
        <v>0</v>
      </c>
      <c r="U146" s="1">
        <v>92.867000000000004</v>
      </c>
      <c r="V146" s="1">
        <v>25.131</v>
      </c>
      <c r="W146" s="1">
        <v>0.56000000000000005</v>
      </c>
      <c r="X146" s="1">
        <v>0.35899999999999999</v>
      </c>
      <c r="Y146" s="1">
        <v>25.49</v>
      </c>
      <c r="Z146" s="1">
        <v>5.5E-2</v>
      </c>
      <c r="AA146" s="1">
        <v>1</v>
      </c>
      <c r="AB146" s="1">
        <v>1</v>
      </c>
      <c r="AC146" s="1">
        <v>1</v>
      </c>
      <c r="AD146" s="1">
        <v>0.35899999999999999</v>
      </c>
      <c r="AE146" s="1">
        <v>5.5E-2</v>
      </c>
      <c r="AF146" s="1">
        <v>0.02</v>
      </c>
      <c r="AG146" s="1">
        <v>1</v>
      </c>
      <c r="AI146" s="1">
        <v>0</v>
      </c>
      <c r="AJ146" s="1">
        <v>0</v>
      </c>
      <c r="AK146" s="1">
        <v>0</v>
      </c>
      <c r="AL146" s="1">
        <v>1</v>
      </c>
      <c r="AM146" s="1">
        <v>86400</v>
      </c>
      <c r="AN146" s="1">
        <v>80926</v>
      </c>
      <c r="AO146" s="1">
        <v>5474</v>
      </c>
      <c r="AP146" s="1">
        <v>43404</v>
      </c>
      <c r="AQ146" s="1">
        <v>3.3747962790819219</v>
      </c>
    </row>
    <row r="147" spans="1:43" x14ac:dyDescent="0.45">
      <c r="A147" s="1">
        <v>146</v>
      </c>
      <c r="B147" s="1">
        <v>470</v>
      </c>
      <c r="C147" s="1">
        <v>97</v>
      </c>
      <c r="D147" s="1" t="s">
        <v>85</v>
      </c>
      <c r="E147" s="1" t="s">
        <v>86</v>
      </c>
      <c r="F147" s="1" t="s">
        <v>87</v>
      </c>
      <c r="G147" s="1" t="s">
        <v>46</v>
      </c>
      <c r="H147" s="1" t="s">
        <v>47</v>
      </c>
      <c r="I147" s="1">
        <v>1089</v>
      </c>
      <c r="J147" s="1">
        <v>26566</v>
      </c>
      <c r="K147" s="1">
        <v>1</v>
      </c>
      <c r="L147" s="1">
        <v>96</v>
      </c>
      <c r="M147" s="1">
        <v>1330</v>
      </c>
      <c r="N147" s="1" t="s">
        <v>48</v>
      </c>
      <c r="O147" s="1">
        <v>132942</v>
      </c>
      <c r="P147" s="1">
        <v>91</v>
      </c>
      <c r="Q147" s="1" t="s">
        <v>106</v>
      </c>
      <c r="R147" s="1" t="s">
        <v>50</v>
      </c>
      <c r="S147" s="1">
        <v>0</v>
      </c>
      <c r="T147" s="1">
        <v>0</v>
      </c>
      <c r="U147" s="1">
        <v>88.98</v>
      </c>
      <c r="V147" s="1">
        <v>25.22</v>
      </c>
      <c r="W147" s="1">
        <v>0.53</v>
      </c>
      <c r="X147" s="1">
        <v>0.153</v>
      </c>
      <c r="Y147" s="1">
        <v>25.373000000000001</v>
      </c>
      <c r="Z147" s="1">
        <v>0.19900000000000001</v>
      </c>
      <c r="AA147" s="1">
        <v>-0.7</v>
      </c>
      <c r="AB147" s="1">
        <v>-0.7</v>
      </c>
      <c r="AC147" s="1">
        <v>-0.7</v>
      </c>
      <c r="AD147" s="1">
        <v>0.153</v>
      </c>
      <c r="AE147" s="1">
        <v>0.19900000000000001</v>
      </c>
      <c r="AF147" s="1">
        <v>0.03</v>
      </c>
      <c r="AG147" s="1">
        <v>-0.7</v>
      </c>
      <c r="AI147" s="1">
        <v>0</v>
      </c>
      <c r="AJ147" s="1">
        <v>0</v>
      </c>
      <c r="AK147" s="1">
        <v>0</v>
      </c>
      <c r="AL147" s="1">
        <v>1</v>
      </c>
      <c r="AM147" s="1">
        <v>86400</v>
      </c>
      <c r="AN147" s="1">
        <v>80983</v>
      </c>
      <c r="AO147" s="1">
        <v>5417</v>
      </c>
      <c r="AP147" s="1">
        <v>46810</v>
      </c>
      <c r="AQ147" s="1">
        <v>13.500253100054801</v>
      </c>
    </row>
    <row r="148" spans="1:43" x14ac:dyDescent="0.45">
      <c r="A148" s="1">
        <v>147</v>
      </c>
      <c r="B148" s="1">
        <v>477</v>
      </c>
      <c r="C148" s="1">
        <v>68</v>
      </c>
      <c r="D148" s="1" t="s">
        <v>107</v>
      </c>
      <c r="E148" s="1" t="s">
        <v>108</v>
      </c>
      <c r="F148" s="1" t="s">
        <v>109</v>
      </c>
      <c r="G148" s="1" t="s">
        <v>46</v>
      </c>
      <c r="H148" s="1" t="s">
        <v>47</v>
      </c>
      <c r="I148" s="1">
        <v>2102</v>
      </c>
      <c r="J148" s="1">
        <v>100258</v>
      </c>
      <c r="K148" s="1">
        <v>1</v>
      </c>
      <c r="L148" s="1">
        <v>67</v>
      </c>
      <c r="M148" s="1">
        <v>1329</v>
      </c>
      <c r="N148" s="1" t="s">
        <v>48</v>
      </c>
      <c r="O148" s="1">
        <v>131335</v>
      </c>
      <c r="P148" s="1">
        <v>91</v>
      </c>
      <c r="Q148" s="1" t="s">
        <v>106</v>
      </c>
      <c r="R148" s="1" t="s">
        <v>50</v>
      </c>
      <c r="S148" s="1">
        <v>0</v>
      </c>
      <c r="T148" s="1">
        <v>0</v>
      </c>
      <c r="U148" s="1">
        <v>322.94299999999998</v>
      </c>
      <c r="V148" s="1">
        <v>50</v>
      </c>
      <c r="W148" s="1">
        <v>0.52</v>
      </c>
      <c r="X148" s="1">
        <v>0.104</v>
      </c>
      <c r="Y148" s="1">
        <v>50.103999999999999</v>
      </c>
      <c r="Z148" s="1">
        <v>0.123</v>
      </c>
      <c r="AA148" s="1">
        <v>2.1</v>
      </c>
      <c r="AB148" s="1">
        <v>2</v>
      </c>
      <c r="AC148" s="1">
        <v>2</v>
      </c>
      <c r="AD148" s="1">
        <v>0.104</v>
      </c>
      <c r="AE148" s="1">
        <v>3.7999999999999999E-2</v>
      </c>
      <c r="AF148" s="1">
        <v>4.0000000000000001E-3</v>
      </c>
      <c r="AI148" s="1">
        <v>0</v>
      </c>
      <c r="AJ148" s="1">
        <v>0</v>
      </c>
      <c r="AK148" s="1">
        <v>0</v>
      </c>
      <c r="AL148" s="1">
        <v>1</v>
      </c>
      <c r="AM148" s="1">
        <v>60608</v>
      </c>
      <c r="AN148" s="1">
        <v>11693</v>
      </c>
      <c r="AO148" s="1">
        <v>48915</v>
      </c>
      <c r="AP148" s="1">
        <v>51746</v>
      </c>
      <c r="AQ148" s="1">
        <v>29.48440096530631</v>
      </c>
    </row>
    <row r="149" spans="1:43" x14ac:dyDescent="0.45">
      <c r="A149" s="1">
        <v>148</v>
      </c>
      <c r="B149" s="1">
        <v>494</v>
      </c>
      <c r="C149" s="1">
        <v>67</v>
      </c>
      <c r="D149" s="1" t="s">
        <v>92</v>
      </c>
      <c r="E149" s="1" t="s">
        <v>93</v>
      </c>
      <c r="F149" s="1" t="s">
        <v>94</v>
      </c>
      <c r="G149" s="1" t="s">
        <v>46</v>
      </c>
      <c r="H149" s="1" t="s">
        <v>47</v>
      </c>
      <c r="I149" s="1">
        <v>1579</v>
      </c>
      <c r="J149" s="1">
        <v>67764</v>
      </c>
      <c r="K149" s="1">
        <v>1</v>
      </c>
      <c r="L149" s="1">
        <v>66</v>
      </c>
      <c r="M149" s="1">
        <v>1325</v>
      </c>
      <c r="N149" s="1" t="s">
        <v>48</v>
      </c>
      <c r="O149" s="1">
        <v>131020</v>
      </c>
      <c r="P149" s="1">
        <v>91</v>
      </c>
      <c r="Q149" s="1" t="s">
        <v>106</v>
      </c>
      <c r="R149" s="1" t="s">
        <v>50</v>
      </c>
      <c r="S149" s="1">
        <v>0</v>
      </c>
      <c r="T149" s="1">
        <v>0</v>
      </c>
      <c r="U149" s="1">
        <v>94.191999999999993</v>
      </c>
      <c r="V149" s="1">
        <v>25.324000000000002</v>
      </c>
      <c r="W149" s="1">
        <v>1.1399999999999999</v>
      </c>
      <c r="X149" s="1">
        <v>0.872</v>
      </c>
      <c r="Y149" s="1">
        <v>26.196000000000002</v>
      </c>
      <c r="Z149" s="1">
        <v>5.3999999999999999E-2</v>
      </c>
      <c r="AA149" s="1">
        <v>0.9</v>
      </c>
      <c r="AB149" s="1">
        <v>0.9</v>
      </c>
      <c r="AC149" s="1">
        <v>0.9</v>
      </c>
      <c r="AD149" s="1">
        <v>0.872</v>
      </c>
      <c r="AE149" s="1">
        <v>5.3999999999999999E-2</v>
      </c>
      <c r="AF149" s="1">
        <v>4.7E-2</v>
      </c>
      <c r="AG149" s="1">
        <v>0.9</v>
      </c>
      <c r="AI149" s="1">
        <v>0</v>
      </c>
      <c r="AJ149" s="1">
        <v>0</v>
      </c>
      <c r="AK149" s="1">
        <v>0</v>
      </c>
      <c r="AL149" s="1">
        <v>1</v>
      </c>
      <c r="AM149" s="1">
        <v>86400</v>
      </c>
      <c r="AN149" s="1">
        <v>80834</v>
      </c>
      <c r="AO149" s="1">
        <v>5566</v>
      </c>
      <c r="AP149" s="1">
        <v>46903</v>
      </c>
      <c r="AQ149" s="1">
        <v>22.945877289242109</v>
      </c>
    </row>
    <row r="150" spans="1:43" x14ac:dyDescent="0.45">
      <c r="A150" s="1">
        <v>149</v>
      </c>
      <c r="B150" s="1">
        <v>494</v>
      </c>
      <c r="C150" s="1">
        <v>67</v>
      </c>
      <c r="D150" s="1" t="s">
        <v>92</v>
      </c>
      <c r="E150" s="1" t="s">
        <v>93</v>
      </c>
      <c r="F150" s="1" t="s">
        <v>94</v>
      </c>
      <c r="G150" s="1" t="s">
        <v>46</v>
      </c>
      <c r="H150" s="1" t="s">
        <v>47</v>
      </c>
      <c r="I150" s="1">
        <v>1579</v>
      </c>
      <c r="J150" s="1">
        <v>67764</v>
      </c>
      <c r="K150" s="1">
        <v>1</v>
      </c>
      <c r="L150" s="1">
        <v>66</v>
      </c>
      <c r="M150" s="1">
        <v>1326</v>
      </c>
      <c r="N150" s="1" t="s">
        <v>48</v>
      </c>
      <c r="O150" s="1">
        <v>131021</v>
      </c>
      <c r="P150" s="1">
        <v>91</v>
      </c>
      <c r="Q150" s="1" t="s">
        <v>106</v>
      </c>
      <c r="R150" s="1" t="s">
        <v>50</v>
      </c>
      <c r="S150" s="1">
        <v>0</v>
      </c>
      <c r="T150" s="1">
        <v>0</v>
      </c>
      <c r="U150" s="1">
        <v>89.78</v>
      </c>
      <c r="V150" s="1">
        <v>25.841999999999999</v>
      </c>
      <c r="W150" s="1">
        <v>0.56000000000000005</v>
      </c>
      <c r="X150" s="1">
        <v>0.35399999999999998</v>
      </c>
      <c r="Y150" s="1">
        <v>26.196000000000002</v>
      </c>
      <c r="Z150" s="1">
        <v>4.2999999999999997E-2</v>
      </c>
      <c r="AA150" s="1">
        <v>-2.8</v>
      </c>
      <c r="AB150" s="1">
        <v>-2.9</v>
      </c>
      <c r="AC150" s="1">
        <v>-2.9</v>
      </c>
      <c r="AD150" s="1">
        <v>0.35399999999999998</v>
      </c>
      <c r="AE150" s="1">
        <v>3.7999999999999999E-2</v>
      </c>
      <c r="AF150" s="1">
        <v>1.4999999999999999E-2</v>
      </c>
      <c r="AG150" s="1">
        <v>-2.8</v>
      </c>
      <c r="AI150" s="1">
        <v>0</v>
      </c>
      <c r="AJ150" s="1">
        <v>0</v>
      </c>
      <c r="AK150" s="1">
        <v>0</v>
      </c>
      <c r="AL150" s="1">
        <v>1</v>
      </c>
      <c r="AM150" s="1">
        <v>86400</v>
      </c>
      <c r="AN150" s="1">
        <v>70028</v>
      </c>
      <c r="AO150" s="1">
        <v>16372</v>
      </c>
      <c r="AP150" s="1">
        <v>46810</v>
      </c>
      <c r="AQ150" s="1">
        <v>6.4043930915015341</v>
      </c>
    </row>
    <row r="151" spans="1:43" x14ac:dyDescent="0.45">
      <c r="A151" s="1">
        <v>150</v>
      </c>
      <c r="B151" s="1">
        <v>494</v>
      </c>
      <c r="C151" s="1">
        <v>67</v>
      </c>
      <c r="D151" s="1" t="s">
        <v>92</v>
      </c>
      <c r="E151" s="1" t="s">
        <v>93</v>
      </c>
      <c r="F151" s="1" t="s">
        <v>94</v>
      </c>
      <c r="G151" s="1" t="s">
        <v>46</v>
      </c>
      <c r="H151" s="1" t="s">
        <v>47</v>
      </c>
      <c r="I151" s="1">
        <v>1579</v>
      </c>
      <c r="J151" s="1">
        <v>67764</v>
      </c>
      <c r="K151" s="1">
        <v>1</v>
      </c>
      <c r="L151" s="1">
        <v>66</v>
      </c>
      <c r="M151" s="1">
        <v>1327</v>
      </c>
      <c r="N151" s="1" t="s">
        <v>48</v>
      </c>
      <c r="O151" s="1">
        <v>131025</v>
      </c>
      <c r="P151" s="1">
        <v>91</v>
      </c>
      <c r="Q151" s="1" t="s">
        <v>106</v>
      </c>
      <c r="R151" s="1" t="s">
        <v>50</v>
      </c>
      <c r="S151" s="1">
        <v>0</v>
      </c>
      <c r="T151" s="1">
        <v>0</v>
      </c>
      <c r="U151" s="1">
        <v>51.036999999999999</v>
      </c>
      <c r="V151" s="1">
        <v>25.751999999999999</v>
      </c>
      <c r="W151" s="1">
        <v>0.57999999999999996</v>
      </c>
      <c r="X151" s="1">
        <v>0.44400000000000001</v>
      </c>
      <c r="Y151" s="1">
        <v>26.196000000000002</v>
      </c>
      <c r="Z151" s="1">
        <v>0.20300000000000001</v>
      </c>
      <c r="AA151" s="1">
        <v>-1.6</v>
      </c>
      <c r="AB151" s="1">
        <v>-1.6</v>
      </c>
      <c r="AC151" s="1">
        <v>-1.6</v>
      </c>
      <c r="AD151" s="1">
        <v>0.44400000000000001</v>
      </c>
      <c r="AE151" s="1">
        <v>0.20300000000000001</v>
      </c>
      <c r="AF151" s="1">
        <v>0.09</v>
      </c>
      <c r="AG151" s="1">
        <v>-1.6</v>
      </c>
      <c r="AI151" s="1">
        <v>0</v>
      </c>
      <c r="AJ151" s="1">
        <v>0</v>
      </c>
      <c r="AK151" s="1">
        <v>0</v>
      </c>
      <c r="AL151" s="1">
        <v>1</v>
      </c>
      <c r="AM151" s="1">
        <v>86400</v>
      </c>
      <c r="AN151" s="1">
        <v>72322</v>
      </c>
      <c r="AO151" s="1">
        <v>14078</v>
      </c>
      <c r="AP151" s="1">
        <v>43639</v>
      </c>
      <c r="AQ151" s="1">
        <v>12.58488408496922</v>
      </c>
    </row>
  </sheetData>
  <autoFilter ref="A1:AQ151" xr:uid="{BA31D866-D700-462A-B00C-90E07DE4D7AD}"/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A760-4781-42C1-9E5B-CCAF55020C8C}">
  <sheetPr codeName="Sheet5"/>
  <dimension ref="A1:AQ247"/>
  <sheetViews>
    <sheetView workbookViewId="0">
      <selection activeCell="K20" sqref="K20"/>
    </sheetView>
  </sheetViews>
  <sheetFormatPr defaultColWidth="9.1328125" defaultRowHeight="14.25" customHeight="1" x14ac:dyDescent="0.45"/>
  <cols>
    <col min="1" max="1" width="9.1328125" style="1" customWidth="1"/>
    <col min="2" max="16384" width="9.1328125" style="1"/>
  </cols>
  <sheetData>
    <row r="1" spans="1:43" ht="16.149999999999999" thickBot="1" x14ac:dyDescent="0.5500000000000000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110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</row>
    <row r="2" spans="1:43" x14ac:dyDescent="0.45">
      <c r="A2" s="1">
        <v>1</v>
      </c>
      <c r="B2" s="1">
        <v>1</v>
      </c>
      <c r="C2" s="1">
        <v>90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  <c r="I2" s="1">
        <v>535</v>
      </c>
      <c r="J2" s="1">
        <v>12723</v>
      </c>
      <c r="K2" s="1">
        <v>1</v>
      </c>
      <c r="L2" s="1">
        <v>89</v>
      </c>
      <c r="M2" s="1">
        <v>1511</v>
      </c>
      <c r="N2" s="1" t="s">
        <v>48</v>
      </c>
      <c r="O2" s="1">
        <v>20364</v>
      </c>
      <c r="P2" s="1">
        <v>93</v>
      </c>
      <c r="Q2" s="1" t="s">
        <v>111</v>
      </c>
      <c r="R2" s="1" t="s">
        <v>50</v>
      </c>
      <c r="S2" s="1">
        <v>0</v>
      </c>
      <c r="T2" s="1">
        <v>0</v>
      </c>
      <c r="U2" s="1">
        <v>205.73699999999999</v>
      </c>
      <c r="V2" s="1">
        <v>24.99</v>
      </c>
      <c r="W2" s="1">
        <v>0.52</v>
      </c>
      <c r="X2" s="1">
        <v>0.14499999999999999</v>
      </c>
      <c r="Y2" s="1">
        <v>25.135000000000002</v>
      </c>
      <c r="Z2" s="1">
        <v>6.8000000000000005E-2</v>
      </c>
      <c r="AA2" s="1">
        <v>-2.7</v>
      </c>
      <c r="AB2" s="1">
        <v>-2.7</v>
      </c>
      <c r="AC2" s="1">
        <v>-2.7</v>
      </c>
      <c r="AD2" s="1">
        <v>0.14499999999999999</v>
      </c>
      <c r="AE2" s="1">
        <v>6.8000000000000005E-2</v>
      </c>
      <c r="AF2" s="1">
        <v>0.01</v>
      </c>
      <c r="AG2" s="1">
        <v>-2.7</v>
      </c>
      <c r="AI2" s="1">
        <v>0</v>
      </c>
      <c r="AJ2" s="1">
        <v>0</v>
      </c>
      <c r="AK2" s="1">
        <v>0</v>
      </c>
      <c r="AL2" s="1">
        <v>1</v>
      </c>
      <c r="AM2" s="1">
        <v>86400</v>
      </c>
      <c r="AN2" s="1">
        <v>76925</v>
      </c>
      <c r="AO2" s="1">
        <v>9475</v>
      </c>
      <c r="AP2" s="1">
        <v>43413</v>
      </c>
      <c r="AQ2" s="1">
        <v>1.6932807555292719</v>
      </c>
    </row>
    <row r="3" spans="1:43" x14ac:dyDescent="0.45">
      <c r="A3" s="1">
        <v>2</v>
      </c>
      <c r="B3" s="1">
        <v>1</v>
      </c>
      <c r="C3" s="1">
        <v>90</v>
      </c>
      <c r="D3" s="1" t="s">
        <v>43</v>
      </c>
      <c r="E3" s="1" t="s">
        <v>44</v>
      </c>
      <c r="F3" s="1" t="s">
        <v>45</v>
      </c>
      <c r="G3" s="1" t="s">
        <v>46</v>
      </c>
      <c r="H3" s="1" t="s">
        <v>47</v>
      </c>
      <c r="I3" s="1">
        <v>535</v>
      </c>
      <c r="J3" s="1">
        <v>12723</v>
      </c>
      <c r="K3" s="1">
        <v>1</v>
      </c>
      <c r="L3" s="1">
        <v>89</v>
      </c>
      <c r="M3" s="1">
        <v>1512</v>
      </c>
      <c r="N3" s="1" t="s">
        <v>48</v>
      </c>
      <c r="O3" s="1">
        <v>20405</v>
      </c>
      <c r="P3" s="1">
        <v>93</v>
      </c>
      <c r="Q3" s="1" t="s">
        <v>111</v>
      </c>
      <c r="R3" s="1" t="s">
        <v>50</v>
      </c>
      <c r="S3" s="1">
        <v>0</v>
      </c>
      <c r="T3" s="1">
        <v>0</v>
      </c>
      <c r="U3" s="1">
        <v>63.332999999999998</v>
      </c>
      <c r="V3" s="1">
        <v>24.972999999999999</v>
      </c>
      <c r="W3" s="1">
        <v>0.53</v>
      </c>
      <c r="X3" s="1">
        <v>0.16200000000000001</v>
      </c>
      <c r="Y3" s="1">
        <v>25.135000000000002</v>
      </c>
      <c r="Z3" s="1">
        <v>6.3E-2</v>
      </c>
      <c r="AA3" s="1">
        <v>-3</v>
      </c>
      <c r="AB3" s="1">
        <v>-3</v>
      </c>
      <c r="AC3" s="1">
        <v>-3</v>
      </c>
      <c r="AD3" s="1">
        <v>0.16200000000000001</v>
      </c>
      <c r="AE3" s="1">
        <v>6.3E-2</v>
      </c>
      <c r="AF3" s="1">
        <v>0.01</v>
      </c>
      <c r="AG3" s="1">
        <v>-3</v>
      </c>
      <c r="AI3" s="1">
        <v>0</v>
      </c>
      <c r="AJ3" s="1">
        <v>0</v>
      </c>
      <c r="AK3" s="1">
        <v>0</v>
      </c>
      <c r="AL3" s="1">
        <v>1</v>
      </c>
      <c r="AM3" s="1">
        <v>86400</v>
      </c>
      <c r="AN3" s="1">
        <v>77801</v>
      </c>
      <c r="AO3" s="1">
        <v>8599</v>
      </c>
      <c r="AP3" s="1">
        <v>43383</v>
      </c>
      <c r="AQ3" s="1">
        <v>4.7032532732046244</v>
      </c>
    </row>
    <row r="4" spans="1:43" x14ac:dyDescent="0.45">
      <c r="A4" s="1">
        <v>3</v>
      </c>
      <c r="B4" s="1">
        <v>1</v>
      </c>
      <c r="C4" s="1">
        <v>90</v>
      </c>
      <c r="D4" s="1" t="s">
        <v>43</v>
      </c>
      <c r="E4" s="1" t="s">
        <v>44</v>
      </c>
      <c r="F4" s="1" t="s">
        <v>45</v>
      </c>
      <c r="G4" s="1" t="s">
        <v>46</v>
      </c>
      <c r="H4" s="1" t="s">
        <v>47</v>
      </c>
      <c r="I4" s="1">
        <v>535</v>
      </c>
      <c r="J4" s="1">
        <v>12723</v>
      </c>
      <c r="K4" s="1">
        <v>1</v>
      </c>
      <c r="L4" s="1">
        <v>89</v>
      </c>
      <c r="M4" s="1">
        <v>1513</v>
      </c>
      <c r="N4" s="1" t="s">
        <v>48</v>
      </c>
      <c r="O4" s="1">
        <v>20406</v>
      </c>
      <c r="P4" s="1">
        <v>93</v>
      </c>
      <c r="Q4" s="1" t="s">
        <v>111</v>
      </c>
      <c r="R4" s="1" t="s">
        <v>50</v>
      </c>
      <c r="S4" s="1">
        <v>0</v>
      </c>
      <c r="T4" s="1">
        <v>0</v>
      </c>
      <c r="U4" s="1">
        <v>69.885999999999996</v>
      </c>
      <c r="V4" s="1">
        <v>24.724</v>
      </c>
      <c r="W4" s="1">
        <v>0.56999999999999995</v>
      </c>
      <c r="X4" s="1">
        <v>0.41099999999999998</v>
      </c>
      <c r="Y4" s="1">
        <v>25.135000000000002</v>
      </c>
      <c r="Z4" s="1">
        <v>7.2999999999999995E-2</v>
      </c>
      <c r="AA4" s="1">
        <v>-2.7</v>
      </c>
      <c r="AB4" s="1">
        <v>-2.7</v>
      </c>
      <c r="AC4" s="1">
        <v>-2.7</v>
      </c>
      <c r="AD4" s="1">
        <v>0.41099999999999998</v>
      </c>
      <c r="AE4" s="1">
        <v>7.2999999999999995E-2</v>
      </c>
      <c r="AF4" s="1">
        <v>0.03</v>
      </c>
      <c r="AG4" s="1">
        <v>-2.7</v>
      </c>
      <c r="AI4" s="1">
        <v>0</v>
      </c>
      <c r="AJ4" s="1">
        <v>0</v>
      </c>
      <c r="AK4" s="1">
        <v>0</v>
      </c>
      <c r="AL4" s="1">
        <v>1</v>
      </c>
      <c r="AM4" s="1">
        <v>86400</v>
      </c>
      <c r="AN4" s="1">
        <v>81564</v>
      </c>
      <c r="AO4" s="1">
        <v>4836</v>
      </c>
      <c r="AP4" s="1">
        <v>43401</v>
      </c>
      <c r="AQ4" s="1">
        <v>14.25374788192698</v>
      </c>
    </row>
    <row r="5" spans="1:43" x14ac:dyDescent="0.45">
      <c r="A5" s="1">
        <v>4</v>
      </c>
      <c r="B5" s="1">
        <v>1</v>
      </c>
      <c r="C5" s="1">
        <v>90</v>
      </c>
      <c r="D5" s="1" t="s">
        <v>43</v>
      </c>
      <c r="E5" s="1" t="s">
        <v>44</v>
      </c>
      <c r="F5" s="1" t="s">
        <v>45</v>
      </c>
      <c r="G5" s="1" t="s">
        <v>46</v>
      </c>
      <c r="H5" s="1" t="s">
        <v>47</v>
      </c>
      <c r="I5" s="1">
        <v>535</v>
      </c>
      <c r="J5" s="1">
        <v>12723</v>
      </c>
      <c r="K5" s="1">
        <v>1</v>
      </c>
      <c r="L5" s="1">
        <v>89</v>
      </c>
      <c r="M5" s="1">
        <v>1514</v>
      </c>
      <c r="N5" s="1" t="s">
        <v>48</v>
      </c>
      <c r="O5" s="1">
        <v>20409</v>
      </c>
      <c r="P5" s="1">
        <v>93</v>
      </c>
      <c r="Q5" s="1" t="s">
        <v>111</v>
      </c>
      <c r="R5" s="1" t="s">
        <v>50</v>
      </c>
      <c r="S5" s="1">
        <v>0</v>
      </c>
      <c r="T5" s="1">
        <v>0</v>
      </c>
      <c r="U5" s="1">
        <v>197.97900000000001</v>
      </c>
      <c r="V5" s="1">
        <v>24.911999999999999</v>
      </c>
      <c r="W5" s="1">
        <v>0.54</v>
      </c>
      <c r="X5" s="1">
        <v>0.224</v>
      </c>
      <c r="Y5" s="1">
        <v>25.135999999999999</v>
      </c>
      <c r="Z5" s="1">
        <v>0.21299999999999999</v>
      </c>
      <c r="AA5" s="1">
        <v>-2.2999999999999998</v>
      </c>
      <c r="AB5" s="1">
        <v>-2.2999999999999998</v>
      </c>
      <c r="AC5" s="1">
        <v>-2.2999999999999998</v>
      </c>
      <c r="AD5" s="1">
        <v>0.224</v>
      </c>
      <c r="AE5" s="1">
        <v>0.21299999999999999</v>
      </c>
      <c r="AF5" s="1">
        <v>4.8000000000000001E-2</v>
      </c>
      <c r="AG5" s="1">
        <v>-2.2999999999999998</v>
      </c>
      <c r="AI5" s="1">
        <v>0</v>
      </c>
      <c r="AJ5" s="1">
        <v>0</v>
      </c>
      <c r="AK5" s="1">
        <v>0</v>
      </c>
      <c r="AL5" s="1">
        <v>1</v>
      </c>
      <c r="AM5" s="1">
        <v>86400</v>
      </c>
      <c r="AN5" s="1">
        <v>80824</v>
      </c>
      <c r="AO5" s="1">
        <v>5576</v>
      </c>
      <c r="AP5" s="1">
        <v>43401</v>
      </c>
      <c r="AQ5" s="1">
        <v>15.34256373566652</v>
      </c>
    </row>
    <row r="6" spans="1:43" x14ac:dyDescent="0.45">
      <c r="A6" s="1">
        <v>5</v>
      </c>
      <c r="B6" s="1">
        <v>1</v>
      </c>
      <c r="C6" s="1">
        <v>90</v>
      </c>
      <c r="D6" s="1" t="s">
        <v>43</v>
      </c>
      <c r="E6" s="1" t="s">
        <v>44</v>
      </c>
      <c r="F6" s="1" t="s">
        <v>45</v>
      </c>
      <c r="G6" s="1" t="s">
        <v>46</v>
      </c>
      <c r="H6" s="1" t="s">
        <v>47</v>
      </c>
      <c r="I6" s="1">
        <v>535</v>
      </c>
      <c r="J6" s="1">
        <v>12723</v>
      </c>
      <c r="K6" s="1">
        <v>1</v>
      </c>
      <c r="L6" s="1">
        <v>89</v>
      </c>
      <c r="M6" s="1">
        <v>1515</v>
      </c>
      <c r="N6" s="1" t="s">
        <v>48</v>
      </c>
      <c r="O6" s="1">
        <v>20411</v>
      </c>
      <c r="P6" s="1">
        <v>93</v>
      </c>
      <c r="Q6" s="1" t="s">
        <v>111</v>
      </c>
      <c r="R6" s="1" t="s">
        <v>50</v>
      </c>
      <c r="S6" s="1">
        <v>0</v>
      </c>
      <c r="T6" s="1">
        <v>0</v>
      </c>
      <c r="U6" s="1">
        <v>128.02099999999999</v>
      </c>
      <c r="V6" s="1">
        <v>24.83</v>
      </c>
      <c r="W6" s="1">
        <v>0.55000000000000004</v>
      </c>
      <c r="X6" s="1">
        <v>0.30199999999999999</v>
      </c>
      <c r="Y6" s="1">
        <v>25.132000000000001</v>
      </c>
      <c r="Z6" s="1">
        <v>0.188</v>
      </c>
      <c r="AA6" s="1">
        <v>-1.4</v>
      </c>
      <c r="AB6" s="1">
        <v>-1.4</v>
      </c>
      <c r="AC6" s="1">
        <v>-1.4</v>
      </c>
      <c r="AD6" s="1">
        <v>0.30199999999999999</v>
      </c>
      <c r="AE6" s="1">
        <v>0.188</v>
      </c>
      <c r="AF6" s="1">
        <v>5.7000000000000002E-2</v>
      </c>
      <c r="AG6" s="1">
        <v>-1.4</v>
      </c>
      <c r="AI6" s="1">
        <v>0</v>
      </c>
      <c r="AJ6" s="1">
        <v>0</v>
      </c>
      <c r="AK6" s="1">
        <v>0</v>
      </c>
      <c r="AL6" s="1">
        <v>1</v>
      </c>
      <c r="AM6" s="1">
        <v>86400</v>
      </c>
      <c r="AN6" s="1">
        <v>81068</v>
      </c>
      <c r="AO6" s="1">
        <v>5332</v>
      </c>
      <c r="AP6" s="1">
        <v>43422</v>
      </c>
      <c r="AQ6" s="1">
        <v>28.711608171234531</v>
      </c>
    </row>
    <row r="7" spans="1:43" x14ac:dyDescent="0.45">
      <c r="A7" s="1">
        <v>6</v>
      </c>
      <c r="B7" s="1">
        <v>26</v>
      </c>
      <c r="C7" s="1">
        <v>126</v>
      </c>
      <c r="D7" s="1" t="s">
        <v>51</v>
      </c>
      <c r="E7" s="1" t="s">
        <v>52</v>
      </c>
      <c r="F7" s="1" t="s">
        <v>53</v>
      </c>
      <c r="G7" s="1" t="s">
        <v>54</v>
      </c>
      <c r="H7" s="1" t="s">
        <v>47</v>
      </c>
      <c r="I7" s="1">
        <v>1113</v>
      </c>
      <c r="J7" s="1">
        <v>60690</v>
      </c>
      <c r="K7" s="1">
        <v>1</v>
      </c>
      <c r="L7" s="1">
        <v>125</v>
      </c>
      <c r="M7" s="1">
        <v>728</v>
      </c>
      <c r="N7" s="1" t="s">
        <v>48</v>
      </c>
      <c r="O7" s="1">
        <v>13852</v>
      </c>
      <c r="P7" s="1">
        <v>93</v>
      </c>
      <c r="Q7" s="1" t="s">
        <v>111</v>
      </c>
      <c r="R7" s="1" t="s">
        <v>50</v>
      </c>
      <c r="S7" s="1">
        <v>0</v>
      </c>
      <c r="T7" s="1">
        <v>0</v>
      </c>
      <c r="U7" s="1">
        <v>170.934</v>
      </c>
      <c r="V7" s="1">
        <v>24.483000000000001</v>
      </c>
      <c r="W7" s="1">
        <v>0.52</v>
      </c>
      <c r="X7" s="1">
        <v>0.10100000000000001</v>
      </c>
      <c r="Y7" s="1">
        <v>24.584</v>
      </c>
      <c r="Z7" s="1">
        <v>0.43099999999999999</v>
      </c>
      <c r="AA7" s="1">
        <v>0.1</v>
      </c>
      <c r="AB7" s="1">
        <v>0</v>
      </c>
      <c r="AC7" s="1">
        <v>0</v>
      </c>
      <c r="AD7" s="1">
        <v>0.10100000000000001</v>
      </c>
      <c r="AE7" s="1">
        <v>0.40500000000000003</v>
      </c>
      <c r="AF7" s="1">
        <v>4.1000000000000002E-2</v>
      </c>
      <c r="AG7" s="1">
        <v>0.1</v>
      </c>
      <c r="AI7" s="1">
        <v>0</v>
      </c>
      <c r="AJ7" s="1">
        <v>0</v>
      </c>
      <c r="AK7" s="1">
        <v>0</v>
      </c>
      <c r="AL7" s="1">
        <v>1</v>
      </c>
      <c r="AM7" s="1">
        <v>50787</v>
      </c>
      <c r="AN7" s="1">
        <v>7454</v>
      </c>
      <c r="AO7" s="1">
        <v>43333</v>
      </c>
      <c r="AP7" s="1">
        <v>48897</v>
      </c>
      <c r="AQ7" s="1">
        <v>1.0166460238070201</v>
      </c>
    </row>
    <row r="8" spans="1:43" x14ac:dyDescent="0.45">
      <c r="A8" s="1">
        <v>7</v>
      </c>
      <c r="B8" s="1">
        <v>26</v>
      </c>
      <c r="C8" s="1">
        <v>126</v>
      </c>
      <c r="D8" s="1" t="s">
        <v>51</v>
      </c>
      <c r="E8" s="1" t="s">
        <v>52</v>
      </c>
      <c r="F8" s="1" t="s">
        <v>53</v>
      </c>
      <c r="G8" s="1" t="s">
        <v>54</v>
      </c>
      <c r="H8" s="1" t="s">
        <v>47</v>
      </c>
      <c r="I8" s="1">
        <v>1113</v>
      </c>
      <c r="J8" s="1">
        <v>60690</v>
      </c>
      <c r="K8" s="1">
        <v>1</v>
      </c>
      <c r="L8" s="1">
        <v>125</v>
      </c>
      <c r="M8" s="1">
        <v>744</v>
      </c>
      <c r="N8" s="1" t="s">
        <v>48</v>
      </c>
      <c r="O8" s="1">
        <v>13931</v>
      </c>
      <c r="P8" s="1">
        <v>93</v>
      </c>
      <c r="Q8" s="1" t="s">
        <v>111</v>
      </c>
      <c r="R8" s="1" t="s">
        <v>50</v>
      </c>
      <c r="S8" s="1">
        <v>0</v>
      </c>
      <c r="T8" s="1">
        <v>0</v>
      </c>
      <c r="U8" s="1">
        <v>114.378</v>
      </c>
      <c r="V8" s="1">
        <v>26.774000000000001</v>
      </c>
      <c r="W8" s="1">
        <v>0.64</v>
      </c>
      <c r="X8" s="1">
        <v>0.57799999999999996</v>
      </c>
      <c r="Y8" s="1">
        <v>27.352</v>
      </c>
      <c r="Z8" s="1">
        <v>0.89200000000000002</v>
      </c>
      <c r="AA8" s="1">
        <v>0.9</v>
      </c>
      <c r="AB8" s="1">
        <v>0.9</v>
      </c>
      <c r="AC8" s="1">
        <v>0.9</v>
      </c>
      <c r="AD8" s="1">
        <v>0.57799999999999996</v>
      </c>
      <c r="AE8" s="1">
        <v>0.89100000000000001</v>
      </c>
      <c r="AF8" s="1">
        <v>0.51500000000000001</v>
      </c>
      <c r="AG8" s="1">
        <v>0.9</v>
      </c>
      <c r="AI8" s="1">
        <v>0</v>
      </c>
      <c r="AJ8" s="1">
        <v>0</v>
      </c>
      <c r="AK8" s="1">
        <v>0</v>
      </c>
      <c r="AL8" s="1">
        <v>1</v>
      </c>
      <c r="AM8" s="1">
        <v>86400</v>
      </c>
      <c r="AN8" s="1">
        <v>81448</v>
      </c>
      <c r="AO8" s="1">
        <v>4952</v>
      </c>
      <c r="AP8" s="1">
        <v>46832</v>
      </c>
      <c r="AQ8" s="1">
        <v>14.726650808541009</v>
      </c>
    </row>
    <row r="9" spans="1:43" x14ac:dyDescent="0.45">
      <c r="A9" s="1">
        <v>8</v>
      </c>
      <c r="B9" s="1">
        <v>26</v>
      </c>
      <c r="C9" s="1">
        <v>126</v>
      </c>
      <c r="D9" s="1" t="s">
        <v>51</v>
      </c>
      <c r="E9" s="1" t="s">
        <v>52</v>
      </c>
      <c r="F9" s="1" t="s">
        <v>53</v>
      </c>
      <c r="G9" s="1" t="s">
        <v>54</v>
      </c>
      <c r="H9" s="1" t="s">
        <v>47</v>
      </c>
      <c r="I9" s="1">
        <v>1113</v>
      </c>
      <c r="J9" s="1">
        <v>60690</v>
      </c>
      <c r="K9" s="1">
        <v>1</v>
      </c>
      <c r="L9" s="1">
        <v>125</v>
      </c>
      <c r="M9" s="1">
        <v>745</v>
      </c>
      <c r="N9" s="1" t="s">
        <v>48</v>
      </c>
      <c r="O9" s="1">
        <v>13937</v>
      </c>
      <c r="P9" s="1">
        <v>93</v>
      </c>
      <c r="Q9" s="1" t="s">
        <v>111</v>
      </c>
      <c r="R9" s="1" t="s">
        <v>50</v>
      </c>
      <c r="S9" s="1">
        <v>0</v>
      </c>
      <c r="T9" s="1">
        <v>0</v>
      </c>
      <c r="U9" s="1">
        <v>96.623000000000005</v>
      </c>
      <c r="V9" s="1">
        <v>25.923999999999999</v>
      </c>
      <c r="W9" s="1">
        <v>1.25</v>
      </c>
      <c r="X9" s="1">
        <v>1.0109999999999999</v>
      </c>
      <c r="Y9" s="1">
        <v>26.934000000000001</v>
      </c>
      <c r="Z9" s="1">
        <v>1.028</v>
      </c>
      <c r="AA9" s="1">
        <v>0.5</v>
      </c>
      <c r="AB9" s="1">
        <v>0.5</v>
      </c>
      <c r="AC9" s="1">
        <v>0.5</v>
      </c>
      <c r="AD9" s="1">
        <v>1.0109999999999999</v>
      </c>
      <c r="AE9" s="1">
        <v>1.0269999999999999</v>
      </c>
      <c r="AF9" s="1">
        <v>1.0389999999999999</v>
      </c>
      <c r="AG9" s="1">
        <v>0.5</v>
      </c>
      <c r="AI9" s="1">
        <v>0</v>
      </c>
      <c r="AJ9" s="1">
        <v>0</v>
      </c>
      <c r="AK9" s="1">
        <v>0</v>
      </c>
      <c r="AL9" s="1">
        <v>1</v>
      </c>
      <c r="AM9" s="1">
        <v>86400</v>
      </c>
      <c r="AN9" s="1">
        <v>81571</v>
      </c>
      <c r="AO9" s="1">
        <v>4829</v>
      </c>
      <c r="AP9" s="1">
        <v>46868</v>
      </c>
      <c r="AQ9" s="1">
        <v>13.826346560234111</v>
      </c>
    </row>
    <row r="10" spans="1:43" x14ac:dyDescent="0.45">
      <c r="A10" s="1">
        <v>9</v>
      </c>
      <c r="B10" s="1">
        <v>26</v>
      </c>
      <c r="C10" s="1">
        <v>126</v>
      </c>
      <c r="D10" s="1" t="s">
        <v>51</v>
      </c>
      <c r="E10" s="1" t="s">
        <v>52</v>
      </c>
      <c r="F10" s="1" t="s">
        <v>53</v>
      </c>
      <c r="G10" s="1" t="s">
        <v>54</v>
      </c>
      <c r="H10" s="1" t="s">
        <v>47</v>
      </c>
      <c r="I10" s="1">
        <v>1113</v>
      </c>
      <c r="J10" s="1">
        <v>60690</v>
      </c>
      <c r="K10" s="1">
        <v>1</v>
      </c>
      <c r="L10" s="1">
        <v>125</v>
      </c>
      <c r="M10" s="1">
        <v>746</v>
      </c>
      <c r="N10" s="1" t="s">
        <v>48</v>
      </c>
      <c r="O10" s="1">
        <v>13939</v>
      </c>
      <c r="P10" s="1">
        <v>93</v>
      </c>
      <c r="Q10" s="1" t="s">
        <v>111</v>
      </c>
      <c r="R10" s="1" t="s">
        <v>50</v>
      </c>
      <c r="S10" s="1">
        <v>0</v>
      </c>
      <c r="T10" s="1">
        <v>0</v>
      </c>
      <c r="U10" s="1">
        <v>50.188000000000002</v>
      </c>
      <c r="V10" s="1">
        <v>26.661999999999999</v>
      </c>
      <c r="W10" s="1">
        <v>0.56999999999999995</v>
      </c>
      <c r="X10" s="1">
        <v>0.27800000000000002</v>
      </c>
      <c r="Y10" s="1">
        <v>26.94</v>
      </c>
      <c r="Z10" s="1">
        <v>1.0329999999999999</v>
      </c>
      <c r="AA10" s="1">
        <v>0.4</v>
      </c>
      <c r="AB10" s="1">
        <v>0.4</v>
      </c>
      <c r="AC10" s="1">
        <v>0.4</v>
      </c>
      <c r="AD10" s="1">
        <v>0.27800000000000002</v>
      </c>
      <c r="AE10" s="1">
        <v>1.032</v>
      </c>
      <c r="AF10" s="1">
        <v>0.28699999999999998</v>
      </c>
      <c r="AG10" s="1">
        <v>0.4</v>
      </c>
      <c r="AI10" s="1">
        <v>0</v>
      </c>
      <c r="AJ10" s="1">
        <v>0</v>
      </c>
      <c r="AK10" s="1">
        <v>0</v>
      </c>
      <c r="AL10" s="1">
        <v>1</v>
      </c>
      <c r="AM10" s="1">
        <v>86400</v>
      </c>
      <c r="AN10" s="1">
        <v>74587</v>
      </c>
      <c r="AO10" s="1">
        <v>11813</v>
      </c>
      <c r="AP10" s="1">
        <v>47006</v>
      </c>
      <c r="AQ10" s="1">
        <v>2.0159687930275378</v>
      </c>
    </row>
    <row r="11" spans="1:43" x14ac:dyDescent="0.45">
      <c r="A11" s="1">
        <v>10</v>
      </c>
      <c r="B11" s="1">
        <v>26</v>
      </c>
      <c r="C11" s="1">
        <v>126</v>
      </c>
      <c r="D11" s="1" t="s">
        <v>51</v>
      </c>
      <c r="E11" s="1" t="s">
        <v>52</v>
      </c>
      <c r="F11" s="1" t="s">
        <v>53</v>
      </c>
      <c r="G11" s="1" t="s">
        <v>54</v>
      </c>
      <c r="H11" s="1" t="s">
        <v>47</v>
      </c>
      <c r="I11" s="1">
        <v>1113</v>
      </c>
      <c r="J11" s="1">
        <v>60690</v>
      </c>
      <c r="K11" s="1">
        <v>1</v>
      </c>
      <c r="L11" s="1">
        <v>125</v>
      </c>
      <c r="M11" s="1">
        <v>747</v>
      </c>
      <c r="N11" s="1" t="s">
        <v>48</v>
      </c>
      <c r="O11" s="1">
        <v>13942</v>
      </c>
      <c r="P11" s="1">
        <v>93</v>
      </c>
      <c r="Q11" s="1" t="s">
        <v>111</v>
      </c>
      <c r="R11" s="1" t="s">
        <v>50</v>
      </c>
      <c r="S11" s="1">
        <v>0</v>
      </c>
      <c r="T11" s="1">
        <v>0</v>
      </c>
      <c r="U11" s="1">
        <v>103.935</v>
      </c>
      <c r="V11" s="1">
        <v>26.231999999999999</v>
      </c>
      <c r="W11" s="1">
        <v>0.55000000000000004</v>
      </c>
      <c r="X11" s="1">
        <v>0.17799999999999999</v>
      </c>
      <c r="Y11" s="1">
        <v>26.41</v>
      </c>
      <c r="Z11" s="1">
        <v>1.3380000000000001</v>
      </c>
      <c r="AA11" s="1">
        <v>0.7</v>
      </c>
      <c r="AB11" s="1">
        <v>0.7</v>
      </c>
      <c r="AC11" s="1">
        <v>0.7</v>
      </c>
      <c r="AD11" s="1">
        <v>0.17799999999999999</v>
      </c>
      <c r="AE11" s="1">
        <v>1.3360000000000001</v>
      </c>
      <c r="AF11" s="1">
        <v>0.23799999999999999</v>
      </c>
      <c r="AG11" s="1">
        <v>0.7</v>
      </c>
      <c r="AI11" s="1">
        <v>0</v>
      </c>
      <c r="AJ11" s="1">
        <v>0</v>
      </c>
      <c r="AK11" s="1">
        <v>0</v>
      </c>
      <c r="AL11" s="1">
        <v>1</v>
      </c>
      <c r="AM11" s="1">
        <v>86400</v>
      </c>
      <c r="AN11" s="1">
        <v>81467</v>
      </c>
      <c r="AO11" s="1">
        <v>4933</v>
      </c>
      <c r="AP11" s="1">
        <v>46804</v>
      </c>
      <c r="AQ11" s="1">
        <v>13.86191296548439</v>
      </c>
    </row>
    <row r="12" spans="1:43" x14ac:dyDescent="0.45">
      <c r="A12" s="1">
        <v>11</v>
      </c>
      <c r="B12" s="1">
        <v>26</v>
      </c>
      <c r="C12" s="1">
        <v>126</v>
      </c>
      <c r="D12" s="1" t="s">
        <v>51</v>
      </c>
      <c r="E12" s="1" t="s">
        <v>52</v>
      </c>
      <c r="F12" s="1" t="s">
        <v>53</v>
      </c>
      <c r="G12" s="1" t="s">
        <v>54</v>
      </c>
      <c r="H12" s="1" t="s">
        <v>47</v>
      </c>
      <c r="I12" s="1">
        <v>1113</v>
      </c>
      <c r="J12" s="1">
        <v>60690</v>
      </c>
      <c r="K12" s="1">
        <v>1</v>
      </c>
      <c r="L12" s="1">
        <v>125</v>
      </c>
      <c r="M12" s="1">
        <v>748</v>
      </c>
      <c r="N12" s="1" t="s">
        <v>48</v>
      </c>
      <c r="O12" s="1">
        <v>13947</v>
      </c>
      <c r="P12" s="1">
        <v>93</v>
      </c>
      <c r="Q12" s="1" t="s">
        <v>111</v>
      </c>
      <c r="R12" s="1" t="s">
        <v>50</v>
      </c>
      <c r="S12" s="1">
        <v>0</v>
      </c>
      <c r="T12" s="1">
        <v>0</v>
      </c>
      <c r="U12" s="1">
        <v>65.254999999999995</v>
      </c>
      <c r="V12" s="1">
        <v>25.541</v>
      </c>
      <c r="W12" s="1">
        <v>0.55000000000000004</v>
      </c>
      <c r="X12" s="1">
        <v>0.17499999999999999</v>
      </c>
      <c r="Y12" s="1">
        <v>25.716000000000001</v>
      </c>
      <c r="Z12" s="1">
        <v>1.1459999999999999</v>
      </c>
      <c r="AA12" s="1">
        <v>1</v>
      </c>
      <c r="AB12" s="1">
        <v>1</v>
      </c>
      <c r="AC12" s="1">
        <v>1</v>
      </c>
      <c r="AD12" s="1">
        <v>0.17499999999999999</v>
      </c>
      <c r="AE12" s="1">
        <v>1.1439999999999999</v>
      </c>
      <c r="AF12" s="1">
        <v>0.2</v>
      </c>
      <c r="AG12" s="1">
        <v>1</v>
      </c>
      <c r="AI12" s="1">
        <v>0</v>
      </c>
      <c r="AJ12" s="1">
        <v>0</v>
      </c>
      <c r="AK12" s="1">
        <v>0</v>
      </c>
      <c r="AL12" s="1">
        <v>1</v>
      </c>
      <c r="AM12" s="1">
        <v>86400</v>
      </c>
      <c r="AN12" s="1">
        <v>81764</v>
      </c>
      <c r="AO12" s="1">
        <v>4636</v>
      </c>
      <c r="AP12" s="1">
        <v>44056</v>
      </c>
      <c r="AQ12" s="1">
        <v>8.1583103042716871</v>
      </c>
    </row>
    <row r="13" spans="1:43" x14ac:dyDescent="0.45">
      <c r="A13" s="1">
        <v>12</v>
      </c>
      <c r="B13" s="1">
        <v>26</v>
      </c>
      <c r="C13" s="1">
        <v>126</v>
      </c>
      <c r="D13" s="1" t="s">
        <v>51</v>
      </c>
      <c r="E13" s="1" t="s">
        <v>52</v>
      </c>
      <c r="F13" s="1" t="s">
        <v>53</v>
      </c>
      <c r="G13" s="1" t="s">
        <v>54</v>
      </c>
      <c r="H13" s="1" t="s">
        <v>47</v>
      </c>
      <c r="I13" s="1">
        <v>1113</v>
      </c>
      <c r="J13" s="1">
        <v>60690</v>
      </c>
      <c r="K13" s="1">
        <v>1</v>
      </c>
      <c r="L13" s="1">
        <v>125</v>
      </c>
      <c r="M13" s="1">
        <v>749</v>
      </c>
      <c r="N13" s="1" t="s">
        <v>48</v>
      </c>
      <c r="O13" s="1">
        <v>13948</v>
      </c>
      <c r="P13" s="1">
        <v>93</v>
      </c>
      <c r="Q13" s="1" t="s">
        <v>111</v>
      </c>
      <c r="R13" s="1" t="s">
        <v>50</v>
      </c>
      <c r="S13" s="1">
        <v>0</v>
      </c>
      <c r="T13" s="1">
        <v>0</v>
      </c>
      <c r="U13" s="1">
        <v>78.772000000000006</v>
      </c>
      <c r="V13" s="1">
        <v>25.585000000000001</v>
      </c>
      <c r="W13" s="1">
        <v>0.53</v>
      </c>
      <c r="X13" s="1">
        <v>0.11799999999999999</v>
      </c>
      <c r="Y13" s="1">
        <v>25.702999999999999</v>
      </c>
      <c r="Z13" s="1">
        <v>1.347</v>
      </c>
      <c r="AA13" s="1">
        <v>0.9</v>
      </c>
      <c r="AB13" s="1">
        <v>0.9</v>
      </c>
      <c r="AC13" s="1">
        <v>0.9</v>
      </c>
      <c r="AD13" s="1">
        <v>0.11799999999999999</v>
      </c>
      <c r="AE13" s="1">
        <v>1.3460000000000001</v>
      </c>
      <c r="AF13" s="1">
        <v>0.159</v>
      </c>
      <c r="AG13" s="1">
        <v>0.9</v>
      </c>
      <c r="AI13" s="1">
        <v>0</v>
      </c>
      <c r="AJ13" s="1">
        <v>0</v>
      </c>
      <c r="AK13" s="1">
        <v>0</v>
      </c>
      <c r="AL13" s="1">
        <v>1</v>
      </c>
      <c r="AM13" s="1">
        <v>86400</v>
      </c>
      <c r="AN13" s="1">
        <v>67761</v>
      </c>
      <c r="AO13" s="1">
        <v>18639</v>
      </c>
      <c r="AP13" s="1">
        <v>43811</v>
      </c>
      <c r="AQ13" s="1">
        <v>3.1463352407707261</v>
      </c>
    </row>
    <row r="14" spans="1:43" x14ac:dyDescent="0.45">
      <c r="A14" s="1">
        <v>13</v>
      </c>
      <c r="B14" s="1">
        <v>26</v>
      </c>
      <c r="C14" s="1">
        <v>126</v>
      </c>
      <c r="D14" s="1" t="s">
        <v>51</v>
      </c>
      <c r="E14" s="1" t="s">
        <v>52</v>
      </c>
      <c r="F14" s="1" t="s">
        <v>53</v>
      </c>
      <c r="G14" s="1" t="s">
        <v>54</v>
      </c>
      <c r="H14" s="1" t="s">
        <v>47</v>
      </c>
      <c r="I14" s="1">
        <v>1113</v>
      </c>
      <c r="J14" s="1">
        <v>60690</v>
      </c>
      <c r="K14" s="1">
        <v>1</v>
      </c>
      <c r="L14" s="1">
        <v>125</v>
      </c>
      <c r="M14" s="1">
        <v>751</v>
      </c>
      <c r="N14" s="1" t="s">
        <v>48</v>
      </c>
      <c r="O14" s="1">
        <v>13980</v>
      </c>
      <c r="P14" s="1">
        <v>93</v>
      </c>
      <c r="Q14" s="1" t="s">
        <v>111</v>
      </c>
      <c r="R14" s="1" t="s">
        <v>50</v>
      </c>
      <c r="S14" s="1">
        <v>0</v>
      </c>
      <c r="T14" s="1">
        <v>0</v>
      </c>
      <c r="U14" s="1">
        <v>129.672</v>
      </c>
      <c r="V14" s="1">
        <v>26.687000000000001</v>
      </c>
      <c r="W14" s="1">
        <v>1.24</v>
      </c>
      <c r="X14" s="1">
        <v>1.258</v>
      </c>
      <c r="Y14" s="1">
        <v>27.943999999999999</v>
      </c>
      <c r="Z14" s="1">
        <v>0.45400000000000001</v>
      </c>
      <c r="AA14" s="1">
        <v>1.7</v>
      </c>
      <c r="AB14" s="1">
        <v>1.7</v>
      </c>
      <c r="AC14" s="1">
        <v>1.7</v>
      </c>
      <c r="AD14" s="1">
        <v>1.258</v>
      </c>
      <c r="AE14" s="1">
        <v>0.45400000000000001</v>
      </c>
      <c r="AF14" s="1">
        <v>0.57099999999999995</v>
      </c>
      <c r="AG14" s="1">
        <v>1.7</v>
      </c>
      <c r="AI14" s="1">
        <v>0</v>
      </c>
      <c r="AJ14" s="1">
        <v>0</v>
      </c>
      <c r="AK14" s="1">
        <v>0</v>
      </c>
      <c r="AL14" s="1">
        <v>1</v>
      </c>
      <c r="AM14" s="1">
        <v>86400</v>
      </c>
      <c r="AN14" s="1">
        <v>81653</v>
      </c>
      <c r="AO14" s="1">
        <v>4747</v>
      </c>
      <c r="AP14" s="1">
        <v>44102</v>
      </c>
      <c r="AQ14" s="1">
        <v>16.446085103472111</v>
      </c>
    </row>
    <row r="15" spans="1:43" x14ac:dyDescent="0.45">
      <c r="A15" s="1">
        <v>14</v>
      </c>
      <c r="B15" s="1">
        <v>26</v>
      </c>
      <c r="C15" s="1">
        <v>126</v>
      </c>
      <c r="D15" s="1" t="s">
        <v>51</v>
      </c>
      <c r="E15" s="1" t="s">
        <v>52</v>
      </c>
      <c r="F15" s="1" t="s">
        <v>53</v>
      </c>
      <c r="G15" s="1" t="s">
        <v>54</v>
      </c>
      <c r="H15" s="1" t="s">
        <v>47</v>
      </c>
      <c r="I15" s="1">
        <v>1113</v>
      </c>
      <c r="J15" s="1">
        <v>60690</v>
      </c>
      <c r="K15" s="1">
        <v>1</v>
      </c>
      <c r="L15" s="1">
        <v>125</v>
      </c>
      <c r="M15" s="1">
        <v>752</v>
      </c>
      <c r="N15" s="1" t="s">
        <v>48</v>
      </c>
      <c r="O15" s="1">
        <v>13981</v>
      </c>
      <c r="P15" s="1">
        <v>93</v>
      </c>
      <c r="Q15" s="1" t="s">
        <v>111</v>
      </c>
      <c r="R15" s="1" t="s">
        <v>50</v>
      </c>
      <c r="S15" s="1">
        <v>0</v>
      </c>
      <c r="T15" s="1">
        <v>0</v>
      </c>
      <c r="U15" s="1">
        <v>101.494</v>
      </c>
      <c r="V15" s="1">
        <v>27.503</v>
      </c>
      <c r="W15" s="1">
        <v>0.56999999999999995</v>
      </c>
      <c r="X15" s="1">
        <v>0.442</v>
      </c>
      <c r="Y15" s="1">
        <v>27.945</v>
      </c>
      <c r="Z15" s="1">
        <v>9.4E-2</v>
      </c>
      <c r="AA15" s="1">
        <v>1</v>
      </c>
      <c r="AB15" s="1">
        <v>1</v>
      </c>
      <c r="AC15" s="1">
        <v>1</v>
      </c>
      <c r="AD15" s="1">
        <v>0.442</v>
      </c>
      <c r="AE15" s="1">
        <v>9.4E-2</v>
      </c>
      <c r="AF15" s="1">
        <v>4.2000000000000003E-2</v>
      </c>
      <c r="AG15" s="1">
        <v>1</v>
      </c>
      <c r="AI15" s="1">
        <v>0</v>
      </c>
      <c r="AJ15" s="1">
        <v>0</v>
      </c>
      <c r="AK15" s="1">
        <v>0</v>
      </c>
      <c r="AL15" s="1">
        <v>1</v>
      </c>
      <c r="AM15" s="1">
        <v>86400</v>
      </c>
      <c r="AN15" s="1">
        <v>71644</v>
      </c>
      <c r="AO15" s="1">
        <v>14756</v>
      </c>
      <c r="AP15" s="1">
        <v>47000</v>
      </c>
      <c r="AQ15" s="1">
        <v>2.550246115372929</v>
      </c>
    </row>
    <row r="16" spans="1:43" x14ac:dyDescent="0.45">
      <c r="A16" s="1">
        <v>15</v>
      </c>
      <c r="B16" s="1">
        <v>26</v>
      </c>
      <c r="C16" s="1">
        <v>126</v>
      </c>
      <c r="D16" s="1" t="s">
        <v>51</v>
      </c>
      <c r="E16" s="1" t="s">
        <v>52</v>
      </c>
      <c r="F16" s="1" t="s">
        <v>53</v>
      </c>
      <c r="G16" s="1" t="s">
        <v>54</v>
      </c>
      <c r="H16" s="1" t="s">
        <v>47</v>
      </c>
      <c r="I16" s="1">
        <v>1113</v>
      </c>
      <c r="J16" s="1">
        <v>60690</v>
      </c>
      <c r="K16" s="1">
        <v>1</v>
      </c>
      <c r="L16" s="1">
        <v>125</v>
      </c>
      <c r="M16" s="1">
        <v>753</v>
      </c>
      <c r="N16" s="1" t="s">
        <v>48</v>
      </c>
      <c r="O16" s="1">
        <v>13983</v>
      </c>
      <c r="P16" s="1">
        <v>93</v>
      </c>
      <c r="Q16" s="1" t="s">
        <v>111</v>
      </c>
      <c r="R16" s="1" t="s">
        <v>50</v>
      </c>
      <c r="S16" s="1">
        <v>0</v>
      </c>
      <c r="T16" s="1">
        <v>0</v>
      </c>
      <c r="U16" s="1">
        <v>120.179</v>
      </c>
      <c r="V16" s="1">
        <v>26.143000000000001</v>
      </c>
      <c r="W16" s="1">
        <v>1.28</v>
      </c>
      <c r="X16" s="1">
        <v>1.8009999999999999</v>
      </c>
      <c r="Y16" s="1">
        <v>27.943999999999999</v>
      </c>
      <c r="Z16" s="1">
        <v>2.5999999999999999E-2</v>
      </c>
      <c r="AA16" s="1">
        <v>-0.2</v>
      </c>
      <c r="AB16" s="1">
        <v>0.4</v>
      </c>
      <c r="AC16" s="1">
        <v>0.4</v>
      </c>
      <c r="AD16" s="1">
        <v>1.8009999999999999</v>
      </c>
      <c r="AE16" s="1">
        <v>2.3E-2</v>
      </c>
      <c r="AF16" s="1">
        <v>4.2000000000000003E-2</v>
      </c>
      <c r="AG16" s="1">
        <v>-0.2</v>
      </c>
      <c r="AI16" s="1">
        <v>0</v>
      </c>
      <c r="AJ16" s="1">
        <v>0</v>
      </c>
      <c r="AK16" s="1">
        <v>0</v>
      </c>
      <c r="AL16" s="1">
        <v>1</v>
      </c>
      <c r="AM16" s="1">
        <v>86400</v>
      </c>
      <c r="AN16" s="1">
        <v>81769</v>
      </c>
      <c r="AO16" s="1">
        <v>4631</v>
      </c>
      <c r="AP16" s="1">
        <v>46859</v>
      </c>
      <c r="AQ16" s="1">
        <v>18.214009098420071</v>
      </c>
    </row>
    <row r="17" spans="1:43" x14ac:dyDescent="0.45">
      <c r="A17" s="1">
        <v>16</v>
      </c>
      <c r="B17" s="1">
        <v>26</v>
      </c>
      <c r="C17" s="1">
        <v>126</v>
      </c>
      <c r="D17" s="1" t="s">
        <v>51</v>
      </c>
      <c r="E17" s="1" t="s">
        <v>52</v>
      </c>
      <c r="F17" s="1" t="s">
        <v>53</v>
      </c>
      <c r="G17" s="1" t="s">
        <v>54</v>
      </c>
      <c r="H17" s="1" t="s">
        <v>47</v>
      </c>
      <c r="I17" s="1">
        <v>1113</v>
      </c>
      <c r="J17" s="1">
        <v>60690</v>
      </c>
      <c r="K17" s="1">
        <v>1</v>
      </c>
      <c r="L17" s="1">
        <v>125</v>
      </c>
      <c r="M17" s="1">
        <v>754</v>
      </c>
      <c r="N17" s="1" t="s">
        <v>48</v>
      </c>
      <c r="O17" s="1">
        <v>13984</v>
      </c>
      <c r="P17" s="1">
        <v>93</v>
      </c>
      <c r="Q17" s="1" t="s">
        <v>111</v>
      </c>
      <c r="R17" s="1" t="s">
        <v>50</v>
      </c>
      <c r="S17" s="1">
        <v>0</v>
      </c>
      <c r="T17" s="1">
        <v>0</v>
      </c>
      <c r="U17" s="1">
        <v>56.768999999999998</v>
      </c>
      <c r="V17" s="1">
        <v>26.436</v>
      </c>
      <c r="W17" s="1">
        <v>1.24</v>
      </c>
      <c r="X17" s="1">
        <v>1.508</v>
      </c>
      <c r="Y17" s="1">
        <v>27.945</v>
      </c>
      <c r="Z17" s="1">
        <v>0.104</v>
      </c>
      <c r="AA17" s="1">
        <v>2</v>
      </c>
      <c r="AB17" s="1">
        <v>2</v>
      </c>
      <c r="AC17" s="1">
        <v>2</v>
      </c>
      <c r="AD17" s="1">
        <v>1.508</v>
      </c>
      <c r="AE17" s="1">
        <v>0.104</v>
      </c>
      <c r="AF17" s="1">
        <v>0.156</v>
      </c>
      <c r="AG17" s="1">
        <v>2</v>
      </c>
      <c r="AI17" s="1">
        <v>0</v>
      </c>
      <c r="AJ17" s="1">
        <v>0</v>
      </c>
      <c r="AK17" s="1">
        <v>0</v>
      </c>
      <c r="AL17" s="1">
        <v>1</v>
      </c>
      <c r="AM17" s="1">
        <v>86400</v>
      </c>
      <c r="AN17" s="1">
        <v>80246</v>
      </c>
      <c r="AO17" s="1">
        <v>6154</v>
      </c>
      <c r="AP17" s="1">
        <v>46962</v>
      </c>
      <c r="AQ17" s="1">
        <v>8.1239243294216497</v>
      </c>
    </row>
    <row r="18" spans="1:43" x14ac:dyDescent="0.45">
      <c r="A18" s="1">
        <v>17</v>
      </c>
      <c r="B18" s="1">
        <v>26</v>
      </c>
      <c r="C18" s="1">
        <v>126</v>
      </c>
      <c r="D18" s="1" t="s">
        <v>51</v>
      </c>
      <c r="E18" s="1" t="s">
        <v>52</v>
      </c>
      <c r="F18" s="1" t="s">
        <v>53</v>
      </c>
      <c r="G18" s="1" t="s">
        <v>54</v>
      </c>
      <c r="H18" s="1" t="s">
        <v>47</v>
      </c>
      <c r="I18" s="1">
        <v>1113</v>
      </c>
      <c r="J18" s="1">
        <v>60690</v>
      </c>
      <c r="K18" s="1">
        <v>1</v>
      </c>
      <c r="L18" s="1">
        <v>125</v>
      </c>
      <c r="M18" s="1">
        <v>755</v>
      </c>
      <c r="N18" s="1" t="s">
        <v>48</v>
      </c>
      <c r="O18" s="1">
        <v>13985</v>
      </c>
      <c r="P18" s="1">
        <v>93</v>
      </c>
      <c r="Q18" s="1" t="s">
        <v>111</v>
      </c>
      <c r="R18" s="1" t="s">
        <v>50</v>
      </c>
      <c r="S18" s="1">
        <v>0</v>
      </c>
      <c r="T18" s="1">
        <v>0</v>
      </c>
      <c r="U18" s="1">
        <v>123.34399999999999</v>
      </c>
      <c r="V18" s="1">
        <v>26.719000000000001</v>
      </c>
      <c r="W18" s="1">
        <v>1.22</v>
      </c>
      <c r="X18" s="1">
        <v>1.2250000000000001</v>
      </c>
      <c r="Y18" s="1">
        <v>27.945</v>
      </c>
      <c r="Z18" s="1">
        <v>0.27800000000000002</v>
      </c>
      <c r="AA18" s="1">
        <v>1</v>
      </c>
      <c r="AB18" s="1">
        <v>1</v>
      </c>
      <c r="AC18" s="1">
        <v>1</v>
      </c>
      <c r="AD18" s="1">
        <v>1.2250000000000001</v>
      </c>
      <c r="AE18" s="1">
        <v>0.27700000000000002</v>
      </c>
      <c r="AF18" s="1">
        <v>0.34</v>
      </c>
      <c r="AG18" s="1">
        <v>1</v>
      </c>
      <c r="AI18" s="1">
        <v>0</v>
      </c>
      <c r="AJ18" s="1">
        <v>0</v>
      </c>
      <c r="AK18" s="1">
        <v>0</v>
      </c>
      <c r="AL18" s="1">
        <v>1</v>
      </c>
      <c r="AM18" s="1">
        <v>86400</v>
      </c>
      <c r="AN18" s="1">
        <v>78209</v>
      </c>
      <c r="AO18" s="1">
        <v>8191</v>
      </c>
      <c r="AP18" s="1">
        <v>47222</v>
      </c>
      <c r="AQ18" s="1">
        <v>19.124216548558131</v>
      </c>
    </row>
    <row r="19" spans="1:43" x14ac:dyDescent="0.45">
      <c r="A19" s="1">
        <v>18</v>
      </c>
      <c r="B19" s="1">
        <v>26</v>
      </c>
      <c r="C19" s="1">
        <v>126</v>
      </c>
      <c r="D19" s="1" t="s">
        <v>51</v>
      </c>
      <c r="E19" s="1" t="s">
        <v>52</v>
      </c>
      <c r="F19" s="1" t="s">
        <v>53</v>
      </c>
      <c r="G19" s="1" t="s">
        <v>54</v>
      </c>
      <c r="H19" s="1" t="s">
        <v>47</v>
      </c>
      <c r="I19" s="1">
        <v>1113</v>
      </c>
      <c r="J19" s="1">
        <v>60690</v>
      </c>
      <c r="K19" s="1">
        <v>1</v>
      </c>
      <c r="L19" s="1">
        <v>125</v>
      </c>
      <c r="M19" s="1">
        <v>756</v>
      </c>
      <c r="N19" s="1" t="s">
        <v>48</v>
      </c>
      <c r="O19" s="1">
        <v>13991</v>
      </c>
      <c r="P19" s="1">
        <v>93</v>
      </c>
      <c r="Q19" s="1" t="s">
        <v>111</v>
      </c>
      <c r="R19" s="1" t="s">
        <v>50</v>
      </c>
      <c r="S19" s="1">
        <v>0</v>
      </c>
      <c r="T19" s="1">
        <v>0</v>
      </c>
      <c r="U19" s="1">
        <v>207.12200000000001</v>
      </c>
      <c r="V19" s="1">
        <v>27.35</v>
      </c>
      <c r="W19" s="1">
        <v>0.63</v>
      </c>
      <c r="X19" s="1">
        <v>0.749</v>
      </c>
      <c r="Y19" s="1">
        <v>28.097999999999999</v>
      </c>
      <c r="Z19" s="1">
        <v>0.22900000000000001</v>
      </c>
      <c r="AA19" s="1">
        <v>1.1000000000000001</v>
      </c>
      <c r="AB19" s="1">
        <v>1.1000000000000001</v>
      </c>
      <c r="AC19" s="1">
        <v>1.1000000000000001</v>
      </c>
      <c r="AD19" s="1">
        <v>0.749</v>
      </c>
      <c r="AE19" s="1">
        <v>0.22900000000000001</v>
      </c>
      <c r="AF19" s="1">
        <v>0.17100000000000001</v>
      </c>
      <c r="AG19" s="1">
        <v>1.1000000000000001</v>
      </c>
      <c r="AI19" s="1">
        <v>0</v>
      </c>
      <c r="AJ19" s="1">
        <v>0</v>
      </c>
      <c r="AK19" s="1">
        <v>0</v>
      </c>
      <c r="AL19" s="1">
        <v>1</v>
      </c>
      <c r="AM19" s="1">
        <v>86400</v>
      </c>
      <c r="AN19" s="1">
        <v>80980</v>
      </c>
      <c r="AO19" s="1">
        <v>5420</v>
      </c>
      <c r="AP19" s="1">
        <v>43458</v>
      </c>
      <c r="AQ19" s="1">
        <v>19.211231599200559</v>
      </c>
    </row>
    <row r="20" spans="1:43" x14ac:dyDescent="0.45">
      <c r="A20" s="1">
        <v>19</v>
      </c>
      <c r="B20" s="1">
        <v>26</v>
      </c>
      <c r="C20" s="1">
        <v>126</v>
      </c>
      <c r="D20" s="1" t="s">
        <v>51</v>
      </c>
      <c r="E20" s="1" t="s">
        <v>52</v>
      </c>
      <c r="F20" s="1" t="s">
        <v>53</v>
      </c>
      <c r="G20" s="1" t="s">
        <v>54</v>
      </c>
      <c r="H20" s="1" t="s">
        <v>47</v>
      </c>
      <c r="I20" s="1">
        <v>1113</v>
      </c>
      <c r="J20" s="1">
        <v>60690</v>
      </c>
      <c r="K20" s="1">
        <v>1</v>
      </c>
      <c r="L20" s="1">
        <v>125</v>
      </c>
      <c r="M20" s="1">
        <v>758</v>
      </c>
      <c r="N20" s="1" t="s">
        <v>48</v>
      </c>
      <c r="O20" s="1">
        <v>13995</v>
      </c>
      <c r="P20" s="1">
        <v>93</v>
      </c>
      <c r="Q20" s="1" t="s">
        <v>111</v>
      </c>
      <c r="R20" s="1" t="s">
        <v>50</v>
      </c>
      <c r="S20" s="1">
        <v>0</v>
      </c>
      <c r="T20" s="1">
        <v>0</v>
      </c>
      <c r="U20" s="1">
        <v>115.254</v>
      </c>
      <c r="V20" s="1">
        <v>27.329000000000001</v>
      </c>
      <c r="W20" s="1">
        <v>0.57999999999999996</v>
      </c>
      <c r="X20" s="1">
        <v>0.46100000000000002</v>
      </c>
      <c r="Y20" s="1">
        <v>27.79</v>
      </c>
      <c r="Z20" s="1">
        <v>0.34200000000000003</v>
      </c>
      <c r="AA20" s="1">
        <v>-2.4</v>
      </c>
      <c r="AB20" s="1">
        <v>-2.4</v>
      </c>
      <c r="AC20" s="1">
        <v>-2.4</v>
      </c>
      <c r="AD20" s="1">
        <v>0.46100000000000002</v>
      </c>
      <c r="AE20" s="1">
        <v>0.34200000000000003</v>
      </c>
      <c r="AF20" s="1">
        <v>0.158</v>
      </c>
      <c r="AG20" s="1">
        <v>-2.4</v>
      </c>
      <c r="AI20" s="1">
        <v>0</v>
      </c>
      <c r="AJ20" s="1">
        <v>0</v>
      </c>
      <c r="AK20" s="1">
        <v>0</v>
      </c>
      <c r="AL20" s="1">
        <v>1</v>
      </c>
      <c r="AM20" s="1">
        <v>86400</v>
      </c>
      <c r="AN20" s="1">
        <v>75161</v>
      </c>
      <c r="AO20" s="1">
        <v>11239</v>
      </c>
      <c r="AP20" s="1">
        <v>47469</v>
      </c>
      <c r="AQ20" s="1">
        <v>6.4405774991027416</v>
      </c>
    </row>
    <row r="21" spans="1:43" x14ac:dyDescent="0.45">
      <c r="A21" s="1">
        <v>20</v>
      </c>
      <c r="B21" s="1">
        <v>26</v>
      </c>
      <c r="C21" s="1">
        <v>126</v>
      </c>
      <c r="D21" s="1" t="s">
        <v>51</v>
      </c>
      <c r="E21" s="1" t="s">
        <v>52</v>
      </c>
      <c r="F21" s="1" t="s">
        <v>53</v>
      </c>
      <c r="G21" s="1" t="s">
        <v>54</v>
      </c>
      <c r="H21" s="1" t="s">
        <v>47</v>
      </c>
      <c r="I21" s="1">
        <v>1113</v>
      </c>
      <c r="J21" s="1">
        <v>60690</v>
      </c>
      <c r="K21" s="1">
        <v>1</v>
      </c>
      <c r="L21" s="1">
        <v>125</v>
      </c>
      <c r="M21" s="1">
        <v>760</v>
      </c>
      <c r="N21" s="1" t="s">
        <v>48</v>
      </c>
      <c r="O21" s="1">
        <v>13998</v>
      </c>
      <c r="P21" s="1">
        <v>93</v>
      </c>
      <c r="Q21" s="1" t="s">
        <v>111</v>
      </c>
      <c r="R21" s="1" t="s">
        <v>50</v>
      </c>
      <c r="S21" s="1">
        <v>0</v>
      </c>
      <c r="T21" s="1">
        <v>0</v>
      </c>
      <c r="U21" s="1">
        <v>119.096</v>
      </c>
      <c r="V21" s="1">
        <v>27.666</v>
      </c>
      <c r="W21" s="1">
        <v>0.53</v>
      </c>
      <c r="X21" s="1">
        <v>0.13800000000000001</v>
      </c>
      <c r="Y21" s="1">
        <v>27.803000000000001</v>
      </c>
      <c r="Z21" s="1">
        <v>0.53800000000000003</v>
      </c>
      <c r="AA21" s="1">
        <v>1</v>
      </c>
      <c r="AB21" s="1">
        <v>1</v>
      </c>
      <c r="AC21" s="1">
        <v>1</v>
      </c>
      <c r="AD21" s="1">
        <v>0.13800000000000001</v>
      </c>
      <c r="AE21" s="1">
        <v>0.53500000000000003</v>
      </c>
      <c r="AF21" s="1">
        <v>7.3999999999999996E-2</v>
      </c>
      <c r="AG21" s="1">
        <v>1</v>
      </c>
      <c r="AI21" s="1">
        <v>0</v>
      </c>
      <c r="AJ21" s="1">
        <v>0</v>
      </c>
      <c r="AK21" s="1">
        <v>0</v>
      </c>
      <c r="AL21" s="1">
        <v>1</v>
      </c>
      <c r="AM21" s="1">
        <v>86400</v>
      </c>
      <c r="AN21" s="1">
        <v>80764</v>
      </c>
      <c r="AO21" s="1">
        <v>5636</v>
      </c>
      <c r="AP21" s="1">
        <v>47008</v>
      </c>
      <c r="AQ21" s="1">
        <v>10.97122603180012</v>
      </c>
    </row>
    <row r="22" spans="1:43" x14ac:dyDescent="0.45">
      <c r="A22" s="1">
        <v>21</v>
      </c>
      <c r="B22" s="1">
        <v>26</v>
      </c>
      <c r="C22" s="1">
        <v>126</v>
      </c>
      <c r="D22" s="1" t="s">
        <v>51</v>
      </c>
      <c r="E22" s="1" t="s">
        <v>52</v>
      </c>
      <c r="F22" s="1" t="s">
        <v>53</v>
      </c>
      <c r="G22" s="1" t="s">
        <v>54</v>
      </c>
      <c r="H22" s="1" t="s">
        <v>47</v>
      </c>
      <c r="I22" s="1">
        <v>1113</v>
      </c>
      <c r="J22" s="1">
        <v>60690</v>
      </c>
      <c r="K22" s="1">
        <v>1</v>
      </c>
      <c r="L22" s="1">
        <v>125</v>
      </c>
      <c r="M22" s="1">
        <v>761</v>
      </c>
      <c r="N22" s="1" t="s">
        <v>48</v>
      </c>
      <c r="O22" s="1">
        <v>14003</v>
      </c>
      <c r="P22" s="1">
        <v>93</v>
      </c>
      <c r="Q22" s="1" t="s">
        <v>111</v>
      </c>
      <c r="R22" s="1" t="s">
        <v>50</v>
      </c>
      <c r="S22" s="1">
        <v>0</v>
      </c>
      <c r="T22" s="1">
        <v>0</v>
      </c>
      <c r="U22" s="1">
        <v>228.09399999999999</v>
      </c>
      <c r="V22" s="1">
        <v>27.916</v>
      </c>
      <c r="W22" s="1">
        <v>0.54</v>
      </c>
      <c r="X22" s="1">
        <v>0.20100000000000001</v>
      </c>
      <c r="Y22" s="1">
        <v>28.117000000000001</v>
      </c>
      <c r="Z22" s="1">
        <v>0.42</v>
      </c>
      <c r="AA22" s="1">
        <v>1</v>
      </c>
      <c r="AB22" s="1">
        <v>1</v>
      </c>
      <c r="AC22" s="1">
        <v>1</v>
      </c>
      <c r="AD22" s="1">
        <v>0.20100000000000001</v>
      </c>
      <c r="AE22" s="1">
        <v>0.41899999999999998</v>
      </c>
      <c r="AF22" s="1">
        <v>8.4000000000000005E-2</v>
      </c>
      <c r="AG22" s="1">
        <v>1</v>
      </c>
      <c r="AI22" s="1">
        <v>0</v>
      </c>
      <c r="AJ22" s="1">
        <v>0</v>
      </c>
      <c r="AK22" s="1">
        <v>0</v>
      </c>
      <c r="AL22" s="1">
        <v>1</v>
      </c>
      <c r="AM22" s="1">
        <v>86400</v>
      </c>
      <c r="AN22" s="1">
        <v>81057</v>
      </c>
      <c r="AO22" s="1">
        <v>5343</v>
      </c>
      <c r="AP22" s="1">
        <v>43560</v>
      </c>
      <c r="AQ22" s="1">
        <v>19.374882702662571</v>
      </c>
    </row>
    <row r="23" spans="1:43" x14ac:dyDescent="0.45">
      <c r="A23" s="1">
        <v>22</v>
      </c>
      <c r="B23" s="1">
        <v>26</v>
      </c>
      <c r="C23" s="1">
        <v>126</v>
      </c>
      <c r="D23" s="1" t="s">
        <v>51</v>
      </c>
      <c r="E23" s="1" t="s">
        <v>52</v>
      </c>
      <c r="F23" s="1" t="s">
        <v>53</v>
      </c>
      <c r="G23" s="1" t="s">
        <v>54</v>
      </c>
      <c r="H23" s="1" t="s">
        <v>47</v>
      </c>
      <c r="I23" s="1">
        <v>1113</v>
      </c>
      <c r="J23" s="1">
        <v>60690</v>
      </c>
      <c r="K23" s="1">
        <v>1</v>
      </c>
      <c r="L23" s="1">
        <v>125</v>
      </c>
      <c r="M23" s="1">
        <v>763</v>
      </c>
      <c r="N23" s="1" t="s">
        <v>48</v>
      </c>
      <c r="O23" s="1">
        <v>14013</v>
      </c>
      <c r="P23" s="1">
        <v>93</v>
      </c>
      <c r="Q23" s="1" t="s">
        <v>111</v>
      </c>
      <c r="R23" s="1" t="s">
        <v>50</v>
      </c>
      <c r="S23" s="1">
        <v>0</v>
      </c>
      <c r="T23" s="1">
        <v>0</v>
      </c>
      <c r="U23" s="1">
        <v>294.262</v>
      </c>
      <c r="V23" s="1">
        <v>27.864000000000001</v>
      </c>
      <c r="W23" s="1">
        <v>0.52</v>
      </c>
      <c r="X23" s="1">
        <v>0.108</v>
      </c>
      <c r="Y23" s="1">
        <v>27.972000000000001</v>
      </c>
      <c r="Z23" s="1">
        <v>0.47599999999999998</v>
      </c>
      <c r="AA23" s="1">
        <v>1</v>
      </c>
      <c r="AB23" s="1">
        <v>1</v>
      </c>
      <c r="AC23" s="1">
        <v>1</v>
      </c>
      <c r="AD23" s="1">
        <v>0.108</v>
      </c>
      <c r="AE23" s="1">
        <v>0.47499999999999998</v>
      </c>
      <c r="AF23" s="1">
        <v>5.0999999999999997E-2</v>
      </c>
      <c r="AG23" s="1">
        <v>1</v>
      </c>
      <c r="AI23" s="1">
        <v>0</v>
      </c>
      <c r="AJ23" s="1">
        <v>0</v>
      </c>
      <c r="AK23" s="1">
        <v>0</v>
      </c>
      <c r="AL23" s="1">
        <v>1</v>
      </c>
      <c r="AM23" s="1">
        <v>86400</v>
      </c>
      <c r="AN23" s="1">
        <v>80586</v>
      </c>
      <c r="AO23" s="1">
        <v>5814</v>
      </c>
      <c r="AP23" s="1">
        <v>46823</v>
      </c>
      <c r="AQ23" s="1">
        <v>22.582569825451209</v>
      </c>
    </row>
    <row r="24" spans="1:43" x14ac:dyDescent="0.45">
      <c r="A24" s="1">
        <v>23</v>
      </c>
      <c r="B24" s="1">
        <v>26</v>
      </c>
      <c r="C24" s="1">
        <v>126</v>
      </c>
      <c r="D24" s="1" t="s">
        <v>51</v>
      </c>
      <c r="E24" s="1" t="s">
        <v>52</v>
      </c>
      <c r="F24" s="1" t="s">
        <v>53</v>
      </c>
      <c r="G24" s="1" t="s">
        <v>54</v>
      </c>
      <c r="H24" s="1" t="s">
        <v>47</v>
      </c>
      <c r="I24" s="1">
        <v>1113</v>
      </c>
      <c r="J24" s="1">
        <v>60690</v>
      </c>
      <c r="K24" s="1">
        <v>1</v>
      </c>
      <c r="L24" s="1">
        <v>125</v>
      </c>
      <c r="M24" s="1">
        <v>764</v>
      </c>
      <c r="N24" s="1" t="s">
        <v>48</v>
      </c>
      <c r="O24" s="1">
        <v>14028</v>
      </c>
      <c r="P24" s="1">
        <v>93</v>
      </c>
      <c r="Q24" s="1" t="s">
        <v>111</v>
      </c>
      <c r="R24" s="1" t="s">
        <v>50</v>
      </c>
      <c r="S24" s="1">
        <v>0</v>
      </c>
      <c r="T24" s="1">
        <v>0</v>
      </c>
      <c r="U24" s="1">
        <v>53.363999999999997</v>
      </c>
      <c r="V24" s="1">
        <v>26.815000000000001</v>
      </c>
      <c r="W24" s="1">
        <v>1.1599999999999999</v>
      </c>
      <c r="X24" s="1">
        <v>0.97699999999999998</v>
      </c>
      <c r="Y24" s="1">
        <v>27.792000000000002</v>
      </c>
      <c r="Z24" s="1">
        <v>0.16400000000000001</v>
      </c>
      <c r="AA24" s="1">
        <v>-0.8</v>
      </c>
      <c r="AB24" s="1">
        <v>-0.7</v>
      </c>
      <c r="AC24" s="1">
        <v>-0.7</v>
      </c>
      <c r="AD24" s="1">
        <v>0.97599999999999998</v>
      </c>
      <c r="AE24" s="1">
        <v>0.14699999999999999</v>
      </c>
      <c r="AF24" s="1">
        <v>0.155</v>
      </c>
      <c r="AG24" s="1">
        <v>-0.8</v>
      </c>
      <c r="AI24" s="1">
        <v>0</v>
      </c>
      <c r="AJ24" s="1">
        <v>0</v>
      </c>
      <c r="AK24" s="1">
        <v>0</v>
      </c>
      <c r="AL24" s="1">
        <v>1</v>
      </c>
      <c r="AM24" s="1">
        <v>86400</v>
      </c>
      <c r="AN24" s="1">
        <v>80865</v>
      </c>
      <c r="AO24" s="1">
        <v>5535</v>
      </c>
      <c r="AP24" s="1">
        <v>47133</v>
      </c>
      <c r="AQ24" s="1">
        <v>8.9482359510857084</v>
      </c>
    </row>
    <row r="25" spans="1:43" x14ac:dyDescent="0.45">
      <c r="A25" s="1">
        <v>24</v>
      </c>
      <c r="B25" s="1">
        <v>26</v>
      </c>
      <c r="C25" s="1">
        <v>126</v>
      </c>
      <c r="D25" s="1" t="s">
        <v>51</v>
      </c>
      <c r="E25" s="1" t="s">
        <v>52</v>
      </c>
      <c r="F25" s="1" t="s">
        <v>53</v>
      </c>
      <c r="G25" s="1" t="s">
        <v>54</v>
      </c>
      <c r="H25" s="1" t="s">
        <v>47</v>
      </c>
      <c r="I25" s="1">
        <v>1113</v>
      </c>
      <c r="J25" s="1">
        <v>60690</v>
      </c>
      <c r="K25" s="1">
        <v>1</v>
      </c>
      <c r="L25" s="1">
        <v>125</v>
      </c>
      <c r="M25" s="1">
        <v>765</v>
      </c>
      <c r="N25" s="1" t="s">
        <v>48</v>
      </c>
      <c r="O25" s="1">
        <v>14029</v>
      </c>
      <c r="P25" s="1">
        <v>93</v>
      </c>
      <c r="Q25" s="1" t="s">
        <v>111</v>
      </c>
      <c r="R25" s="1" t="s">
        <v>50</v>
      </c>
      <c r="S25" s="1">
        <v>0</v>
      </c>
      <c r="T25" s="1">
        <v>0</v>
      </c>
      <c r="U25" s="1">
        <v>87.582999999999998</v>
      </c>
      <c r="V25" s="1">
        <v>26.785</v>
      </c>
      <c r="W25" s="1">
        <v>1.1599999999999999</v>
      </c>
      <c r="X25" s="1">
        <v>1.004</v>
      </c>
      <c r="Y25" s="1">
        <v>27.789000000000001</v>
      </c>
      <c r="Z25" s="1">
        <v>0.10100000000000001</v>
      </c>
      <c r="AA25" s="1">
        <v>2.2000000000000002</v>
      </c>
      <c r="AB25" s="1">
        <v>2.2000000000000002</v>
      </c>
      <c r="AC25" s="1">
        <v>2.2000000000000002</v>
      </c>
      <c r="AD25" s="1">
        <v>1.004</v>
      </c>
      <c r="AE25" s="1">
        <v>0.10100000000000001</v>
      </c>
      <c r="AF25" s="1">
        <v>0.10199999999999999</v>
      </c>
      <c r="AG25" s="1">
        <v>2.2000000000000002</v>
      </c>
      <c r="AI25" s="1">
        <v>0</v>
      </c>
      <c r="AJ25" s="1">
        <v>0</v>
      </c>
      <c r="AK25" s="1">
        <v>0</v>
      </c>
      <c r="AL25" s="1">
        <v>1</v>
      </c>
      <c r="AM25" s="1">
        <v>86400</v>
      </c>
      <c r="AN25" s="1">
        <v>81574</v>
      </c>
      <c r="AO25" s="1">
        <v>4826</v>
      </c>
      <c r="AP25" s="1">
        <v>47067</v>
      </c>
      <c r="AQ25" s="1">
        <v>5.2917711164931864</v>
      </c>
    </row>
    <row r="26" spans="1:43" x14ac:dyDescent="0.45">
      <c r="A26" s="1">
        <v>25</v>
      </c>
      <c r="B26" s="1">
        <v>26</v>
      </c>
      <c r="C26" s="1">
        <v>126</v>
      </c>
      <c r="D26" s="1" t="s">
        <v>51</v>
      </c>
      <c r="E26" s="1" t="s">
        <v>52</v>
      </c>
      <c r="F26" s="1" t="s">
        <v>53</v>
      </c>
      <c r="G26" s="1" t="s">
        <v>54</v>
      </c>
      <c r="H26" s="1" t="s">
        <v>47</v>
      </c>
      <c r="I26" s="1">
        <v>1113</v>
      </c>
      <c r="J26" s="1">
        <v>60690</v>
      </c>
      <c r="K26" s="1">
        <v>1</v>
      </c>
      <c r="L26" s="1">
        <v>125</v>
      </c>
      <c r="M26" s="1">
        <v>1168</v>
      </c>
      <c r="N26" s="1" t="s">
        <v>48</v>
      </c>
      <c r="O26" s="1">
        <v>14674</v>
      </c>
      <c r="P26" s="1">
        <v>93</v>
      </c>
      <c r="Q26" s="1" t="s">
        <v>111</v>
      </c>
      <c r="R26" s="1" t="s">
        <v>50</v>
      </c>
      <c r="S26" s="1">
        <v>0</v>
      </c>
      <c r="T26" s="1">
        <v>0</v>
      </c>
      <c r="U26" s="1">
        <v>161.94</v>
      </c>
      <c r="V26" s="1">
        <v>27.719000000000001</v>
      </c>
      <c r="W26" s="1">
        <v>0.56999999999999995</v>
      </c>
      <c r="X26" s="1">
        <v>0.36199999999999999</v>
      </c>
      <c r="Y26" s="1">
        <v>28.081</v>
      </c>
      <c r="Z26" s="1">
        <v>0.45400000000000001</v>
      </c>
      <c r="AA26" s="1">
        <v>-2.4</v>
      </c>
      <c r="AB26" s="1">
        <v>-2.4</v>
      </c>
      <c r="AC26" s="1">
        <v>-2.4</v>
      </c>
      <c r="AD26" s="1">
        <v>0.36199999999999999</v>
      </c>
      <c r="AE26" s="1">
        <v>0.45400000000000001</v>
      </c>
      <c r="AF26" s="1">
        <v>0.16400000000000001</v>
      </c>
      <c r="AG26" s="1">
        <v>-2.4</v>
      </c>
      <c r="AI26" s="1">
        <v>0</v>
      </c>
      <c r="AJ26" s="1">
        <v>0</v>
      </c>
      <c r="AK26" s="1">
        <v>0</v>
      </c>
      <c r="AL26" s="1">
        <v>1</v>
      </c>
      <c r="AM26" s="1">
        <v>86400</v>
      </c>
      <c r="AN26" s="1">
        <v>80690</v>
      </c>
      <c r="AO26" s="1">
        <v>5710</v>
      </c>
      <c r="AP26" s="1">
        <v>43517</v>
      </c>
      <c r="AQ26" s="1">
        <v>18.43219016539382</v>
      </c>
    </row>
    <row r="27" spans="1:43" x14ac:dyDescent="0.45">
      <c r="A27" s="1">
        <v>26</v>
      </c>
      <c r="B27" s="1">
        <v>26</v>
      </c>
      <c r="C27" s="1">
        <v>126</v>
      </c>
      <c r="D27" s="1" t="s">
        <v>51</v>
      </c>
      <c r="E27" s="1" t="s">
        <v>52</v>
      </c>
      <c r="F27" s="1" t="s">
        <v>53</v>
      </c>
      <c r="G27" s="1" t="s">
        <v>54</v>
      </c>
      <c r="H27" s="1" t="s">
        <v>47</v>
      </c>
      <c r="I27" s="1">
        <v>1113</v>
      </c>
      <c r="J27" s="1">
        <v>60690</v>
      </c>
      <c r="K27" s="1">
        <v>1</v>
      </c>
      <c r="L27" s="1">
        <v>125</v>
      </c>
      <c r="M27" s="1">
        <v>1169</v>
      </c>
      <c r="N27" s="1" t="s">
        <v>48</v>
      </c>
      <c r="O27" s="1">
        <v>14682</v>
      </c>
      <c r="P27" s="1">
        <v>93</v>
      </c>
      <c r="Q27" s="1" t="s">
        <v>111</v>
      </c>
      <c r="R27" s="1" t="s">
        <v>50</v>
      </c>
      <c r="S27" s="1">
        <v>0</v>
      </c>
      <c r="T27" s="1">
        <v>0</v>
      </c>
      <c r="U27" s="1">
        <v>108.435</v>
      </c>
      <c r="V27" s="1">
        <v>26.504999999999999</v>
      </c>
      <c r="W27" s="1">
        <v>0.54</v>
      </c>
      <c r="X27" s="1">
        <v>0.10199999999999999</v>
      </c>
      <c r="Y27" s="1">
        <v>26.606999999999999</v>
      </c>
      <c r="Z27" s="1">
        <v>2.1789999999999998</v>
      </c>
      <c r="AA27" s="1">
        <v>-0.3</v>
      </c>
      <c r="AB27" s="1">
        <v>-0.3</v>
      </c>
      <c r="AC27" s="1">
        <v>-0.3</v>
      </c>
      <c r="AD27" s="1">
        <v>0.10199999999999999</v>
      </c>
      <c r="AE27" s="1">
        <v>2.1749999999999998</v>
      </c>
      <c r="AF27" s="1">
        <v>0.222</v>
      </c>
      <c r="AG27" s="1">
        <v>-0.3</v>
      </c>
      <c r="AI27" s="1">
        <v>0</v>
      </c>
      <c r="AJ27" s="1">
        <v>0</v>
      </c>
      <c r="AK27" s="1">
        <v>0</v>
      </c>
      <c r="AL27" s="1">
        <v>1</v>
      </c>
      <c r="AM27" s="1">
        <v>51610</v>
      </c>
      <c r="AN27" s="1">
        <v>7601</v>
      </c>
      <c r="AO27" s="1">
        <v>44009</v>
      </c>
      <c r="AP27" s="1">
        <v>47265</v>
      </c>
      <c r="AQ27" s="1">
        <v>9.6151972878007541</v>
      </c>
    </row>
    <row r="28" spans="1:43" x14ac:dyDescent="0.45">
      <c r="A28" s="1">
        <v>27</v>
      </c>
      <c r="B28" s="1">
        <v>26</v>
      </c>
      <c r="C28" s="1">
        <v>126</v>
      </c>
      <c r="D28" s="1" t="s">
        <v>51</v>
      </c>
      <c r="E28" s="1" t="s">
        <v>52</v>
      </c>
      <c r="F28" s="1" t="s">
        <v>53</v>
      </c>
      <c r="G28" s="1" t="s">
        <v>54</v>
      </c>
      <c r="H28" s="1" t="s">
        <v>47</v>
      </c>
      <c r="I28" s="1">
        <v>1113</v>
      </c>
      <c r="J28" s="1">
        <v>60690</v>
      </c>
      <c r="K28" s="1">
        <v>1</v>
      </c>
      <c r="L28" s="1">
        <v>125</v>
      </c>
      <c r="M28" s="1">
        <v>1172</v>
      </c>
      <c r="N28" s="1" t="s">
        <v>48</v>
      </c>
      <c r="O28" s="1">
        <v>14686</v>
      </c>
      <c r="P28" s="1">
        <v>93</v>
      </c>
      <c r="Q28" s="1" t="s">
        <v>111</v>
      </c>
      <c r="R28" s="1" t="s">
        <v>50</v>
      </c>
      <c r="S28" s="1">
        <v>0</v>
      </c>
      <c r="T28" s="1">
        <v>0</v>
      </c>
      <c r="U28" s="1">
        <v>116.11799999999999</v>
      </c>
      <c r="V28" s="1">
        <v>26.023</v>
      </c>
      <c r="W28" s="1">
        <v>0.56999999999999995</v>
      </c>
      <c r="X28" s="1">
        <v>0.161</v>
      </c>
      <c r="Y28" s="1">
        <v>26.184999999999999</v>
      </c>
      <c r="Z28" s="1">
        <v>2.702</v>
      </c>
      <c r="AA28" s="1">
        <v>-0.2</v>
      </c>
      <c r="AB28" s="1">
        <v>-0.2</v>
      </c>
      <c r="AC28" s="1">
        <v>-0.2</v>
      </c>
      <c r="AD28" s="1">
        <v>0.161</v>
      </c>
      <c r="AE28" s="1">
        <v>2.6989999999999998</v>
      </c>
      <c r="AF28" s="1">
        <v>0.436</v>
      </c>
      <c r="AG28" s="1">
        <v>-0.2</v>
      </c>
      <c r="AI28" s="1">
        <v>0</v>
      </c>
      <c r="AJ28" s="1">
        <v>0</v>
      </c>
      <c r="AK28" s="1">
        <v>0</v>
      </c>
      <c r="AL28" s="1">
        <v>1</v>
      </c>
      <c r="AM28" s="1">
        <v>54825</v>
      </c>
      <c r="AN28" s="1">
        <v>11579</v>
      </c>
      <c r="AO28" s="1">
        <v>43246</v>
      </c>
      <c r="AP28" s="1">
        <v>47355</v>
      </c>
      <c r="AQ28" s="1">
        <v>12.08164785479444</v>
      </c>
    </row>
    <row r="29" spans="1:43" x14ac:dyDescent="0.45">
      <c r="A29" s="1">
        <v>28</v>
      </c>
      <c r="B29" s="1">
        <v>26</v>
      </c>
      <c r="C29" s="1">
        <v>126</v>
      </c>
      <c r="D29" s="1" t="s">
        <v>51</v>
      </c>
      <c r="E29" s="1" t="s">
        <v>52</v>
      </c>
      <c r="F29" s="1" t="s">
        <v>53</v>
      </c>
      <c r="G29" s="1" t="s">
        <v>54</v>
      </c>
      <c r="H29" s="1" t="s">
        <v>47</v>
      </c>
      <c r="I29" s="1">
        <v>1113</v>
      </c>
      <c r="J29" s="1">
        <v>60690</v>
      </c>
      <c r="K29" s="1">
        <v>1</v>
      </c>
      <c r="L29" s="1">
        <v>125</v>
      </c>
      <c r="M29" s="1">
        <v>1389</v>
      </c>
      <c r="N29" s="1" t="s">
        <v>48</v>
      </c>
      <c r="O29" s="1">
        <v>15184</v>
      </c>
      <c r="P29" s="1">
        <v>93</v>
      </c>
      <c r="Q29" s="1" t="s">
        <v>111</v>
      </c>
      <c r="R29" s="1" t="s">
        <v>50</v>
      </c>
      <c r="S29" s="1">
        <v>0</v>
      </c>
      <c r="T29" s="1">
        <v>0</v>
      </c>
      <c r="U29" s="1">
        <v>94.39</v>
      </c>
      <c r="V29" s="1">
        <v>24.486000000000001</v>
      </c>
      <c r="W29" s="1">
        <v>0.6</v>
      </c>
      <c r="X29" s="1">
        <v>0.22500000000000001</v>
      </c>
      <c r="Y29" s="1">
        <v>24.71</v>
      </c>
      <c r="Z29" s="1">
        <v>3.1890000000000001</v>
      </c>
      <c r="AA29" s="1">
        <v>-0.6</v>
      </c>
      <c r="AB29" s="1">
        <v>-0.6</v>
      </c>
      <c r="AC29" s="1">
        <v>-0.6</v>
      </c>
      <c r="AD29" s="1">
        <v>0.22500000000000001</v>
      </c>
      <c r="AE29" s="1">
        <v>3.1859999999999999</v>
      </c>
      <c r="AF29" s="1">
        <v>0.71599999999999997</v>
      </c>
      <c r="AG29" s="1">
        <v>-0.6</v>
      </c>
      <c r="AI29" s="1">
        <v>0</v>
      </c>
      <c r="AJ29" s="1">
        <v>0</v>
      </c>
      <c r="AK29" s="1">
        <v>0</v>
      </c>
      <c r="AL29" s="1">
        <v>1</v>
      </c>
      <c r="AM29" s="1">
        <v>54927</v>
      </c>
      <c r="AN29" s="1">
        <v>11712</v>
      </c>
      <c r="AO29" s="1">
        <v>43215</v>
      </c>
      <c r="AP29" s="1">
        <v>47805</v>
      </c>
      <c r="AQ29" s="1">
        <v>12.83758631169958</v>
      </c>
    </row>
    <row r="30" spans="1:43" x14ac:dyDescent="0.45">
      <c r="A30" s="1">
        <v>29</v>
      </c>
      <c r="B30" s="1">
        <v>26</v>
      </c>
      <c r="C30" s="1">
        <v>126</v>
      </c>
      <c r="D30" s="1" t="s">
        <v>51</v>
      </c>
      <c r="E30" s="1" t="s">
        <v>52</v>
      </c>
      <c r="F30" s="1" t="s">
        <v>53</v>
      </c>
      <c r="G30" s="1" t="s">
        <v>54</v>
      </c>
      <c r="H30" s="1" t="s">
        <v>47</v>
      </c>
      <c r="I30" s="1">
        <v>1113</v>
      </c>
      <c r="J30" s="1">
        <v>60690</v>
      </c>
      <c r="K30" s="1">
        <v>1</v>
      </c>
      <c r="L30" s="1">
        <v>125</v>
      </c>
      <c r="M30" s="1">
        <v>1390</v>
      </c>
      <c r="N30" s="1" t="s">
        <v>48</v>
      </c>
      <c r="O30" s="1">
        <v>15185</v>
      </c>
      <c r="P30" s="1">
        <v>93</v>
      </c>
      <c r="Q30" s="1" t="s">
        <v>111</v>
      </c>
      <c r="R30" s="1" t="s">
        <v>50</v>
      </c>
      <c r="S30" s="1">
        <v>0</v>
      </c>
      <c r="T30" s="1">
        <v>0</v>
      </c>
      <c r="U30" s="1">
        <v>93.272000000000006</v>
      </c>
      <c r="V30" s="1">
        <v>24.382000000000001</v>
      </c>
      <c r="W30" s="1">
        <v>0.56000000000000005</v>
      </c>
      <c r="X30" s="1">
        <v>0.14000000000000001</v>
      </c>
      <c r="Y30" s="1">
        <v>24.521999999999998</v>
      </c>
      <c r="Z30" s="1">
        <v>3.343</v>
      </c>
      <c r="AA30" s="1">
        <v>-0.8</v>
      </c>
      <c r="AB30" s="1">
        <v>-0.9</v>
      </c>
      <c r="AC30" s="1">
        <v>-0.9</v>
      </c>
      <c r="AD30" s="1">
        <v>0.14000000000000001</v>
      </c>
      <c r="AE30" s="1">
        <v>3.34</v>
      </c>
      <c r="AF30" s="1">
        <v>0.46700000000000003</v>
      </c>
      <c r="AG30" s="1">
        <v>-0.8</v>
      </c>
      <c r="AI30" s="1">
        <v>0</v>
      </c>
      <c r="AJ30" s="1">
        <v>0</v>
      </c>
      <c r="AK30" s="1">
        <v>0</v>
      </c>
      <c r="AL30" s="1">
        <v>1</v>
      </c>
      <c r="AM30" s="1">
        <v>54050</v>
      </c>
      <c r="AN30" s="1">
        <v>10724</v>
      </c>
      <c r="AO30" s="1">
        <v>43326</v>
      </c>
      <c r="AP30" s="1">
        <v>49458</v>
      </c>
      <c r="AQ30" s="1">
        <v>12.84040706273565</v>
      </c>
    </row>
    <row r="31" spans="1:43" x14ac:dyDescent="0.45">
      <c r="A31" s="1">
        <v>30</v>
      </c>
      <c r="B31" s="1">
        <v>26</v>
      </c>
      <c r="C31" s="1">
        <v>126</v>
      </c>
      <c r="D31" s="1" t="s">
        <v>51</v>
      </c>
      <c r="E31" s="1" t="s">
        <v>52</v>
      </c>
      <c r="F31" s="1" t="s">
        <v>53</v>
      </c>
      <c r="G31" s="1" t="s">
        <v>54</v>
      </c>
      <c r="H31" s="1" t="s">
        <v>47</v>
      </c>
      <c r="I31" s="1">
        <v>1113</v>
      </c>
      <c r="J31" s="1">
        <v>60690</v>
      </c>
      <c r="K31" s="1">
        <v>1</v>
      </c>
      <c r="L31" s="1">
        <v>125</v>
      </c>
      <c r="M31" s="1">
        <v>1392</v>
      </c>
      <c r="N31" s="1" t="s">
        <v>48</v>
      </c>
      <c r="O31" s="1">
        <v>15191</v>
      </c>
      <c r="P31" s="1">
        <v>93</v>
      </c>
      <c r="Q31" s="1" t="s">
        <v>111</v>
      </c>
      <c r="R31" s="1" t="s">
        <v>50</v>
      </c>
      <c r="S31" s="1">
        <v>0</v>
      </c>
      <c r="T31" s="1">
        <v>0</v>
      </c>
      <c r="U31" s="1">
        <v>107.297</v>
      </c>
      <c r="V31" s="1">
        <v>23.977</v>
      </c>
      <c r="W31" s="1">
        <v>0.55000000000000004</v>
      </c>
      <c r="X31" s="1">
        <v>0.115</v>
      </c>
      <c r="Y31" s="1">
        <v>24.091000000000001</v>
      </c>
      <c r="Z31" s="1">
        <v>2.9180000000000001</v>
      </c>
      <c r="AA31" s="1">
        <v>-0.9</v>
      </c>
      <c r="AB31" s="1">
        <v>-0.9</v>
      </c>
      <c r="AC31" s="1">
        <v>-0.9</v>
      </c>
      <c r="AD31" s="1">
        <v>0.115</v>
      </c>
      <c r="AE31" s="1">
        <v>2.9140000000000001</v>
      </c>
      <c r="AF31" s="1">
        <v>0.33400000000000002</v>
      </c>
      <c r="AG31" s="1">
        <v>-0.9</v>
      </c>
      <c r="AI31" s="1">
        <v>0</v>
      </c>
      <c r="AJ31" s="1">
        <v>0</v>
      </c>
      <c r="AK31" s="1">
        <v>0</v>
      </c>
      <c r="AL31" s="1">
        <v>1</v>
      </c>
      <c r="AM31" s="1">
        <v>51958</v>
      </c>
      <c r="AN31" s="1">
        <v>8491</v>
      </c>
      <c r="AO31" s="1">
        <v>43468</v>
      </c>
      <c r="AP31" s="1">
        <v>47972</v>
      </c>
      <c r="AQ31" s="1">
        <v>12.987854143834699</v>
      </c>
    </row>
    <row r="32" spans="1:43" x14ac:dyDescent="0.45">
      <c r="A32" s="1">
        <v>31</v>
      </c>
      <c r="B32" s="1">
        <v>26</v>
      </c>
      <c r="C32" s="1">
        <v>126</v>
      </c>
      <c r="D32" s="1" t="s">
        <v>51</v>
      </c>
      <c r="E32" s="1" t="s">
        <v>52</v>
      </c>
      <c r="F32" s="1" t="s">
        <v>53</v>
      </c>
      <c r="G32" s="1" t="s">
        <v>54</v>
      </c>
      <c r="H32" s="1" t="s">
        <v>47</v>
      </c>
      <c r="I32" s="1">
        <v>1113</v>
      </c>
      <c r="J32" s="1">
        <v>60690</v>
      </c>
      <c r="K32" s="1">
        <v>1</v>
      </c>
      <c r="L32" s="1">
        <v>125</v>
      </c>
      <c r="M32" s="1">
        <v>1400</v>
      </c>
      <c r="N32" s="1" t="s">
        <v>48</v>
      </c>
      <c r="O32" s="1">
        <v>15204</v>
      </c>
      <c r="P32" s="1">
        <v>93</v>
      </c>
      <c r="Q32" s="1" t="s">
        <v>111</v>
      </c>
      <c r="R32" s="1" t="s">
        <v>50</v>
      </c>
      <c r="S32" s="1">
        <v>0</v>
      </c>
      <c r="T32" s="1">
        <v>0</v>
      </c>
      <c r="U32" s="1">
        <v>79.594999999999999</v>
      </c>
      <c r="V32" s="1">
        <v>24.753</v>
      </c>
      <c r="W32" s="1">
        <v>0.6</v>
      </c>
      <c r="X32" s="1">
        <v>0.22</v>
      </c>
      <c r="Y32" s="1">
        <v>24.972999999999999</v>
      </c>
      <c r="Z32" s="1">
        <v>3.056</v>
      </c>
      <c r="AA32" s="1">
        <v>-0.4</v>
      </c>
      <c r="AB32" s="1">
        <v>-0.4</v>
      </c>
      <c r="AC32" s="1">
        <v>-0.4</v>
      </c>
      <c r="AD32" s="1">
        <v>0.22</v>
      </c>
      <c r="AE32" s="1">
        <v>3.0529999999999999</v>
      </c>
      <c r="AF32" s="1">
        <v>0.67200000000000004</v>
      </c>
      <c r="AG32" s="1">
        <v>-0.4</v>
      </c>
      <c r="AI32" s="1">
        <v>0</v>
      </c>
      <c r="AJ32" s="1">
        <v>0</v>
      </c>
      <c r="AK32" s="1">
        <v>0</v>
      </c>
      <c r="AL32" s="1">
        <v>1</v>
      </c>
      <c r="AM32" s="1">
        <v>54515</v>
      </c>
      <c r="AN32" s="1">
        <v>11241</v>
      </c>
      <c r="AO32" s="1">
        <v>43274</v>
      </c>
      <c r="AP32" s="1">
        <v>47836</v>
      </c>
      <c r="AQ32" s="1">
        <v>19.459536924004158</v>
      </c>
    </row>
    <row r="33" spans="1:43" x14ac:dyDescent="0.45">
      <c r="A33" s="1">
        <v>32</v>
      </c>
      <c r="B33" s="1">
        <v>26</v>
      </c>
      <c r="C33" s="1">
        <v>126</v>
      </c>
      <c r="D33" s="1" t="s">
        <v>51</v>
      </c>
      <c r="E33" s="1" t="s">
        <v>52</v>
      </c>
      <c r="F33" s="1" t="s">
        <v>53</v>
      </c>
      <c r="G33" s="1" t="s">
        <v>54</v>
      </c>
      <c r="H33" s="1" t="s">
        <v>47</v>
      </c>
      <c r="I33" s="1">
        <v>1113</v>
      </c>
      <c r="J33" s="1">
        <v>60690</v>
      </c>
      <c r="K33" s="1">
        <v>1</v>
      </c>
      <c r="L33" s="1">
        <v>125</v>
      </c>
      <c r="M33" s="1">
        <v>1401</v>
      </c>
      <c r="N33" s="1" t="s">
        <v>48</v>
      </c>
      <c r="O33" s="1">
        <v>15206</v>
      </c>
      <c r="P33" s="1">
        <v>93</v>
      </c>
      <c r="Q33" s="1" t="s">
        <v>111</v>
      </c>
      <c r="R33" s="1" t="s">
        <v>50</v>
      </c>
      <c r="S33" s="1">
        <v>0</v>
      </c>
      <c r="T33" s="1">
        <v>0</v>
      </c>
      <c r="U33" s="1">
        <v>97.302999999999997</v>
      </c>
      <c r="V33" s="1">
        <v>25.012</v>
      </c>
      <c r="W33" s="1">
        <v>0.56000000000000005</v>
      </c>
      <c r="X33" s="1">
        <v>0.14899999999999999</v>
      </c>
      <c r="Y33" s="1">
        <v>25.16</v>
      </c>
      <c r="Z33" s="1">
        <v>2.931</v>
      </c>
      <c r="AA33" s="1">
        <v>-0.6</v>
      </c>
      <c r="AB33" s="1">
        <v>-0.6</v>
      </c>
      <c r="AC33" s="1">
        <v>-0.6</v>
      </c>
      <c r="AD33" s="1">
        <v>0.14899999999999999</v>
      </c>
      <c r="AE33" s="1">
        <v>2.9289999999999998</v>
      </c>
      <c r="AF33" s="1">
        <v>0.435</v>
      </c>
      <c r="AG33" s="1">
        <v>-0.6</v>
      </c>
      <c r="AI33" s="1">
        <v>0</v>
      </c>
      <c r="AJ33" s="1">
        <v>0</v>
      </c>
      <c r="AK33" s="1">
        <v>0</v>
      </c>
      <c r="AL33" s="1">
        <v>1</v>
      </c>
      <c r="AM33" s="1">
        <v>54030</v>
      </c>
      <c r="AN33" s="1">
        <v>10621</v>
      </c>
      <c r="AO33" s="1">
        <v>43409</v>
      </c>
      <c r="AP33" s="1">
        <v>47375</v>
      </c>
      <c r="AQ33" s="1">
        <v>1.078657226174325</v>
      </c>
    </row>
    <row r="34" spans="1:43" x14ac:dyDescent="0.45">
      <c r="A34" s="1">
        <v>33</v>
      </c>
      <c r="B34" s="1">
        <v>26</v>
      </c>
      <c r="C34" s="1">
        <v>126</v>
      </c>
      <c r="D34" s="1" t="s">
        <v>51</v>
      </c>
      <c r="E34" s="1" t="s">
        <v>52</v>
      </c>
      <c r="F34" s="1" t="s">
        <v>53</v>
      </c>
      <c r="G34" s="1" t="s">
        <v>54</v>
      </c>
      <c r="H34" s="1" t="s">
        <v>47</v>
      </c>
      <c r="I34" s="1">
        <v>1113</v>
      </c>
      <c r="J34" s="1">
        <v>60690</v>
      </c>
      <c r="K34" s="1">
        <v>1</v>
      </c>
      <c r="L34" s="1">
        <v>125</v>
      </c>
      <c r="M34" s="1">
        <v>1404</v>
      </c>
      <c r="N34" s="1" t="s">
        <v>48</v>
      </c>
      <c r="O34" s="1">
        <v>15209</v>
      </c>
      <c r="P34" s="1">
        <v>93</v>
      </c>
      <c r="Q34" s="1" t="s">
        <v>111</v>
      </c>
      <c r="R34" s="1" t="s">
        <v>50</v>
      </c>
      <c r="S34" s="1">
        <v>0</v>
      </c>
      <c r="T34" s="1">
        <v>0</v>
      </c>
      <c r="U34" s="1">
        <v>81.462000000000003</v>
      </c>
      <c r="V34" s="1">
        <v>25.463000000000001</v>
      </c>
      <c r="W34" s="1">
        <v>0.59</v>
      </c>
      <c r="X34" s="1">
        <v>0.20799999999999999</v>
      </c>
      <c r="Y34" s="1">
        <v>25.670999999999999</v>
      </c>
      <c r="Z34" s="1">
        <v>2.9390000000000001</v>
      </c>
      <c r="AA34" s="1">
        <v>-0.3</v>
      </c>
      <c r="AB34" s="1">
        <v>-0.3</v>
      </c>
      <c r="AC34" s="1">
        <v>-0.3</v>
      </c>
      <c r="AD34" s="1">
        <v>0.20799999999999999</v>
      </c>
      <c r="AE34" s="1">
        <v>2.9350000000000001</v>
      </c>
      <c r="AF34" s="1">
        <v>0.61</v>
      </c>
      <c r="AG34" s="1">
        <v>-0.3</v>
      </c>
      <c r="AI34" s="1">
        <v>0</v>
      </c>
      <c r="AJ34" s="1">
        <v>0</v>
      </c>
      <c r="AK34" s="1">
        <v>0</v>
      </c>
      <c r="AL34" s="1">
        <v>1</v>
      </c>
      <c r="AM34" s="1">
        <v>54896</v>
      </c>
      <c r="AN34" s="1">
        <v>11657</v>
      </c>
      <c r="AO34" s="1">
        <v>43239</v>
      </c>
      <c r="AP34" s="1">
        <v>47425</v>
      </c>
      <c r="AQ34" s="1">
        <v>19.44385401632449</v>
      </c>
    </row>
    <row r="35" spans="1:43" x14ac:dyDescent="0.45">
      <c r="A35" s="1">
        <v>34</v>
      </c>
      <c r="B35" s="1">
        <v>26</v>
      </c>
      <c r="C35" s="1">
        <v>126</v>
      </c>
      <c r="D35" s="1" t="s">
        <v>51</v>
      </c>
      <c r="E35" s="1" t="s">
        <v>52</v>
      </c>
      <c r="F35" s="1" t="s">
        <v>53</v>
      </c>
      <c r="G35" s="1" t="s">
        <v>54</v>
      </c>
      <c r="H35" s="1" t="s">
        <v>47</v>
      </c>
      <c r="I35" s="1">
        <v>1113</v>
      </c>
      <c r="J35" s="1">
        <v>60690</v>
      </c>
      <c r="K35" s="1">
        <v>1</v>
      </c>
      <c r="L35" s="1">
        <v>125</v>
      </c>
      <c r="M35" s="1">
        <v>1405</v>
      </c>
      <c r="N35" s="1" t="s">
        <v>48</v>
      </c>
      <c r="O35" s="1">
        <v>15210</v>
      </c>
      <c r="P35" s="1">
        <v>93</v>
      </c>
      <c r="Q35" s="1" t="s">
        <v>111</v>
      </c>
      <c r="R35" s="1" t="s">
        <v>50</v>
      </c>
      <c r="S35" s="1">
        <v>0</v>
      </c>
      <c r="T35" s="1">
        <v>0</v>
      </c>
      <c r="U35" s="1">
        <v>105.574</v>
      </c>
      <c r="V35" s="1">
        <v>25.87</v>
      </c>
      <c r="W35" s="1">
        <v>0.56000000000000005</v>
      </c>
      <c r="X35" s="1">
        <v>0.13800000000000001</v>
      </c>
      <c r="Y35" s="1">
        <v>26.007999999999999</v>
      </c>
      <c r="Z35" s="1">
        <v>2.6659999999999999</v>
      </c>
      <c r="AA35" s="1">
        <v>-0.3</v>
      </c>
      <c r="AB35" s="1">
        <v>-0.3</v>
      </c>
      <c r="AC35" s="1">
        <v>-0.3</v>
      </c>
      <c r="AD35" s="1">
        <v>0.13800000000000001</v>
      </c>
      <c r="AE35" s="1">
        <v>2.6629999999999998</v>
      </c>
      <c r="AF35" s="1">
        <v>0.36699999999999999</v>
      </c>
      <c r="AG35" s="1">
        <v>-0.3</v>
      </c>
      <c r="AI35" s="1">
        <v>0</v>
      </c>
      <c r="AJ35" s="1">
        <v>0</v>
      </c>
      <c r="AK35" s="1">
        <v>0</v>
      </c>
      <c r="AL35" s="1">
        <v>1</v>
      </c>
      <c r="AM35" s="1">
        <v>54422</v>
      </c>
      <c r="AN35" s="1">
        <v>11113</v>
      </c>
      <c r="AO35" s="1">
        <v>43309</v>
      </c>
      <c r="AP35" s="1">
        <v>47417</v>
      </c>
      <c r="AQ35" s="1">
        <v>11.96136608012406</v>
      </c>
    </row>
    <row r="36" spans="1:43" x14ac:dyDescent="0.45">
      <c r="A36" s="1">
        <v>35</v>
      </c>
      <c r="B36" s="1">
        <v>26</v>
      </c>
      <c r="C36" s="1">
        <v>126</v>
      </c>
      <c r="D36" s="1" t="s">
        <v>51</v>
      </c>
      <c r="E36" s="1" t="s">
        <v>52</v>
      </c>
      <c r="F36" s="1" t="s">
        <v>53</v>
      </c>
      <c r="G36" s="1" t="s">
        <v>54</v>
      </c>
      <c r="H36" s="1" t="s">
        <v>47</v>
      </c>
      <c r="I36" s="1">
        <v>1113</v>
      </c>
      <c r="J36" s="1">
        <v>60690</v>
      </c>
      <c r="K36" s="1">
        <v>1</v>
      </c>
      <c r="L36" s="1">
        <v>125</v>
      </c>
      <c r="M36" s="1">
        <v>1406</v>
      </c>
      <c r="N36" s="1" t="s">
        <v>48</v>
      </c>
      <c r="O36" s="1">
        <v>15219</v>
      </c>
      <c r="P36" s="1">
        <v>93</v>
      </c>
      <c r="Q36" s="1" t="s">
        <v>111</v>
      </c>
      <c r="R36" s="1" t="s">
        <v>50</v>
      </c>
      <c r="S36" s="1">
        <v>0</v>
      </c>
      <c r="T36" s="1">
        <v>0</v>
      </c>
      <c r="U36" s="1">
        <v>162.55099999999999</v>
      </c>
      <c r="V36" s="1">
        <v>27.558</v>
      </c>
      <c r="W36" s="1">
        <v>0.62</v>
      </c>
      <c r="X36" s="1">
        <v>0.65</v>
      </c>
      <c r="Y36" s="1">
        <v>28.207999999999998</v>
      </c>
      <c r="Z36" s="1">
        <v>0.28000000000000003</v>
      </c>
      <c r="AA36" s="1">
        <v>-3.1</v>
      </c>
      <c r="AB36" s="1">
        <v>-3.1</v>
      </c>
      <c r="AC36" s="1">
        <v>-3.1</v>
      </c>
      <c r="AD36" s="1">
        <v>0.65</v>
      </c>
      <c r="AE36" s="1">
        <v>0.28000000000000003</v>
      </c>
      <c r="AF36" s="1">
        <v>0.182</v>
      </c>
      <c r="AG36" s="1">
        <v>-3.1</v>
      </c>
      <c r="AI36" s="1">
        <v>0</v>
      </c>
      <c r="AJ36" s="1">
        <v>0</v>
      </c>
      <c r="AK36" s="1">
        <v>0</v>
      </c>
      <c r="AL36" s="1">
        <v>1</v>
      </c>
      <c r="AM36" s="1">
        <v>86400</v>
      </c>
      <c r="AN36" s="1">
        <v>81252</v>
      </c>
      <c r="AO36" s="1">
        <v>5148</v>
      </c>
      <c r="AP36" s="1">
        <v>43431</v>
      </c>
      <c r="AQ36" s="1">
        <v>18.413686504200541</v>
      </c>
    </row>
    <row r="37" spans="1:43" x14ac:dyDescent="0.45">
      <c r="A37" s="1">
        <v>36</v>
      </c>
      <c r="B37" s="1">
        <v>26</v>
      </c>
      <c r="C37" s="1">
        <v>126</v>
      </c>
      <c r="D37" s="1" t="s">
        <v>51</v>
      </c>
      <c r="E37" s="1" t="s">
        <v>52</v>
      </c>
      <c r="F37" s="1" t="s">
        <v>53</v>
      </c>
      <c r="G37" s="1" t="s">
        <v>54</v>
      </c>
      <c r="H37" s="1" t="s">
        <v>47</v>
      </c>
      <c r="I37" s="1">
        <v>1113</v>
      </c>
      <c r="J37" s="1">
        <v>60690</v>
      </c>
      <c r="K37" s="1">
        <v>1</v>
      </c>
      <c r="L37" s="1">
        <v>125</v>
      </c>
      <c r="M37" s="1">
        <v>1407</v>
      </c>
      <c r="N37" s="1" t="s">
        <v>48</v>
      </c>
      <c r="O37" s="1">
        <v>15220</v>
      </c>
      <c r="P37" s="1">
        <v>93</v>
      </c>
      <c r="Q37" s="1" t="s">
        <v>111</v>
      </c>
      <c r="R37" s="1" t="s">
        <v>50</v>
      </c>
      <c r="S37" s="1">
        <v>0</v>
      </c>
      <c r="T37" s="1">
        <v>0</v>
      </c>
      <c r="U37" s="1">
        <v>214.108</v>
      </c>
      <c r="V37" s="1">
        <v>28.081</v>
      </c>
      <c r="W37" s="1">
        <v>0.52</v>
      </c>
      <c r="X37" s="1">
        <v>0.128</v>
      </c>
      <c r="Y37" s="1">
        <v>28.209</v>
      </c>
      <c r="Z37" s="1">
        <v>4.2999999999999997E-2</v>
      </c>
      <c r="AA37" s="1">
        <v>-1.7</v>
      </c>
      <c r="AB37" s="1">
        <v>-1.7</v>
      </c>
      <c r="AC37" s="1">
        <v>-1.7</v>
      </c>
      <c r="AD37" s="1">
        <v>0.128</v>
      </c>
      <c r="AE37" s="1">
        <v>4.2999999999999997E-2</v>
      </c>
      <c r="AF37" s="1">
        <v>6.0000000000000001E-3</v>
      </c>
      <c r="AG37" s="1">
        <v>-1.7</v>
      </c>
      <c r="AI37" s="1">
        <v>0</v>
      </c>
      <c r="AJ37" s="1">
        <v>0</v>
      </c>
      <c r="AK37" s="1">
        <v>0</v>
      </c>
      <c r="AL37" s="1">
        <v>1</v>
      </c>
      <c r="AM37" s="1">
        <v>86400</v>
      </c>
      <c r="AN37" s="1">
        <v>73470</v>
      </c>
      <c r="AO37" s="1">
        <v>12930</v>
      </c>
      <c r="AP37" s="1">
        <v>43586</v>
      </c>
      <c r="AQ37" s="1">
        <v>4.3455347958324149</v>
      </c>
    </row>
    <row r="38" spans="1:43" x14ac:dyDescent="0.45">
      <c r="A38" s="1">
        <v>37</v>
      </c>
      <c r="B38" s="1">
        <v>26</v>
      </c>
      <c r="C38" s="1">
        <v>126</v>
      </c>
      <c r="D38" s="1" t="s">
        <v>51</v>
      </c>
      <c r="E38" s="1" t="s">
        <v>52</v>
      </c>
      <c r="F38" s="1" t="s">
        <v>53</v>
      </c>
      <c r="G38" s="1" t="s">
        <v>54</v>
      </c>
      <c r="H38" s="1" t="s">
        <v>47</v>
      </c>
      <c r="I38" s="1">
        <v>1113</v>
      </c>
      <c r="J38" s="1">
        <v>60690</v>
      </c>
      <c r="K38" s="1">
        <v>1</v>
      </c>
      <c r="L38" s="1">
        <v>125</v>
      </c>
      <c r="M38" s="1">
        <v>1408</v>
      </c>
      <c r="N38" s="1" t="s">
        <v>48</v>
      </c>
      <c r="O38" s="1">
        <v>15221</v>
      </c>
      <c r="P38" s="1">
        <v>93</v>
      </c>
      <c r="Q38" s="1" t="s">
        <v>111</v>
      </c>
      <c r="R38" s="1" t="s">
        <v>50</v>
      </c>
      <c r="S38" s="1">
        <v>0</v>
      </c>
      <c r="T38" s="1">
        <v>0</v>
      </c>
      <c r="U38" s="1">
        <v>173.398</v>
      </c>
      <c r="V38" s="1">
        <v>27.64</v>
      </c>
      <c r="W38" s="1">
        <v>0.6</v>
      </c>
      <c r="X38" s="1">
        <v>0.56899999999999995</v>
      </c>
      <c r="Y38" s="1">
        <v>28.207999999999998</v>
      </c>
      <c r="Z38" s="1">
        <v>0.28299999999999997</v>
      </c>
      <c r="AA38" s="1">
        <v>1.7</v>
      </c>
      <c r="AB38" s="1">
        <v>1.7</v>
      </c>
      <c r="AC38" s="1">
        <v>1.7</v>
      </c>
      <c r="AD38" s="1">
        <v>0.56899999999999995</v>
      </c>
      <c r="AE38" s="1">
        <v>0.28299999999999997</v>
      </c>
      <c r="AF38" s="1">
        <v>0.161</v>
      </c>
      <c r="AG38" s="1">
        <v>1.7</v>
      </c>
      <c r="AI38" s="1">
        <v>0</v>
      </c>
      <c r="AJ38" s="1">
        <v>0</v>
      </c>
      <c r="AK38" s="1">
        <v>0</v>
      </c>
      <c r="AL38" s="1">
        <v>1</v>
      </c>
      <c r="AM38" s="1">
        <v>86400</v>
      </c>
      <c r="AN38" s="1">
        <v>81507</v>
      </c>
      <c r="AO38" s="1">
        <v>4893</v>
      </c>
      <c r="AP38" s="1">
        <v>43418</v>
      </c>
      <c r="AQ38" s="1">
        <v>18.611463029148041</v>
      </c>
    </row>
    <row r="39" spans="1:43" x14ac:dyDescent="0.45">
      <c r="A39" s="1">
        <v>38</v>
      </c>
      <c r="B39" s="1">
        <v>73</v>
      </c>
      <c r="C39" s="1">
        <v>83</v>
      </c>
      <c r="D39" s="1" t="s">
        <v>55</v>
      </c>
      <c r="E39" s="1" t="s">
        <v>56</v>
      </c>
      <c r="F39" s="1" t="s">
        <v>57</v>
      </c>
      <c r="G39" s="1" t="s">
        <v>46</v>
      </c>
      <c r="H39" s="1" t="s">
        <v>47</v>
      </c>
      <c r="I39" s="1">
        <v>1176</v>
      </c>
      <c r="J39" s="1">
        <v>30288</v>
      </c>
      <c r="K39" s="1">
        <v>1</v>
      </c>
      <c r="L39" s="1">
        <v>82</v>
      </c>
      <c r="M39" s="1">
        <v>1964</v>
      </c>
      <c r="N39" s="1" t="s">
        <v>48</v>
      </c>
      <c r="O39" s="1">
        <v>197185</v>
      </c>
      <c r="P39" s="1">
        <v>93</v>
      </c>
      <c r="Q39" s="1" t="s">
        <v>111</v>
      </c>
      <c r="R39" s="1" t="s">
        <v>50</v>
      </c>
      <c r="S39" s="1">
        <v>0</v>
      </c>
      <c r="T39" s="1">
        <v>0</v>
      </c>
      <c r="U39" s="1">
        <v>51.997</v>
      </c>
      <c r="V39" s="1">
        <v>25.521000000000001</v>
      </c>
      <c r="W39" s="1">
        <v>0.52</v>
      </c>
      <c r="X39" s="1">
        <v>0.11</v>
      </c>
      <c r="Y39" s="1">
        <v>25.631</v>
      </c>
      <c r="Z39" s="1">
        <v>0.106</v>
      </c>
      <c r="AA39" s="1">
        <v>0.2</v>
      </c>
      <c r="AB39" s="1">
        <v>0.3</v>
      </c>
      <c r="AC39" s="1">
        <v>0.3</v>
      </c>
      <c r="AD39" s="1">
        <v>0.11</v>
      </c>
      <c r="AE39" s="1">
        <v>0.10100000000000001</v>
      </c>
      <c r="AF39" s="1">
        <v>1.0999999999999999E-2</v>
      </c>
      <c r="AG39" s="1">
        <v>0.2</v>
      </c>
      <c r="AI39" s="1">
        <v>0</v>
      </c>
      <c r="AJ39" s="1">
        <v>0</v>
      </c>
      <c r="AK39" s="1">
        <v>0</v>
      </c>
      <c r="AL39" s="1">
        <v>1</v>
      </c>
      <c r="AM39" s="1">
        <v>86400</v>
      </c>
      <c r="AN39" s="1">
        <v>77259</v>
      </c>
      <c r="AO39" s="1">
        <v>9141</v>
      </c>
      <c r="AP39" s="1">
        <v>45074</v>
      </c>
      <c r="AQ39" s="1">
        <v>6.099070999539685</v>
      </c>
    </row>
    <row r="40" spans="1:43" x14ac:dyDescent="0.45">
      <c r="A40" s="1">
        <v>39</v>
      </c>
      <c r="B40" s="1">
        <v>73</v>
      </c>
      <c r="C40" s="1">
        <v>83</v>
      </c>
      <c r="D40" s="1" t="s">
        <v>55</v>
      </c>
      <c r="E40" s="1" t="s">
        <v>56</v>
      </c>
      <c r="F40" s="1" t="s">
        <v>57</v>
      </c>
      <c r="G40" s="1" t="s">
        <v>46</v>
      </c>
      <c r="H40" s="1" t="s">
        <v>47</v>
      </c>
      <c r="I40" s="1">
        <v>1176</v>
      </c>
      <c r="J40" s="1">
        <v>30288</v>
      </c>
      <c r="K40" s="1">
        <v>1</v>
      </c>
      <c r="L40" s="1">
        <v>82</v>
      </c>
      <c r="M40" s="1">
        <v>1965</v>
      </c>
      <c r="N40" s="1" t="s">
        <v>48</v>
      </c>
      <c r="O40" s="1">
        <v>197186</v>
      </c>
      <c r="P40" s="1">
        <v>93</v>
      </c>
      <c r="Q40" s="1" t="s">
        <v>111</v>
      </c>
      <c r="R40" s="1" t="s">
        <v>50</v>
      </c>
      <c r="S40" s="1">
        <v>0</v>
      </c>
      <c r="T40" s="1">
        <v>0</v>
      </c>
      <c r="U40" s="1">
        <v>86.650999999999996</v>
      </c>
      <c r="V40" s="1">
        <v>25.417000000000002</v>
      </c>
      <c r="W40" s="1">
        <v>0.54</v>
      </c>
      <c r="X40" s="1">
        <v>0.21299999999999999</v>
      </c>
      <c r="Y40" s="1">
        <v>25.631</v>
      </c>
      <c r="Z40" s="1">
        <v>0.14199999999999999</v>
      </c>
      <c r="AA40" s="1">
        <v>0.6</v>
      </c>
      <c r="AB40" s="1">
        <v>0.6</v>
      </c>
      <c r="AC40" s="1">
        <v>0.6</v>
      </c>
      <c r="AD40" s="1">
        <v>0.21299999999999999</v>
      </c>
      <c r="AE40" s="1">
        <v>0.13</v>
      </c>
      <c r="AF40" s="1">
        <v>2.8000000000000001E-2</v>
      </c>
      <c r="AG40" s="1">
        <v>0.6</v>
      </c>
      <c r="AI40" s="1">
        <v>0</v>
      </c>
      <c r="AJ40" s="1">
        <v>0</v>
      </c>
      <c r="AK40" s="1">
        <v>0</v>
      </c>
      <c r="AL40" s="1">
        <v>1</v>
      </c>
      <c r="AM40" s="1">
        <v>86400</v>
      </c>
      <c r="AN40" s="1">
        <v>81548</v>
      </c>
      <c r="AO40" s="1">
        <v>4852</v>
      </c>
      <c r="AP40" s="1">
        <v>46956</v>
      </c>
      <c r="AQ40" s="1">
        <v>18.19739861676883</v>
      </c>
    </row>
    <row r="41" spans="1:43" x14ac:dyDescent="0.45">
      <c r="A41" s="1">
        <v>40</v>
      </c>
      <c r="B41" s="1">
        <v>73</v>
      </c>
      <c r="C41" s="1">
        <v>83</v>
      </c>
      <c r="D41" s="1" t="s">
        <v>55</v>
      </c>
      <c r="E41" s="1" t="s">
        <v>56</v>
      </c>
      <c r="F41" s="1" t="s">
        <v>57</v>
      </c>
      <c r="G41" s="1" t="s">
        <v>46</v>
      </c>
      <c r="H41" s="1" t="s">
        <v>47</v>
      </c>
      <c r="I41" s="1">
        <v>1176</v>
      </c>
      <c r="J41" s="1">
        <v>30288</v>
      </c>
      <c r="K41" s="1">
        <v>1</v>
      </c>
      <c r="L41" s="1">
        <v>82</v>
      </c>
      <c r="M41" s="1">
        <v>1966</v>
      </c>
      <c r="N41" s="1" t="s">
        <v>48</v>
      </c>
      <c r="O41" s="1">
        <v>197191</v>
      </c>
      <c r="P41" s="1">
        <v>93</v>
      </c>
      <c r="Q41" s="1" t="s">
        <v>111</v>
      </c>
      <c r="R41" s="1" t="s">
        <v>50</v>
      </c>
      <c r="S41" s="1">
        <v>0</v>
      </c>
      <c r="T41" s="1">
        <v>0</v>
      </c>
      <c r="U41" s="1">
        <v>337.67399999999998</v>
      </c>
      <c r="V41" s="1">
        <v>25.428000000000001</v>
      </c>
      <c r="W41" s="1">
        <v>0.53</v>
      </c>
      <c r="X41" s="1">
        <v>0.20200000000000001</v>
      </c>
      <c r="Y41" s="1">
        <v>25.629000000000001</v>
      </c>
      <c r="Z41" s="1">
        <v>0.125</v>
      </c>
      <c r="AA41" s="1">
        <v>1</v>
      </c>
      <c r="AB41" s="1">
        <v>1.1000000000000001</v>
      </c>
      <c r="AC41" s="1">
        <v>1.1000000000000001</v>
      </c>
      <c r="AD41" s="1">
        <v>0.20200000000000001</v>
      </c>
      <c r="AE41" s="1">
        <v>0.123</v>
      </c>
      <c r="AF41" s="1">
        <v>2.5000000000000001E-2</v>
      </c>
      <c r="AG41" s="1">
        <v>1</v>
      </c>
      <c r="AI41" s="1">
        <v>0</v>
      </c>
      <c r="AJ41" s="1">
        <v>0</v>
      </c>
      <c r="AK41" s="1">
        <v>0</v>
      </c>
      <c r="AL41" s="1">
        <v>1</v>
      </c>
      <c r="AM41" s="1">
        <v>86400</v>
      </c>
      <c r="AN41" s="1">
        <v>79779</v>
      </c>
      <c r="AO41" s="1">
        <v>6621</v>
      </c>
      <c r="AP41" s="1">
        <v>45422</v>
      </c>
      <c r="AQ41" s="1">
        <v>22.042314828065258</v>
      </c>
    </row>
    <row r="42" spans="1:43" x14ac:dyDescent="0.45">
      <c r="A42" s="1">
        <v>41</v>
      </c>
      <c r="B42" s="1">
        <v>73</v>
      </c>
      <c r="C42" s="1">
        <v>83</v>
      </c>
      <c r="D42" s="1" t="s">
        <v>55</v>
      </c>
      <c r="E42" s="1" t="s">
        <v>56</v>
      </c>
      <c r="F42" s="1" t="s">
        <v>57</v>
      </c>
      <c r="G42" s="1" t="s">
        <v>46</v>
      </c>
      <c r="H42" s="1" t="s">
        <v>47</v>
      </c>
      <c r="I42" s="1">
        <v>1176</v>
      </c>
      <c r="J42" s="1">
        <v>30288</v>
      </c>
      <c r="K42" s="1">
        <v>1</v>
      </c>
      <c r="L42" s="1">
        <v>82</v>
      </c>
      <c r="M42" s="1">
        <v>1967</v>
      </c>
      <c r="N42" s="1" t="s">
        <v>48</v>
      </c>
      <c r="O42" s="1">
        <v>197193</v>
      </c>
      <c r="P42" s="1">
        <v>93</v>
      </c>
      <c r="Q42" s="1" t="s">
        <v>111</v>
      </c>
      <c r="R42" s="1" t="s">
        <v>50</v>
      </c>
      <c r="S42" s="1">
        <v>0</v>
      </c>
      <c r="T42" s="1">
        <v>0</v>
      </c>
      <c r="U42" s="1">
        <v>187.57</v>
      </c>
      <c r="V42" s="1">
        <v>25.488</v>
      </c>
      <c r="W42" s="1">
        <v>0.52</v>
      </c>
      <c r="X42" s="1">
        <v>0.14099999999999999</v>
      </c>
      <c r="Y42" s="1">
        <v>25.629000000000001</v>
      </c>
      <c r="Z42" s="1">
        <v>0.10199999999999999</v>
      </c>
      <c r="AA42" s="1">
        <v>0.6</v>
      </c>
      <c r="AB42" s="1">
        <v>0.6</v>
      </c>
      <c r="AC42" s="1">
        <v>0.6</v>
      </c>
      <c r="AD42" s="1">
        <v>0.14099999999999999</v>
      </c>
      <c r="AE42" s="1">
        <v>9.8000000000000004E-2</v>
      </c>
      <c r="AF42" s="1">
        <v>1.4E-2</v>
      </c>
      <c r="AG42" s="1">
        <v>0.6</v>
      </c>
      <c r="AI42" s="1">
        <v>0</v>
      </c>
      <c r="AJ42" s="1">
        <v>0</v>
      </c>
      <c r="AK42" s="1">
        <v>0</v>
      </c>
      <c r="AL42" s="1">
        <v>1</v>
      </c>
      <c r="AM42" s="1">
        <v>86400</v>
      </c>
      <c r="AN42" s="1">
        <v>78155</v>
      </c>
      <c r="AO42" s="1">
        <v>8245</v>
      </c>
      <c r="AP42" s="1">
        <v>46995</v>
      </c>
      <c r="AQ42" s="1">
        <v>2.9982988472460508</v>
      </c>
    </row>
    <row r="43" spans="1:43" x14ac:dyDescent="0.45">
      <c r="A43" s="1">
        <v>42</v>
      </c>
      <c r="B43" s="1">
        <v>73</v>
      </c>
      <c r="C43" s="1">
        <v>83</v>
      </c>
      <c r="D43" s="1" t="s">
        <v>55</v>
      </c>
      <c r="E43" s="1" t="s">
        <v>56</v>
      </c>
      <c r="F43" s="1" t="s">
        <v>57</v>
      </c>
      <c r="G43" s="1" t="s">
        <v>46</v>
      </c>
      <c r="H43" s="1" t="s">
        <v>47</v>
      </c>
      <c r="I43" s="1">
        <v>1176</v>
      </c>
      <c r="J43" s="1">
        <v>30288</v>
      </c>
      <c r="K43" s="1">
        <v>1</v>
      </c>
      <c r="L43" s="1">
        <v>82</v>
      </c>
      <c r="M43" s="1">
        <v>1984</v>
      </c>
      <c r="N43" s="1" t="s">
        <v>48</v>
      </c>
      <c r="O43" s="1">
        <v>197607</v>
      </c>
      <c r="P43" s="1">
        <v>93</v>
      </c>
      <c r="Q43" s="1" t="s">
        <v>111</v>
      </c>
      <c r="R43" s="1" t="s">
        <v>50</v>
      </c>
      <c r="S43" s="1">
        <v>0</v>
      </c>
      <c r="T43" s="1">
        <v>0</v>
      </c>
      <c r="U43" s="1">
        <v>321.52999999999997</v>
      </c>
      <c r="V43" s="1">
        <v>25.452000000000002</v>
      </c>
      <c r="W43" s="1">
        <v>0.53</v>
      </c>
      <c r="X43" s="1">
        <v>0.16</v>
      </c>
      <c r="Y43" s="1">
        <v>25.611999999999998</v>
      </c>
      <c r="Z43" s="1">
        <v>0.14000000000000001</v>
      </c>
      <c r="AA43" s="1">
        <v>0.1</v>
      </c>
      <c r="AB43" s="1">
        <v>0.1</v>
      </c>
      <c r="AC43" s="1">
        <v>0.1</v>
      </c>
      <c r="AD43" s="1">
        <v>0.16</v>
      </c>
      <c r="AE43" s="1">
        <v>0.13100000000000001</v>
      </c>
      <c r="AF43" s="1">
        <v>2.1000000000000001E-2</v>
      </c>
      <c r="AG43" s="1">
        <v>0.1</v>
      </c>
      <c r="AI43" s="1">
        <v>0</v>
      </c>
      <c r="AJ43" s="1">
        <v>0</v>
      </c>
      <c r="AK43" s="1">
        <v>0</v>
      </c>
      <c r="AL43" s="1">
        <v>1</v>
      </c>
      <c r="AM43" s="1">
        <v>86400</v>
      </c>
      <c r="AN43" s="1">
        <v>77211</v>
      </c>
      <c r="AO43" s="1">
        <v>9189</v>
      </c>
      <c r="AP43" s="1">
        <v>47259</v>
      </c>
      <c r="AQ43" s="1">
        <v>24.308660373477451</v>
      </c>
    </row>
    <row r="44" spans="1:43" x14ac:dyDescent="0.45">
      <c r="A44" s="1">
        <v>43</v>
      </c>
      <c r="B44" s="1">
        <v>73</v>
      </c>
      <c r="C44" s="1">
        <v>83</v>
      </c>
      <c r="D44" s="1" t="s">
        <v>55</v>
      </c>
      <c r="E44" s="1" t="s">
        <v>56</v>
      </c>
      <c r="F44" s="1" t="s">
        <v>57</v>
      </c>
      <c r="G44" s="1" t="s">
        <v>46</v>
      </c>
      <c r="H44" s="1" t="s">
        <v>47</v>
      </c>
      <c r="I44" s="1">
        <v>1176</v>
      </c>
      <c r="J44" s="1">
        <v>30288</v>
      </c>
      <c r="K44" s="1">
        <v>1</v>
      </c>
      <c r="L44" s="1">
        <v>82</v>
      </c>
      <c r="M44" s="1">
        <v>1985</v>
      </c>
      <c r="N44" s="1" t="s">
        <v>48</v>
      </c>
      <c r="O44" s="1">
        <v>197609</v>
      </c>
      <c r="P44" s="1">
        <v>93</v>
      </c>
      <c r="Q44" s="1" t="s">
        <v>111</v>
      </c>
      <c r="R44" s="1" t="s">
        <v>50</v>
      </c>
      <c r="S44" s="1">
        <v>0</v>
      </c>
      <c r="T44" s="1">
        <v>0</v>
      </c>
      <c r="U44" s="1">
        <v>222.179</v>
      </c>
      <c r="V44" s="1">
        <v>25.413</v>
      </c>
      <c r="W44" s="1">
        <v>0.53</v>
      </c>
      <c r="X44" s="1">
        <v>0.19800000000000001</v>
      </c>
      <c r="Y44" s="1">
        <v>25.611000000000001</v>
      </c>
      <c r="Z44" s="1">
        <v>0.16300000000000001</v>
      </c>
      <c r="AA44" s="1">
        <v>1.2</v>
      </c>
      <c r="AB44" s="1">
        <v>1.3</v>
      </c>
      <c r="AC44" s="1">
        <v>1.3</v>
      </c>
      <c r="AD44" s="1">
        <v>0.19800000000000001</v>
      </c>
      <c r="AE44" s="1">
        <v>0.155</v>
      </c>
      <c r="AF44" s="1">
        <v>3.1E-2</v>
      </c>
      <c r="AG44" s="1">
        <v>1.2</v>
      </c>
      <c r="AI44" s="1">
        <v>0</v>
      </c>
      <c r="AJ44" s="1">
        <v>0</v>
      </c>
      <c r="AK44" s="1">
        <v>0</v>
      </c>
      <c r="AL44" s="1">
        <v>1</v>
      </c>
      <c r="AM44" s="1">
        <v>86400</v>
      </c>
      <c r="AN44" s="1">
        <v>79618</v>
      </c>
      <c r="AO44" s="1">
        <v>6782</v>
      </c>
      <c r="AP44" s="1">
        <v>46957</v>
      </c>
      <c r="AQ44" s="1">
        <v>3.2914653154281028</v>
      </c>
    </row>
    <row r="45" spans="1:43" x14ac:dyDescent="0.45">
      <c r="A45" s="1">
        <v>44</v>
      </c>
      <c r="B45" s="1">
        <v>73</v>
      </c>
      <c r="C45" s="1">
        <v>83</v>
      </c>
      <c r="D45" s="1" t="s">
        <v>55</v>
      </c>
      <c r="E45" s="1" t="s">
        <v>56</v>
      </c>
      <c r="F45" s="1" t="s">
        <v>57</v>
      </c>
      <c r="G45" s="1" t="s">
        <v>46</v>
      </c>
      <c r="H45" s="1" t="s">
        <v>47</v>
      </c>
      <c r="I45" s="1">
        <v>1176</v>
      </c>
      <c r="J45" s="1">
        <v>30288</v>
      </c>
      <c r="K45" s="1">
        <v>1</v>
      </c>
      <c r="L45" s="1">
        <v>82</v>
      </c>
      <c r="M45" s="1">
        <v>1986</v>
      </c>
      <c r="N45" s="1" t="s">
        <v>48</v>
      </c>
      <c r="O45" s="1">
        <v>197614</v>
      </c>
      <c r="P45" s="1">
        <v>93</v>
      </c>
      <c r="Q45" s="1" t="s">
        <v>111</v>
      </c>
      <c r="R45" s="1" t="s">
        <v>50</v>
      </c>
      <c r="S45" s="1">
        <v>0</v>
      </c>
      <c r="T45" s="1">
        <v>0</v>
      </c>
      <c r="U45" s="1">
        <v>103.658</v>
      </c>
      <c r="V45" s="1">
        <v>25.395</v>
      </c>
      <c r="W45" s="1">
        <v>0.53</v>
      </c>
      <c r="X45" s="1">
        <v>0.17699999999999999</v>
      </c>
      <c r="Y45" s="1">
        <v>25.573</v>
      </c>
      <c r="Z45" s="1">
        <v>0.188</v>
      </c>
      <c r="AA45" s="1">
        <v>0.5</v>
      </c>
      <c r="AB45" s="1">
        <v>0.5</v>
      </c>
      <c r="AC45" s="1">
        <v>0.5</v>
      </c>
      <c r="AD45" s="1">
        <v>0.17699999999999999</v>
      </c>
      <c r="AE45" s="1">
        <v>0.188</v>
      </c>
      <c r="AF45" s="1">
        <v>3.3000000000000002E-2</v>
      </c>
      <c r="AG45" s="1">
        <v>0.5</v>
      </c>
      <c r="AI45" s="1">
        <v>0</v>
      </c>
      <c r="AJ45" s="1">
        <v>0</v>
      </c>
      <c r="AK45" s="1">
        <v>0</v>
      </c>
      <c r="AL45" s="1">
        <v>1</v>
      </c>
      <c r="AM45" s="1">
        <v>83354</v>
      </c>
      <c r="AN45" s="1">
        <v>68485</v>
      </c>
      <c r="AO45" s="1">
        <v>14867</v>
      </c>
      <c r="AP45" s="1">
        <v>47190</v>
      </c>
      <c r="AQ45" s="1">
        <v>20.95314867485412</v>
      </c>
    </row>
    <row r="46" spans="1:43" x14ac:dyDescent="0.45">
      <c r="A46" s="1">
        <v>45</v>
      </c>
      <c r="B46" s="1">
        <v>73</v>
      </c>
      <c r="C46" s="1">
        <v>83</v>
      </c>
      <c r="D46" s="1" t="s">
        <v>55</v>
      </c>
      <c r="E46" s="1" t="s">
        <v>56</v>
      </c>
      <c r="F46" s="1" t="s">
        <v>57</v>
      </c>
      <c r="G46" s="1" t="s">
        <v>46</v>
      </c>
      <c r="H46" s="1" t="s">
        <v>47</v>
      </c>
      <c r="I46" s="1">
        <v>1176</v>
      </c>
      <c r="J46" s="1">
        <v>30288</v>
      </c>
      <c r="K46" s="1">
        <v>1</v>
      </c>
      <c r="L46" s="1">
        <v>82</v>
      </c>
      <c r="M46" s="1">
        <v>1987</v>
      </c>
      <c r="N46" s="1" t="s">
        <v>48</v>
      </c>
      <c r="O46" s="1">
        <v>197615</v>
      </c>
      <c r="P46" s="1">
        <v>93</v>
      </c>
      <c r="Q46" s="1" t="s">
        <v>111</v>
      </c>
      <c r="R46" s="1" t="s">
        <v>50</v>
      </c>
      <c r="S46" s="1">
        <v>0</v>
      </c>
      <c r="T46" s="1">
        <v>0</v>
      </c>
      <c r="U46" s="1">
        <v>56.435000000000002</v>
      </c>
      <c r="V46" s="1">
        <v>25.431999999999999</v>
      </c>
      <c r="W46" s="1">
        <v>0.52</v>
      </c>
      <c r="X46" s="1">
        <v>0.14299999999999999</v>
      </c>
      <c r="Y46" s="1">
        <v>25.574999999999999</v>
      </c>
      <c r="Z46" s="1">
        <v>0.19700000000000001</v>
      </c>
      <c r="AA46" s="1">
        <v>0</v>
      </c>
      <c r="AB46" s="1">
        <v>0.1</v>
      </c>
      <c r="AC46" s="1">
        <v>0.1</v>
      </c>
      <c r="AD46" s="1">
        <v>0.14299999999999999</v>
      </c>
      <c r="AE46" s="1">
        <v>0.17899999999999999</v>
      </c>
      <c r="AF46" s="1">
        <v>2.5999999999999999E-2</v>
      </c>
      <c r="AG46" s="1">
        <v>0</v>
      </c>
      <c r="AI46" s="1">
        <v>0</v>
      </c>
      <c r="AJ46" s="1">
        <v>0</v>
      </c>
      <c r="AK46" s="1">
        <v>0</v>
      </c>
      <c r="AL46" s="1">
        <v>1</v>
      </c>
      <c r="AM46" s="1">
        <v>55125</v>
      </c>
      <c r="AN46" s="1">
        <v>15442</v>
      </c>
      <c r="AO46" s="1">
        <v>39683</v>
      </c>
      <c r="AP46" s="1">
        <v>47973</v>
      </c>
      <c r="AQ46" s="1">
        <v>2.9781913905105362</v>
      </c>
    </row>
    <row r="47" spans="1:43" x14ac:dyDescent="0.45">
      <c r="A47" s="1">
        <v>46</v>
      </c>
      <c r="B47" s="1">
        <v>73</v>
      </c>
      <c r="C47" s="1">
        <v>83</v>
      </c>
      <c r="D47" s="1" t="s">
        <v>55</v>
      </c>
      <c r="E47" s="1" t="s">
        <v>56</v>
      </c>
      <c r="F47" s="1" t="s">
        <v>57</v>
      </c>
      <c r="G47" s="1" t="s">
        <v>46</v>
      </c>
      <c r="H47" s="1" t="s">
        <v>47</v>
      </c>
      <c r="I47" s="1">
        <v>1176</v>
      </c>
      <c r="J47" s="1">
        <v>30288</v>
      </c>
      <c r="K47" s="1">
        <v>1</v>
      </c>
      <c r="L47" s="1">
        <v>82</v>
      </c>
      <c r="M47" s="1">
        <v>1990</v>
      </c>
      <c r="N47" s="1" t="s">
        <v>48</v>
      </c>
      <c r="O47" s="1">
        <v>197620</v>
      </c>
      <c r="P47" s="1">
        <v>93</v>
      </c>
      <c r="Q47" s="1" t="s">
        <v>111</v>
      </c>
      <c r="R47" s="1" t="s">
        <v>50</v>
      </c>
      <c r="S47" s="1">
        <v>0</v>
      </c>
      <c r="T47" s="1">
        <v>0</v>
      </c>
      <c r="U47" s="1">
        <v>87.173000000000002</v>
      </c>
      <c r="V47" s="1">
        <v>25.33</v>
      </c>
      <c r="W47" s="1">
        <v>0.54</v>
      </c>
      <c r="X47" s="1">
        <v>0.23699999999999999</v>
      </c>
      <c r="Y47" s="1">
        <v>25.567</v>
      </c>
      <c r="Z47" s="1">
        <v>0.24</v>
      </c>
      <c r="AA47" s="1">
        <v>0.3</v>
      </c>
      <c r="AB47" s="1">
        <v>0.3</v>
      </c>
      <c r="AC47" s="1">
        <v>0.3</v>
      </c>
      <c r="AD47" s="1">
        <v>0.23699999999999999</v>
      </c>
      <c r="AE47" s="1">
        <v>0.24</v>
      </c>
      <c r="AF47" s="1">
        <v>5.7000000000000002E-2</v>
      </c>
      <c r="AG47" s="1">
        <v>0.3</v>
      </c>
      <c r="AI47" s="1">
        <v>0</v>
      </c>
      <c r="AJ47" s="1">
        <v>0</v>
      </c>
      <c r="AK47" s="1">
        <v>0</v>
      </c>
      <c r="AL47" s="1">
        <v>1</v>
      </c>
      <c r="AM47" s="1">
        <v>86400</v>
      </c>
      <c r="AN47" s="1">
        <v>79159</v>
      </c>
      <c r="AO47" s="1">
        <v>7241</v>
      </c>
      <c r="AP47" s="1">
        <v>47107</v>
      </c>
      <c r="AQ47" s="1">
        <v>3.5045953332990272</v>
      </c>
    </row>
    <row r="48" spans="1:43" x14ac:dyDescent="0.45">
      <c r="A48" s="1">
        <v>47</v>
      </c>
      <c r="B48" s="1">
        <v>73</v>
      </c>
      <c r="C48" s="1">
        <v>83</v>
      </c>
      <c r="D48" s="1" t="s">
        <v>55</v>
      </c>
      <c r="E48" s="1" t="s">
        <v>56</v>
      </c>
      <c r="F48" s="1" t="s">
        <v>57</v>
      </c>
      <c r="G48" s="1" t="s">
        <v>46</v>
      </c>
      <c r="H48" s="1" t="s">
        <v>47</v>
      </c>
      <c r="I48" s="1">
        <v>1176</v>
      </c>
      <c r="J48" s="1">
        <v>30288</v>
      </c>
      <c r="K48" s="1">
        <v>1</v>
      </c>
      <c r="L48" s="1">
        <v>82</v>
      </c>
      <c r="M48" s="1">
        <v>1991</v>
      </c>
      <c r="N48" s="1" t="s">
        <v>48</v>
      </c>
      <c r="O48" s="1">
        <v>197622</v>
      </c>
      <c r="P48" s="1">
        <v>93</v>
      </c>
      <c r="Q48" s="1" t="s">
        <v>111</v>
      </c>
      <c r="R48" s="1" t="s">
        <v>50</v>
      </c>
      <c r="S48" s="1">
        <v>0</v>
      </c>
      <c r="T48" s="1">
        <v>0</v>
      </c>
      <c r="U48" s="1">
        <v>74.367000000000004</v>
      </c>
      <c r="V48" s="1">
        <v>25.289000000000001</v>
      </c>
      <c r="W48" s="1">
        <v>0.55000000000000004</v>
      </c>
      <c r="X48" s="1">
        <v>0.27500000000000002</v>
      </c>
      <c r="Y48" s="1">
        <v>25.564</v>
      </c>
      <c r="Z48" s="1">
        <v>0.3</v>
      </c>
      <c r="AA48" s="1">
        <v>0.4</v>
      </c>
      <c r="AB48" s="1">
        <v>0.4</v>
      </c>
      <c r="AC48" s="1">
        <v>0.4</v>
      </c>
      <c r="AD48" s="1">
        <v>0.27500000000000002</v>
      </c>
      <c r="AE48" s="1">
        <v>0.29899999999999999</v>
      </c>
      <c r="AF48" s="1">
        <v>8.2000000000000003E-2</v>
      </c>
      <c r="AG48" s="1">
        <v>0.4</v>
      </c>
      <c r="AI48" s="1">
        <v>0</v>
      </c>
      <c r="AJ48" s="1">
        <v>0</v>
      </c>
      <c r="AK48" s="1">
        <v>0</v>
      </c>
      <c r="AL48" s="1">
        <v>1</v>
      </c>
      <c r="AM48" s="1">
        <v>86400</v>
      </c>
      <c r="AN48" s="1">
        <v>80358</v>
      </c>
      <c r="AO48" s="1">
        <v>6042</v>
      </c>
      <c r="AP48" s="1">
        <v>47402</v>
      </c>
      <c r="AQ48" s="1">
        <v>16.15653130558637</v>
      </c>
    </row>
    <row r="49" spans="1:43" x14ac:dyDescent="0.45">
      <c r="A49" s="1">
        <v>48</v>
      </c>
      <c r="B49" s="1">
        <v>73</v>
      </c>
      <c r="C49" s="1">
        <v>83</v>
      </c>
      <c r="D49" s="1" t="s">
        <v>55</v>
      </c>
      <c r="E49" s="1" t="s">
        <v>56</v>
      </c>
      <c r="F49" s="1" t="s">
        <v>57</v>
      </c>
      <c r="G49" s="1" t="s">
        <v>46</v>
      </c>
      <c r="H49" s="1" t="s">
        <v>47</v>
      </c>
      <c r="I49" s="1">
        <v>1176</v>
      </c>
      <c r="J49" s="1">
        <v>30288</v>
      </c>
      <c r="K49" s="1">
        <v>1</v>
      </c>
      <c r="L49" s="1">
        <v>82</v>
      </c>
      <c r="M49" s="1">
        <v>1992</v>
      </c>
      <c r="N49" s="1" t="s">
        <v>48</v>
      </c>
      <c r="O49" s="1">
        <v>197623</v>
      </c>
      <c r="P49" s="1">
        <v>93</v>
      </c>
      <c r="Q49" s="1" t="s">
        <v>111</v>
      </c>
      <c r="R49" s="1" t="s">
        <v>50</v>
      </c>
      <c r="S49" s="1">
        <v>0</v>
      </c>
      <c r="T49" s="1">
        <v>0</v>
      </c>
      <c r="U49" s="1">
        <v>51.329000000000001</v>
      </c>
      <c r="V49" s="1">
        <v>25.263000000000002</v>
      </c>
      <c r="W49" s="1">
        <v>0.55000000000000004</v>
      </c>
      <c r="X49" s="1">
        <v>0.30099999999999999</v>
      </c>
      <c r="Y49" s="1">
        <v>25.565000000000001</v>
      </c>
      <c r="Z49" s="1">
        <v>0.318</v>
      </c>
      <c r="AA49" s="1">
        <v>0.4</v>
      </c>
      <c r="AB49" s="1">
        <v>0.4</v>
      </c>
      <c r="AC49" s="1">
        <v>0.4</v>
      </c>
      <c r="AD49" s="1">
        <v>0.30099999999999999</v>
      </c>
      <c r="AE49" s="1">
        <v>0.318</v>
      </c>
      <c r="AF49" s="1">
        <v>9.6000000000000002E-2</v>
      </c>
      <c r="AG49" s="1">
        <v>0.4</v>
      </c>
      <c r="AI49" s="1">
        <v>0</v>
      </c>
      <c r="AJ49" s="1">
        <v>0</v>
      </c>
      <c r="AK49" s="1">
        <v>0</v>
      </c>
      <c r="AL49" s="1">
        <v>1</v>
      </c>
      <c r="AM49" s="1">
        <v>86400</v>
      </c>
      <c r="AN49" s="1">
        <v>80993</v>
      </c>
      <c r="AO49" s="1">
        <v>5407</v>
      </c>
      <c r="AP49" s="1">
        <v>47311</v>
      </c>
      <c r="AQ49" s="1">
        <v>2.298754340804646</v>
      </c>
    </row>
    <row r="50" spans="1:43" x14ac:dyDescent="0.45">
      <c r="A50" s="1">
        <v>49</v>
      </c>
      <c r="B50" s="1">
        <v>73</v>
      </c>
      <c r="C50" s="1">
        <v>83</v>
      </c>
      <c r="D50" s="1" t="s">
        <v>55</v>
      </c>
      <c r="E50" s="1" t="s">
        <v>56</v>
      </c>
      <c r="F50" s="1" t="s">
        <v>57</v>
      </c>
      <c r="G50" s="1" t="s">
        <v>46</v>
      </c>
      <c r="H50" s="1" t="s">
        <v>47</v>
      </c>
      <c r="I50" s="1">
        <v>1176</v>
      </c>
      <c r="J50" s="1">
        <v>30288</v>
      </c>
      <c r="K50" s="1">
        <v>1</v>
      </c>
      <c r="L50" s="1">
        <v>82</v>
      </c>
      <c r="M50" s="1">
        <v>1996</v>
      </c>
      <c r="N50" s="1" t="s">
        <v>48</v>
      </c>
      <c r="O50" s="1">
        <v>197627</v>
      </c>
      <c r="P50" s="1">
        <v>93</v>
      </c>
      <c r="Q50" s="1" t="s">
        <v>111</v>
      </c>
      <c r="R50" s="1" t="s">
        <v>50</v>
      </c>
      <c r="S50" s="1">
        <v>0</v>
      </c>
      <c r="T50" s="1">
        <v>0</v>
      </c>
      <c r="U50" s="1">
        <v>136.291</v>
      </c>
      <c r="V50" s="1">
        <v>25.402999999999999</v>
      </c>
      <c r="W50" s="1">
        <v>0.53</v>
      </c>
      <c r="X50" s="1">
        <v>0.14399999999999999</v>
      </c>
      <c r="Y50" s="1">
        <v>25.547000000000001</v>
      </c>
      <c r="Z50" s="1">
        <v>0.45</v>
      </c>
      <c r="AA50" s="1">
        <v>0.2</v>
      </c>
      <c r="AB50" s="1">
        <v>-0.1</v>
      </c>
      <c r="AC50" s="1">
        <v>-0.1</v>
      </c>
      <c r="AD50" s="1">
        <v>0.14399999999999999</v>
      </c>
      <c r="AE50" s="1">
        <v>0.29699999999999999</v>
      </c>
      <c r="AF50" s="1">
        <v>4.2999999999999997E-2</v>
      </c>
      <c r="AI50" s="1">
        <v>0</v>
      </c>
      <c r="AJ50" s="1">
        <v>0</v>
      </c>
      <c r="AK50" s="1">
        <v>0</v>
      </c>
      <c r="AL50" s="1">
        <v>1</v>
      </c>
      <c r="AM50" s="1">
        <v>52392</v>
      </c>
      <c r="AN50" s="1">
        <v>9093</v>
      </c>
      <c r="AO50" s="1">
        <v>43299</v>
      </c>
      <c r="AP50" s="1">
        <v>47235</v>
      </c>
      <c r="AQ50" s="1">
        <v>21.6510233080981</v>
      </c>
    </row>
    <row r="51" spans="1:43" x14ac:dyDescent="0.45">
      <c r="A51" s="1">
        <v>50</v>
      </c>
      <c r="B51" s="1">
        <v>73</v>
      </c>
      <c r="C51" s="1">
        <v>83</v>
      </c>
      <c r="D51" s="1" t="s">
        <v>55</v>
      </c>
      <c r="E51" s="1" t="s">
        <v>56</v>
      </c>
      <c r="F51" s="1" t="s">
        <v>57</v>
      </c>
      <c r="G51" s="1" t="s">
        <v>46</v>
      </c>
      <c r="H51" s="1" t="s">
        <v>47</v>
      </c>
      <c r="I51" s="1">
        <v>1176</v>
      </c>
      <c r="J51" s="1">
        <v>30288</v>
      </c>
      <c r="K51" s="1">
        <v>1</v>
      </c>
      <c r="L51" s="1">
        <v>82</v>
      </c>
      <c r="M51" s="1">
        <v>1997</v>
      </c>
      <c r="N51" s="1" t="s">
        <v>48</v>
      </c>
      <c r="O51" s="1">
        <v>197634</v>
      </c>
      <c r="P51" s="1">
        <v>93</v>
      </c>
      <c r="Q51" s="1" t="s">
        <v>111</v>
      </c>
      <c r="R51" s="1" t="s">
        <v>50</v>
      </c>
      <c r="S51" s="1">
        <v>0</v>
      </c>
      <c r="T51" s="1">
        <v>0</v>
      </c>
      <c r="U51" s="1">
        <v>62.061999999999998</v>
      </c>
      <c r="V51" s="1">
        <v>25.434999999999999</v>
      </c>
      <c r="W51" s="1">
        <v>0.52</v>
      </c>
      <c r="X51" s="1">
        <v>0.11600000000000001</v>
      </c>
      <c r="Y51" s="1">
        <v>25.550999999999998</v>
      </c>
      <c r="Z51" s="1">
        <v>7.0000000000000007E-2</v>
      </c>
      <c r="AA51" s="1">
        <v>2.2999999999999998</v>
      </c>
      <c r="AB51" s="1">
        <v>2.7</v>
      </c>
      <c r="AC51" s="1">
        <v>2.7</v>
      </c>
      <c r="AD51" s="1">
        <v>0.11600000000000001</v>
      </c>
      <c r="AE51" s="1">
        <v>4.5999999999999999E-2</v>
      </c>
      <c r="AF51" s="1">
        <v>5.0000000000000001E-3</v>
      </c>
      <c r="AI51" s="1">
        <v>0</v>
      </c>
      <c r="AJ51" s="1">
        <v>0</v>
      </c>
      <c r="AK51" s="1">
        <v>0</v>
      </c>
      <c r="AL51" s="1">
        <v>1</v>
      </c>
      <c r="AM51" s="1">
        <v>51274</v>
      </c>
      <c r="AN51" s="1">
        <v>7840</v>
      </c>
      <c r="AO51" s="1">
        <v>43433</v>
      </c>
      <c r="AP51" s="1">
        <v>47016</v>
      </c>
      <c r="AQ51" s="1">
        <v>1.5434652490617771</v>
      </c>
    </row>
    <row r="52" spans="1:43" x14ac:dyDescent="0.45">
      <c r="A52" s="1">
        <v>51</v>
      </c>
      <c r="B52" s="1">
        <v>73</v>
      </c>
      <c r="C52" s="1">
        <v>83</v>
      </c>
      <c r="D52" s="1" t="s">
        <v>55</v>
      </c>
      <c r="E52" s="1" t="s">
        <v>56</v>
      </c>
      <c r="F52" s="1" t="s">
        <v>57</v>
      </c>
      <c r="G52" s="1" t="s">
        <v>46</v>
      </c>
      <c r="H52" s="1" t="s">
        <v>47</v>
      </c>
      <c r="I52" s="1">
        <v>1176</v>
      </c>
      <c r="J52" s="1">
        <v>30288</v>
      </c>
      <c r="K52" s="1">
        <v>1</v>
      </c>
      <c r="L52" s="1">
        <v>82</v>
      </c>
      <c r="M52" s="1">
        <v>1998</v>
      </c>
      <c r="N52" s="1" t="s">
        <v>48</v>
      </c>
      <c r="O52" s="1">
        <v>197648</v>
      </c>
      <c r="P52" s="1">
        <v>93</v>
      </c>
      <c r="Q52" s="1" t="s">
        <v>111</v>
      </c>
      <c r="R52" s="1" t="s">
        <v>50</v>
      </c>
      <c r="S52" s="1">
        <v>0</v>
      </c>
      <c r="T52" s="1">
        <v>0</v>
      </c>
      <c r="U52" s="1">
        <v>50.125999999999998</v>
      </c>
      <c r="V52" s="1">
        <v>25.39</v>
      </c>
      <c r="W52" s="1">
        <v>0.53</v>
      </c>
      <c r="X52" s="1">
        <v>0.161</v>
      </c>
      <c r="Y52" s="1">
        <v>25.550999999999998</v>
      </c>
      <c r="Z52" s="1">
        <v>0.16900000000000001</v>
      </c>
      <c r="AA52" s="1">
        <v>0.7</v>
      </c>
      <c r="AB52" s="1">
        <v>0.7</v>
      </c>
      <c r="AC52" s="1">
        <v>0.7</v>
      </c>
      <c r="AD52" s="1">
        <v>0.161</v>
      </c>
      <c r="AE52" s="1">
        <v>0.16900000000000001</v>
      </c>
      <c r="AF52" s="1">
        <v>2.7E-2</v>
      </c>
      <c r="AG52" s="1">
        <v>0.7</v>
      </c>
      <c r="AI52" s="1">
        <v>0</v>
      </c>
      <c r="AJ52" s="1">
        <v>0</v>
      </c>
      <c r="AK52" s="1">
        <v>0</v>
      </c>
      <c r="AL52" s="1">
        <v>1</v>
      </c>
      <c r="AM52" s="1">
        <v>54224</v>
      </c>
      <c r="AN52" s="1">
        <v>10976</v>
      </c>
      <c r="AO52" s="1">
        <v>43249</v>
      </c>
      <c r="AP52" s="1">
        <v>47193</v>
      </c>
      <c r="AQ52" s="1">
        <v>3.8051731273319378</v>
      </c>
    </row>
    <row r="53" spans="1:43" x14ac:dyDescent="0.45">
      <c r="A53" s="1">
        <v>52</v>
      </c>
      <c r="B53" s="1">
        <v>74</v>
      </c>
      <c r="C53" s="1">
        <v>83</v>
      </c>
      <c r="D53" s="1" t="s">
        <v>55</v>
      </c>
      <c r="E53" s="1" t="s">
        <v>56</v>
      </c>
      <c r="F53" s="1" t="s">
        <v>57</v>
      </c>
      <c r="G53" s="1" t="s">
        <v>46</v>
      </c>
      <c r="H53" s="1" t="s">
        <v>47</v>
      </c>
      <c r="I53" s="1">
        <v>1176</v>
      </c>
      <c r="J53" s="1">
        <v>30288</v>
      </c>
      <c r="K53" s="1">
        <v>1</v>
      </c>
      <c r="L53" s="1">
        <v>82</v>
      </c>
      <c r="M53" s="1">
        <v>1969</v>
      </c>
      <c r="N53" s="1" t="s">
        <v>48</v>
      </c>
      <c r="O53" s="1">
        <v>197519</v>
      </c>
      <c r="P53" s="1">
        <v>93</v>
      </c>
      <c r="Q53" s="1" t="s">
        <v>111</v>
      </c>
      <c r="R53" s="1" t="s">
        <v>50</v>
      </c>
      <c r="S53" s="1">
        <v>0</v>
      </c>
      <c r="T53" s="1">
        <v>0</v>
      </c>
      <c r="U53" s="1">
        <v>82.207999999999998</v>
      </c>
      <c r="V53" s="1">
        <v>25.507999999999999</v>
      </c>
      <c r="W53" s="1">
        <v>0.52</v>
      </c>
      <c r="X53" s="1">
        <v>0.11</v>
      </c>
      <c r="Y53" s="1">
        <v>25.617999999999999</v>
      </c>
      <c r="Z53" s="1">
        <v>0.126</v>
      </c>
      <c r="AA53" s="1">
        <v>0.4</v>
      </c>
      <c r="AB53" s="1">
        <v>0.5</v>
      </c>
      <c r="AC53" s="1">
        <v>0.5</v>
      </c>
      <c r="AD53" s="1">
        <v>0.11</v>
      </c>
      <c r="AE53" s="1">
        <v>0.123</v>
      </c>
      <c r="AF53" s="1">
        <v>1.4E-2</v>
      </c>
      <c r="AG53" s="1">
        <v>0.4</v>
      </c>
      <c r="AI53" s="1">
        <v>0</v>
      </c>
      <c r="AJ53" s="1">
        <v>0</v>
      </c>
      <c r="AK53" s="1">
        <v>0</v>
      </c>
      <c r="AL53" s="1">
        <v>1</v>
      </c>
      <c r="AM53" s="1">
        <v>54926</v>
      </c>
      <c r="AN53" s="1">
        <v>15181</v>
      </c>
      <c r="AO53" s="1">
        <v>39744</v>
      </c>
      <c r="AP53" s="1">
        <v>47338</v>
      </c>
      <c r="AQ53" s="1">
        <v>8.6118825219260362</v>
      </c>
    </row>
    <row r="54" spans="1:43" x14ac:dyDescent="0.45">
      <c r="A54" s="1">
        <v>53</v>
      </c>
      <c r="B54" s="1">
        <v>74</v>
      </c>
      <c r="C54" s="1">
        <v>83</v>
      </c>
      <c r="D54" s="1" t="s">
        <v>55</v>
      </c>
      <c r="E54" s="1" t="s">
        <v>56</v>
      </c>
      <c r="F54" s="1" t="s">
        <v>57</v>
      </c>
      <c r="G54" s="1" t="s">
        <v>46</v>
      </c>
      <c r="H54" s="1" t="s">
        <v>47</v>
      </c>
      <c r="I54" s="1">
        <v>1176</v>
      </c>
      <c r="J54" s="1">
        <v>30288</v>
      </c>
      <c r="K54" s="1">
        <v>1</v>
      </c>
      <c r="L54" s="1">
        <v>82</v>
      </c>
      <c r="M54" s="1">
        <v>1970</v>
      </c>
      <c r="N54" s="1" t="s">
        <v>48</v>
      </c>
      <c r="O54" s="1">
        <v>197520</v>
      </c>
      <c r="P54" s="1">
        <v>93</v>
      </c>
      <c r="Q54" s="1" t="s">
        <v>111</v>
      </c>
      <c r="R54" s="1" t="s">
        <v>50</v>
      </c>
      <c r="S54" s="1">
        <v>0</v>
      </c>
      <c r="T54" s="1">
        <v>0</v>
      </c>
      <c r="U54" s="1">
        <v>236.95699999999999</v>
      </c>
      <c r="V54" s="1">
        <v>25.372</v>
      </c>
      <c r="W54" s="1">
        <v>0.54</v>
      </c>
      <c r="X54" s="1">
        <v>0.245</v>
      </c>
      <c r="Y54" s="1">
        <v>25.617000000000001</v>
      </c>
      <c r="Z54" s="1">
        <v>8.5999999999999993E-2</v>
      </c>
      <c r="AA54" s="1">
        <v>0.1</v>
      </c>
      <c r="AB54" s="1">
        <v>0.1</v>
      </c>
      <c r="AC54" s="1">
        <v>0.1</v>
      </c>
      <c r="AD54" s="1">
        <v>0.245</v>
      </c>
      <c r="AE54" s="1">
        <v>8.5999999999999993E-2</v>
      </c>
      <c r="AF54" s="1">
        <v>2.1000000000000001E-2</v>
      </c>
      <c r="AG54" s="1">
        <v>0.1</v>
      </c>
      <c r="AI54" s="1">
        <v>0</v>
      </c>
      <c r="AJ54" s="1">
        <v>0</v>
      </c>
      <c r="AK54" s="1">
        <v>0</v>
      </c>
      <c r="AL54" s="1">
        <v>1</v>
      </c>
      <c r="AM54" s="1">
        <v>86400</v>
      </c>
      <c r="AN54" s="1">
        <v>80649</v>
      </c>
      <c r="AO54" s="1">
        <v>5751</v>
      </c>
      <c r="AP54" s="1">
        <v>47280</v>
      </c>
      <c r="AQ54" s="1">
        <v>24.89810128895984</v>
      </c>
    </row>
    <row r="55" spans="1:43" x14ac:dyDescent="0.45">
      <c r="A55" s="1">
        <v>54</v>
      </c>
      <c r="B55" s="1">
        <v>74</v>
      </c>
      <c r="C55" s="1">
        <v>83</v>
      </c>
      <c r="D55" s="1" t="s">
        <v>55</v>
      </c>
      <c r="E55" s="1" t="s">
        <v>56</v>
      </c>
      <c r="F55" s="1" t="s">
        <v>57</v>
      </c>
      <c r="G55" s="1" t="s">
        <v>46</v>
      </c>
      <c r="H55" s="1" t="s">
        <v>47</v>
      </c>
      <c r="I55" s="1">
        <v>1176</v>
      </c>
      <c r="J55" s="1">
        <v>30288</v>
      </c>
      <c r="K55" s="1">
        <v>1</v>
      </c>
      <c r="L55" s="1">
        <v>82</v>
      </c>
      <c r="M55" s="1">
        <v>1975</v>
      </c>
      <c r="N55" s="1" t="s">
        <v>48</v>
      </c>
      <c r="O55" s="1">
        <v>197561</v>
      </c>
      <c r="P55" s="1">
        <v>93</v>
      </c>
      <c r="Q55" s="1" t="s">
        <v>111</v>
      </c>
      <c r="R55" s="1" t="s">
        <v>50</v>
      </c>
      <c r="S55" s="1">
        <v>0</v>
      </c>
      <c r="T55" s="1">
        <v>0</v>
      </c>
      <c r="U55" s="1">
        <v>195.999</v>
      </c>
      <c r="V55" s="1">
        <v>25.457999999999998</v>
      </c>
      <c r="W55" s="1">
        <v>0.52</v>
      </c>
      <c r="X55" s="1">
        <v>0.13400000000000001</v>
      </c>
      <c r="Y55" s="1">
        <v>25.591999999999999</v>
      </c>
      <c r="Z55" s="1">
        <v>0.25900000000000001</v>
      </c>
      <c r="AA55" s="1">
        <v>0.2</v>
      </c>
      <c r="AB55" s="1">
        <v>0.3</v>
      </c>
      <c r="AC55" s="1">
        <v>0.3</v>
      </c>
      <c r="AD55" s="1">
        <v>0.13400000000000001</v>
      </c>
      <c r="AE55" s="1">
        <v>0.249</v>
      </c>
      <c r="AF55" s="1">
        <v>3.3000000000000002E-2</v>
      </c>
      <c r="AG55" s="1">
        <v>0.2</v>
      </c>
      <c r="AI55" s="1">
        <v>0</v>
      </c>
      <c r="AJ55" s="1">
        <v>0</v>
      </c>
      <c r="AK55" s="1">
        <v>0</v>
      </c>
      <c r="AL55" s="1">
        <v>1</v>
      </c>
      <c r="AM55" s="1">
        <v>86400</v>
      </c>
      <c r="AN55" s="1">
        <v>79038</v>
      </c>
      <c r="AO55" s="1">
        <v>7362</v>
      </c>
      <c r="AP55" s="1">
        <v>47164</v>
      </c>
      <c r="AQ55" s="1">
        <v>0.41019195479173981</v>
      </c>
    </row>
    <row r="56" spans="1:43" x14ac:dyDescent="0.45">
      <c r="A56" s="1">
        <v>55</v>
      </c>
      <c r="B56" s="1">
        <v>74</v>
      </c>
      <c r="C56" s="1">
        <v>83</v>
      </c>
      <c r="D56" s="1" t="s">
        <v>55</v>
      </c>
      <c r="E56" s="1" t="s">
        <v>56</v>
      </c>
      <c r="F56" s="1" t="s">
        <v>57</v>
      </c>
      <c r="G56" s="1" t="s">
        <v>46</v>
      </c>
      <c r="H56" s="1" t="s">
        <v>47</v>
      </c>
      <c r="I56" s="1">
        <v>1176</v>
      </c>
      <c r="J56" s="1">
        <v>30288</v>
      </c>
      <c r="K56" s="1">
        <v>1</v>
      </c>
      <c r="L56" s="1">
        <v>82</v>
      </c>
      <c r="M56" s="1">
        <v>1976</v>
      </c>
      <c r="N56" s="1" t="s">
        <v>48</v>
      </c>
      <c r="O56" s="1">
        <v>197562</v>
      </c>
      <c r="P56" s="1">
        <v>93</v>
      </c>
      <c r="Q56" s="1" t="s">
        <v>111</v>
      </c>
      <c r="R56" s="1" t="s">
        <v>50</v>
      </c>
      <c r="S56" s="1">
        <v>0</v>
      </c>
      <c r="T56" s="1">
        <v>0</v>
      </c>
      <c r="U56" s="1">
        <v>286.03800000000001</v>
      </c>
      <c r="V56" s="1">
        <v>25.483000000000001</v>
      </c>
      <c r="W56" s="1">
        <v>0.52</v>
      </c>
      <c r="X56" s="1">
        <v>0.126</v>
      </c>
      <c r="Y56" s="1">
        <v>25.608000000000001</v>
      </c>
      <c r="Z56" s="1">
        <v>0.223</v>
      </c>
      <c r="AA56" s="1">
        <v>0.6</v>
      </c>
      <c r="AB56" s="1">
        <v>0.6</v>
      </c>
      <c r="AC56" s="1">
        <v>0.6</v>
      </c>
      <c r="AD56" s="1">
        <v>0.126</v>
      </c>
      <c r="AE56" s="1">
        <v>0.222</v>
      </c>
      <c r="AF56" s="1">
        <v>2.8000000000000001E-2</v>
      </c>
      <c r="AG56" s="1">
        <v>0.6</v>
      </c>
      <c r="AI56" s="1">
        <v>0</v>
      </c>
      <c r="AJ56" s="1">
        <v>0</v>
      </c>
      <c r="AK56" s="1">
        <v>0</v>
      </c>
      <c r="AL56" s="1">
        <v>1</v>
      </c>
      <c r="AM56" s="1">
        <v>75674</v>
      </c>
      <c r="AN56" s="1">
        <v>55510</v>
      </c>
      <c r="AO56" s="1">
        <v>19113</v>
      </c>
      <c r="AP56" s="1">
        <v>46878</v>
      </c>
      <c r="AQ56" s="1">
        <v>24.95580011216741</v>
      </c>
    </row>
    <row r="57" spans="1:43" x14ac:dyDescent="0.45">
      <c r="A57" s="1">
        <v>56</v>
      </c>
      <c r="B57" s="1">
        <v>74</v>
      </c>
      <c r="C57" s="1">
        <v>83</v>
      </c>
      <c r="D57" s="1" t="s">
        <v>55</v>
      </c>
      <c r="E57" s="1" t="s">
        <v>56</v>
      </c>
      <c r="F57" s="1" t="s">
        <v>57</v>
      </c>
      <c r="G57" s="1" t="s">
        <v>46</v>
      </c>
      <c r="H57" s="1" t="s">
        <v>47</v>
      </c>
      <c r="I57" s="1">
        <v>1176</v>
      </c>
      <c r="J57" s="1">
        <v>30288</v>
      </c>
      <c r="K57" s="1">
        <v>1</v>
      </c>
      <c r="L57" s="1">
        <v>82</v>
      </c>
      <c r="M57" s="1">
        <v>1977</v>
      </c>
      <c r="N57" s="1" t="s">
        <v>48</v>
      </c>
      <c r="O57" s="1">
        <v>197563</v>
      </c>
      <c r="P57" s="1">
        <v>93</v>
      </c>
      <c r="Q57" s="1" t="s">
        <v>111</v>
      </c>
      <c r="R57" s="1" t="s">
        <v>50</v>
      </c>
      <c r="S57" s="1">
        <v>0</v>
      </c>
      <c r="T57" s="1">
        <v>0</v>
      </c>
      <c r="U57" s="1">
        <v>552.46799999999996</v>
      </c>
      <c r="V57" s="1">
        <v>25.45</v>
      </c>
      <c r="W57" s="1">
        <v>0.53</v>
      </c>
      <c r="X57" s="1">
        <v>0.16500000000000001</v>
      </c>
      <c r="Y57" s="1">
        <v>25.614999999999998</v>
      </c>
      <c r="Z57" s="1">
        <v>0.14499999999999999</v>
      </c>
      <c r="AA57" s="1">
        <v>0.8</v>
      </c>
      <c r="AB57" s="1">
        <v>0.8</v>
      </c>
      <c r="AC57" s="1">
        <v>0.8</v>
      </c>
      <c r="AD57" s="1">
        <v>0.16500000000000001</v>
      </c>
      <c r="AE57" s="1">
        <v>0.14499999999999999</v>
      </c>
      <c r="AF57" s="1">
        <v>2.4E-2</v>
      </c>
      <c r="AG57" s="1">
        <v>0.8</v>
      </c>
      <c r="AI57" s="1">
        <v>0</v>
      </c>
      <c r="AJ57" s="1">
        <v>0</v>
      </c>
      <c r="AK57" s="1">
        <v>0</v>
      </c>
      <c r="AL57" s="1">
        <v>1</v>
      </c>
      <c r="AM57" s="1">
        <v>86400</v>
      </c>
      <c r="AN57" s="1">
        <v>79267</v>
      </c>
      <c r="AO57" s="1">
        <v>7133</v>
      </c>
      <c r="AP57" s="1">
        <v>46825</v>
      </c>
      <c r="AQ57" s="1">
        <v>0.69662298424265845</v>
      </c>
    </row>
    <row r="58" spans="1:43" x14ac:dyDescent="0.45">
      <c r="A58" s="1">
        <v>57</v>
      </c>
      <c r="B58" s="1">
        <v>77</v>
      </c>
      <c r="C58" s="1">
        <v>46</v>
      </c>
      <c r="D58" s="1" t="s">
        <v>58</v>
      </c>
      <c r="E58" s="1" t="s">
        <v>59</v>
      </c>
      <c r="F58" s="1" t="s">
        <v>60</v>
      </c>
      <c r="G58" s="1" t="s">
        <v>54</v>
      </c>
      <c r="H58" s="1" t="s">
        <v>47</v>
      </c>
      <c r="I58" s="1">
        <v>503</v>
      </c>
      <c r="J58" s="1">
        <v>17406</v>
      </c>
      <c r="K58" s="1">
        <v>1</v>
      </c>
      <c r="L58" s="1">
        <v>45</v>
      </c>
      <c r="M58" s="1">
        <v>1962</v>
      </c>
      <c r="N58" s="1" t="s">
        <v>48</v>
      </c>
      <c r="O58" s="1">
        <v>196199</v>
      </c>
      <c r="P58" s="1">
        <v>93</v>
      </c>
      <c r="Q58" s="1" t="s">
        <v>111</v>
      </c>
      <c r="R58" s="1" t="s">
        <v>50</v>
      </c>
      <c r="S58" s="1">
        <v>0</v>
      </c>
      <c r="T58" s="1">
        <v>0</v>
      </c>
      <c r="U58" s="1">
        <v>64.108000000000004</v>
      </c>
      <c r="V58" s="1">
        <v>25.141999999999999</v>
      </c>
      <c r="W58" s="1">
        <v>0.66</v>
      </c>
      <c r="X58" s="1">
        <v>0.53400000000000003</v>
      </c>
      <c r="Y58" s="1">
        <v>25.675999999999998</v>
      </c>
      <c r="Z58" s="1">
        <v>2.1120000000000001</v>
      </c>
      <c r="AA58" s="1">
        <v>2.7</v>
      </c>
      <c r="AB58" s="1">
        <v>2.5</v>
      </c>
      <c r="AC58" s="1">
        <v>2.5</v>
      </c>
      <c r="AD58" s="1">
        <v>0.53400000000000003</v>
      </c>
      <c r="AE58" s="1">
        <v>1.52</v>
      </c>
      <c r="AF58" s="1">
        <v>0.87</v>
      </c>
      <c r="AG58" s="1">
        <v>2.7</v>
      </c>
      <c r="AI58" s="1">
        <v>0</v>
      </c>
      <c r="AJ58" s="1">
        <v>0</v>
      </c>
      <c r="AK58" s="1">
        <v>0</v>
      </c>
      <c r="AL58" s="1">
        <v>1</v>
      </c>
      <c r="AM58" s="1">
        <v>68681</v>
      </c>
      <c r="AN58" s="1">
        <v>43327</v>
      </c>
      <c r="AO58" s="1">
        <v>25354</v>
      </c>
      <c r="AP58" s="1">
        <v>47004</v>
      </c>
      <c r="AQ58" s="1">
        <v>4.5203553741049349</v>
      </c>
    </row>
    <row r="59" spans="1:43" x14ac:dyDescent="0.45">
      <c r="A59" s="1">
        <v>58</v>
      </c>
      <c r="B59" s="1">
        <v>77</v>
      </c>
      <c r="C59" s="1">
        <v>46</v>
      </c>
      <c r="D59" s="1" t="s">
        <v>58</v>
      </c>
      <c r="E59" s="1" t="s">
        <v>59</v>
      </c>
      <c r="F59" s="1" t="s">
        <v>60</v>
      </c>
      <c r="G59" s="1" t="s">
        <v>54</v>
      </c>
      <c r="H59" s="1" t="s">
        <v>47</v>
      </c>
      <c r="I59" s="1">
        <v>503</v>
      </c>
      <c r="J59" s="1">
        <v>17406</v>
      </c>
      <c r="K59" s="1">
        <v>1</v>
      </c>
      <c r="L59" s="1">
        <v>45</v>
      </c>
      <c r="M59" s="1">
        <v>1963</v>
      </c>
      <c r="N59" s="1" t="s">
        <v>48</v>
      </c>
      <c r="O59" s="1">
        <v>196200</v>
      </c>
      <c r="P59" s="1">
        <v>93</v>
      </c>
      <c r="Q59" s="1" t="s">
        <v>111</v>
      </c>
      <c r="R59" s="1" t="s">
        <v>50</v>
      </c>
      <c r="S59" s="1">
        <v>0</v>
      </c>
      <c r="T59" s="1">
        <v>0</v>
      </c>
      <c r="U59" s="1">
        <v>69.38</v>
      </c>
      <c r="V59" s="1">
        <v>25.478999999999999</v>
      </c>
      <c r="W59" s="1">
        <v>0.54</v>
      </c>
      <c r="X59" s="1">
        <v>0.16300000000000001</v>
      </c>
      <c r="Y59" s="1">
        <v>25.641999999999999</v>
      </c>
      <c r="Z59" s="1">
        <v>1.0249999999999999</v>
      </c>
      <c r="AA59" s="1">
        <v>2.2000000000000002</v>
      </c>
      <c r="AB59" s="1">
        <v>2.2000000000000002</v>
      </c>
      <c r="AC59" s="1">
        <v>2.2000000000000002</v>
      </c>
      <c r="AD59" s="1">
        <v>0.16300000000000001</v>
      </c>
      <c r="AE59" s="1">
        <v>1.0069999999999999</v>
      </c>
      <c r="AF59" s="1">
        <v>0.16400000000000001</v>
      </c>
      <c r="AG59" s="1">
        <v>2.2000000000000002</v>
      </c>
      <c r="AI59" s="1">
        <v>0</v>
      </c>
      <c r="AJ59" s="1">
        <v>0</v>
      </c>
      <c r="AK59" s="1">
        <v>0</v>
      </c>
      <c r="AL59" s="1">
        <v>1</v>
      </c>
      <c r="AM59" s="1">
        <v>50661</v>
      </c>
      <c r="AN59" s="1">
        <v>7323</v>
      </c>
      <c r="AO59" s="1">
        <v>43338</v>
      </c>
      <c r="AP59" s="1">
        <v>47085</v>
      </c>
      <c r="AQ59" s="1">
        <v>29.380944822660432</v>
      </c>
    </row>
    <row r="60" spans="1:43" x14ac:dyDescent="0.45">
      <c r="A60" s="1">
        <v>59</v>
      </c>
      <c r="B60" s="1">
        <v>91</v>
      </c>
      <c r="C60" s="1">
        <v>117</v>
      </c>
      <c r="D60" s="1" t="s">
        <v>112</v>
      </c>
      <c r="E60" s="1" t="s">
        <v>113</v>
      </c>
      <c r="F60" s="1" t="s">
        <v>114</v>
      </c>
      <c r="G60" s="1" t="s">
        <v>54</v>
      </c>
      <c r="H60" s="1" t="s">
        <v>47</v>
      </c>
      <c r="I60" s="1">
        <v>948</v>
      </c>
      <c r="J60" s="1">
        <v>50781</v>
      </c>
      <c r="K60" s="1">
        <v>1</v>
      </c>
      <c r="L60" s="1">
        <v>116</v>
      </c>
      <c r="M60" s="1">
        <v>1927</v>
      </c>
      <c r="N60" s="1" t="s">
        <v>48</v>
      </c>
      <c r="O60" s="1">
        <v>195291</v>
      </c>
      <c r="P60" s="1">
        <v>93</v>
      </c>
      <c r="Q60" s="1" t="s">
        <v>111</v>
      </c>
      <c r="R60" s="1" t="s">
        <v>50</v>
      </c>
      <c r="S60" s="1">
        <v>0</v>
      </c>
      <c r="T60" s="1">
        <v>0</v>
      </c>
      <c r="U60" s="1">
        <v>58.805</v>
      </c>
      <c r="V60" s="1">
        <v>21.222000000000001</v>
      </c>
      <c r="W60" s="1">
        <v>1.54</v>
      </c>
      <c r="X60" s="1">
        <v>3.5430000000000001</v>
      </c>
      <c r="Y60" s="1">
        <v>24.765000000000001</v>
      </c>
      <c r="Z60" s="1">
        <v>0.28999999999999998</v>
      </c>
      <c r="AA60" s="1">
        <v>1.5</v>
      </c>
      <c r="AB60" s="1">
        <v>1.3</v>
      </c>
      <c r="AC60" s="1">
        <v>1.3</v>
      </c>
      <c r="AD60" s="1">
        <v>3.5430000000000001</v>
      </c>
      <c r="AE60" s="1">
        <v>7.0000000000000001E-3</v>
      </c>
      <c r="AF60" s="1">
        <v>4.1000000000000002E-2</v>
      </c>
      <c r="AG60" s="1">
        <v>1.5</v>
      </c>
      <c r="AI60" s="1">
        <v>0</v>
      </c>
      <c r="AJ60" s="1">
        <v>0</v>
      </c>
      <c r="AK60" s="1">
        <v>0</v>
      </c>
      <c r="AL60" s="1">
        <v>1</v>
      </c>
      <c r="AM60" s="1">
        <v>86400</v>
      </c>
      <c r="AN60" s="1">
        <v>81816</v>
      </c>
      <c r="AO60" s="1">
        <v>4584</v>
      </c>
      <c r="AP60" s="1">
        <v>50603</v>
      </c>
      <c r="AQ60" s="1">
        <v>8.8604916255296011</v>
      </c>
    </row>
    <row r="61" spans="1:43" x14ac:dyDescent="0.45">
      <c r="A61" s="1">
        <v>60</v>
      </c>
      <c r="B61" s="1">
        <v>91</v>
      </c>
      <c r="C61" s="1">
        <v>117</v>
      </c>
      <c r="D61" s="1" t="s">
        <v>112</v>
      </c>
      <c r="E61" s="1" t="s">
        <v>113</v>
      </c>
      <c r="F61" s="1" t="s">
        <v>114</v>
      </c>
      <c r="G61" s="1" t="s">
        <v>54</v>
      </c>
      <c r="H61" s="1" t="s">
        <v>47</v>
      </c>
      <c r="I61" s="1">
        <v>948</v>
      </c>
      <c r="J61" s="1">
        <v>50781</v>
      </c>
      <c r="K61" s="1">
        <v>1</v>
      </c>
      <c r="L61" s="1">
        <v>116</v>
      </c>
      <c r="M61" s="1">
        <v>1929</v>
      </c>
      <c r="N61" s="1" t="s">
        <v>48</v>
      </c>
      <c r="O61" s="1">
        <v>195293</v>
      </c>
      <c r="P61" s="1">
        <v>93</v>
      </c>
      <c r="Q61" s="1" t="s">
        <v>111</v>
      </c>
      <c r="R61" s="1" t="s">
        <v>50</v>
      </c>
      <c r="S61" s="1">
        <v>0</v>
      </c>
      <c r="T61" s="1">
        <v>0</v>
      </c>
      <c r="U61" s="1">
        <v>52.792000000000002</v>
      </c>
      <c r="V61" s="1">
        <v>21.277999999999999</v>
      </c>
      <c r="W61" s="1">
        <v>1.53</v>
      </c>
      <c r="X61" s="1">
        <v>3.4870000000000001</v>
      </c>
      <c r="Y61" s="1">
        <v>24.765000000000001</v>
      </c>
      <c r="Z61" s="1">
        <v>0.32400000000000001</v>
      </c>
      <c r="AA61" s="1">
        <v>1.7</v>
      </c>
      <c r="AB61" s="1">
        <v>1.3</v>
      </c>
      <c r="AC61" s="1">
        <v>1.4</v>
      </c>
      <c r="AD61" s="1">
        <v>3.4870000000000001</v>
      </c>
      <c r="AE61" s="1">
        <v>7.0000000000000001E-3</v>
      </c>
      <c r="AF61" s="1">
        <v>3.9E-2</v>
      </c>
      <c r="AI61" s="1">
        <v>0</v>
      </c>
      <c r="AJ61" s="1">
        <v>0</v>
      </c>
      <c r="AK61" s="1">
        <v>0</v>
      </c>
      <c r="AL61" s="1">
        <v>1</v>
      </c>
      <c r="AM61" s="1">
        <v>75626</v>
      </c>
      <c r="AN61" s="1">
        <v>34631</v>
      </c>
      <c r="AO61" s="1">
        <v>40995</v>
      </c>
      <c r="AP61" s="1">
        <v>50611</v>
      </c>
      <c r="AQ61" s="1">
        <v>7.79116191982129</v>
      </c>
    </row>
    <row r="62" spans="1:43" x14ac:dyDescent="0.45">
      <c r="A62" s="1">
        <v>61</v>
      </c>
      <c r="B62" s="1">
        <v>91</v>
      </c>
      <c r="C62" s="1">
        <v>117</v>
      </c>
      <c r="D62" s="1" t="s">
        <v>112</v>
      </c>
      <c r="E62" s="1" t="s">
        <v>113</v>
      </c>
      <c r="F62" s="1" t="s">
        <v>114</v>
      </c>
      <c r="G62" s="1" t="s">
        <v>54</v>
      </c>
      <c r="H62" s="1" t="s">
        <v>47</v>
      </c>
      <c r="I62" s="1">
        <v>948</v>
      </c>
      <c r="J62" s="1">
        <v>50781</v>
      </c>
      <c r="K62" s="1">
        <v>1</v>
      </c>
      <c r="L62" s="1">
        <v>116</v>
      </c>
      <c r="M62" s="1">
        <v>1930</v>
      </c>
      <c r="N62" s="1" t="s">
        <v>48</v>
      </c>
      <c r="O62" s="1">
        <v>195295</v>
      </c>
      <c r="P62" s="1">
        <v>93</v>
      </c>
      <c r="Q62" s="1" t="s">
        <v>111</v>
      </c>
      <c r="R62" s="1" t="s">
        <v>50</v>
      </c>
      <c r="S62" s="1">
        <v>0</v>
      </c>
      <c r="T62" s="1">
        <v>0</v>
      </c>
      <c r="U62" s="1">
        <v>87.602000000000004</v>
      </c>
      <c r="V62" s="1">
        <v>21.277999999999999</v>
      </c>
      <c r="W62" s="1">
        <v>1.53</v>
      </c>
      <c r="X62" s="1">
        <v>3.4870000000000001</v>
      </c>
      <c r="Y62" s="1">
        <v>24.765000000000001</v>
      </c>
      <c r="Z62" s="1">
        <v>0.28399999999999997</v>
      </c>
      <c r="AA62" s="1">
        <v>1.4</v>
      </c>
      <c r="AB62" s="1">
        <v>1.3</v>
      </c>
      <c r="AC62" s="1">
        <v>1.4</v>
      </c>
      <c r="AD62" s="1">
        <v>3.4870000000000001</v>
      </c>
      <c r="AE62" s="1">
        <v>6.0000000000000001E-3</v>
      </c>
      <c r="AF62" s="1">
        <v>3.6999999999999998E-2</v>
      </c>
      <c r="AI62" s="1">
        <v>0</v>
      </c>
      <c r="AJ62" s="1">
        <v>0</v>
      </c>
      <c r="AK62" s="1">
        <v>0</v>
      </c>
      <c r="AL62" s="1">
        <v>1</v>
      </c>
      <c r="AM62" s="1">
        <v>75620</v>
      </c>
      <c r="AN62" s="1">
        <v>34329</v>
      </c>
      <c r="AO62" s="1">
        <v>41291</v>
      </c>
      <c r="AP62" s="1">
        <v>50601</v>
      </c>
      <c r="AQ62" s="1">
        <v>8.1048937517525221</v>
      </c>
    </row>
    <row r="63" spans="1:43" x14ac:dyDescent="0.45">
      <c r="A63" s="1">
        <v>62</v>
      </c>
      <c r="B63" s="1">
        <v>91</v>
      </c>
      <c r="C63" s="1">
        <v>117</v>
      </c>
      <c r="D63" s="1" t="s">
        <v>112</v>
      </c>
      <c r="E63" s="1" t="s">
        <v>113</v>
      </c>
      <c r="F63" s="1" t="s">
        <v>114</v>
      </c>
      <c r="G63" s="1" t="s">
        <v>54</v>
      </c>
      <c r="H63" s="1" t="s">
        <v>47</v>
      </c>
      <c r="I63" s="1">
        <v>948</v>
      </c>
      <c r="J63" s="1">
        <v>50781</v>
      </c>
      <c r="K63" s="1">
        <v>1</v>
      </c>
      <c r="L63" s="1">
        <v>116</v>
      </c>
      <c r="M63" s="1">
        <v>1935</v>
      </c>
      <c r="N63" s="1" t="s">
        <v>48</v>
      </c>
      <c r="O63" s="1">
        <v>195301</v>
      </c>
      <c r="P63" s="1">
        <v>93</v>
      </c>
      <c r="Q63" s="1" t="s">
        <v>111</v>
      </c>
      <c r="R63" s="1" t="s">
        <v>50</v>
      </c>
      <c r="S63" s="1">
        <v>0</v>
      </c>
      <c r="T63" s="1">
        <v>0</v>
      </c>
      <c r="U63" s="1">
        <v>52.036000000000001</v>
      </c>
      <c r="V63" s="1">
        <v>21.234999999999999</v>
      </c>
      <c r="W63" s="1">
        <v>1.54</v>
      </c>
      <c r="X63" s="1">
        <v>3.53</v>
      </c>
      <c r="Y63" s="1">
        <v>24.765000000000001</v>
      </c>
      <c r="Z63" s="1">
        <v>0.27700000000000002</v>
      </c>
      <c r="AA63" s="1">
        <v>1.5</v>
      </c>
      <c r="AB63" s="1">
        <v>1.6</v>
      </c>
      <c r="AC63" s="1">
        <v>1.7</v>
      </c>
      <c r="AD63" s="1">
        <v>3.53</v>
      </c>
      <c r="AE63" s="1">
        <v>6.0000000000000001E-3</v>
      </c>
      <c r="AF63" s="1">
        <v>3.6999999999999998E-2</v>
      </c>
      <c r="AI63" s="1">
        <v>0</v>
      </c>
      <c r="AJ63" s="1">
        <v>0</v>
      </c>
      <c r="AK63" s="1">
        <v>0</v>
      </c>
      <c r="AL63" s="1">
        <v>1</v>
      </c>
      <c r="AM63" s="1">
        <v>75777</v>
      </c>
      <c r="AN63" s="1">
        <v>35791</v>
      </c>
      <c r="AO63" s="1">
        <v>39986</v>
      </c>
      <c r="AP63" s="1">
        <v>50593</v>
      </c>
      <c r="AQ63" s="1">
        <v>0.4894987964643811</v>
      </c>
    </row>
    <row r="64" spans="1:43" x14ac:dyDescent="0.45">
      <c r="A64" s="1">
        <v>63</v>
      </c>
      <c r="B64" s="1">
        <v>91</v>
      </c>
      <c r="C64" s="1">
        <v>117</v>
      </c>
      <c r="D64" s="1" t="s">
        <v>112</v>
      </c>
      <c r="E64" s="1" t="s">
        <v>113</v>
      </c>
      <c r="F64" s="1" t="s">
        <v>114</v>
      </c>
      <c r="G64" s="1" t="s">
        <v>54</v>
      </c>
      <c r="H64" s="1" t="s">
        <v>47</v>
      </c>
      <c r="I64" s="1">
        <v>948</v>
      </c>
      <c r="J64" s="1">
        <v>50781</v>
      </c>
      <c r="K64" s="1">
        <v>1</v>
      </c>
      <c r="L64" s="1">
        <v>116</v>
      </c>
      <c r="M64" s="1">
        <v>1950</v>
      </c>
      <c r="N64" s="1" t="s">
        <v>48</v>
      </c>
      <c r="O64" s="1">
        <v>195319</v>
      </c>
      <c r="P64" s="1">
        <v>93</v>
      </c>
      <c r="Q64" s="1" t="s">
        <v>111</v>
      </c>
      <c r="R64" s="1" t="s">
        <v>50</v>
      </c>
      <c r="S64" s="1">
        <v>0</v>
      </c>
      <c r="T64" s="1">
        <v>0</v>
      </c>
      <c r="U64" s="1">
        <v>111.16200000000001</v>
      </c>
      <c r="V64" s="1">
        <v>21.387</v>
      </c>
      <c r="W64" s="1">
        <v>1.52</v>
      </c>
      <c r="X64" s="1">
        <v>3.3780000000000001</v>
      </c>
      <c r="Y64" s="1">
        <v>24.765000000000001</v>
      </c>
      <c r="Z64" s="1">
        <v>0.52800000000000002</v>
      </c>
      <c r="AA64" s="1">
        <v>1.9</v>
      </c>
      <c r="AB64" s="1">
        <v>-1.8</v>
      </c>
      <c r="AC64" s="1">
        <v>-1.6</v>
      </c>
      <c r="AD64" s="1">
        <v>3.3780000000000001</v>
      </c>
      <c r="AE64" s="1">
        <v>3.0000000000000001E-3</v>
      </c>
      <c r="AF64" s="1">
        <v>3.5000000000000003E-2</v>
      </c>
      <c r="AI64" s="1">
        <v>0</v>
      </c>
      <c r="AJ64" s="1">
        <v>0</v>
      </c>
      <c r="AK64" s="1">
        <v>0</v>
      </c>
      <c r="AL64" s="1">
        <v>1</v>
      </c>
      <c r="AM64" s="1">
        <v>75129</v>
      </c>
      <c r="AN64" s="1">
        <v>31754</v>
      </c>
      <c r="AO64" s="1">
        <v>43376</v>
      </c>
      <c r="AP64" s="1">
        <v>50628</v>
      </c>
      <c r="AQ64" s="1">
        <v>1.21542409500468</v>
      </c>
    </row>
    <row r="65" spans="1:43" x14ac:dyDescent="0.45">
      <c r="A65" s="1">
        <v>64</v>
      </c>
      <c r="B65" s="1">
        <v>91</v>
      </c>
      <c r="C65" s="1">
        <v>117</v>
      </c>
      <c r="D65" s="1" t="s">
        <v>112</v>
      </c>
      <c r="E65" s="1" t="s">
        <v>113</v>
      </c>
      <c r="F65" s="1" t="s">
        <v>114</v>
      </c>
      <c r="G65" s="1" t="s">
        <v>54</v>
      </c>
      <c r="H65" s="1" t="s">
        <v>47</v>
      </c>
      <c r="I65" s="1">
        <v>948</v>
      </c>
      <c r="J65" s="1">
        <v>50781</v>
      </c>
      <c r="K65" s="1">
        <v>1</v>
      </c>
      <c r="L65" s="1">
        <v>116</v>
      </c>
      <c r="M65" s="1">
        <v>1952</v>
      </c>
      <c r="N65" s="1" t="s">
        <v>48</v>
      </c>
      <c r="O65" s="1">
        <v>195321</v>
      </c>
      <c r="P65" s="1">
        <v>93</v>
      </c>
      <c r="Q65" s="1" t="s">
        <v>111</v>
      </c>
      <c r="R65" s="1" t="s">
        <v>50</v>
      </c>
      <c r="S65" s="1">
        <v>0</v>
      </c>
      <c r="T65" s="1">
        <v>0</v>
      </c>
      <c r="U65" s="1">
        <v>94.41</v>
      </c>
      <c r="V65" s="1">
        <v>21.33</v>
      </c>
      <c r="W65" s="1">
        <v>1.52</v>
      </c>
      <c r="X65" s="1">
        <v>3.4359999999999999</v>
      </c>
      <c r="Y65" s="1">
        <v>24.765000000000001</v>
      </c>
      <c r="Z65" s="1">
        <v>0.54700000000000004</v>
      </c>
      <c r="AA65" s="1">
        <v>2.2000000000000002</v>
      </c>
      <c r="AB65" s="1">
        <v>-0.5</v>
      </c>
      <c r="AC65" s="1">
        <v>-0.6</v>
      </c>
      <c r="AD65" s="1">
        <v>3.4359999999999999</v>
      </c>
      <c r="AE65" s="1">
        <v>4.0000000000000001E-3</v>
      </c>
      <c r="AF65" s="1">
        <v>0.17100000000000001</v>
      </c>
      <c r="AG65" s="1">
        <v>2.2000000000000002</v>
      </c>
      <c r="AI65" s="1">
        <v>0</v>
      </c>
      <c r="AJ65" s="1">
        <v>0</v>
      </c>
      <c r="AK65" s="1">
        <v>0</v>
      </c>
      <c r="AL65" s="1">
        <v>1</v>
      </c>
      <c r="AM65" s="1">
        <v>86400</v>
      </c>
      <c r="AN65" s="1">
        <v>81685</v>
      </c>
      <c r="AO65" s="1">
        <v>4715</v>
      </c>
      <c r="AP65" s="1">
        <v>50575</v>
      </c>
      <c r="AQ65" s="1">
        <v>15.476362366948131</v>
      </c>
    </row>
    <row r="66" spans="1:43" x14ac:dyDescent="0.45">
      <c r="A66" s="1">
        <v>65</v>
      </c>
      <c r="B66" s="1">
        <v>91</v>
      </c>
      <c r="C66" s="1">
        <v>117</v>
      </c>
      <c r="D66" s="1" t="s">
        <v>112</v>
      </c>
      <c r="E66" s="1" t="s">
        <v>113</v>
      </c>
      <c r="F66" s="1" t="s">
        <v>114</v>
      </c>
      <c r="G66" s="1" t="s">
        <v>54</v>
      </c>
      <c r="H66" s="1" t="s">
        <v>47</v>
      </c>
      <c r="I66" s="1">
        <v>948</v>
      </c>
      <c r="J66" s="1">
        <v>50781</v>
      </c>
      <c r="K66" s="1">
        <v>1</v>
      </c>
      <c r="L66" s="1">
        <v>116</v>
      </c>
      <c r="M66" s="1">
        <v>1953</v>
      </c>
      <c r="N66" s="1" t="s">
        <v>48</v>
      </c>
      <c r="O66" s="1">
        <v>195322</v>
      </c>
      <c r="P66" s="1">
        <v>93</v>
      </c>
      <c r="Q66" s="1" t="s">
        <v>111</v>
      </c>
      <c r="R66" s="1" t="s">
        <v>50</v>
      </c>
      <c r="S66" s="1">
        <v>0</v>
      </c>
      <c r="T66" s="1">
        <v>0</v>
      </c>
      <c r="U66" s="1">
        <v>85.018000000000001</v>
      </c>
      <c r="V66" s="1">
        <v>21.689</v>
      </c>
      <c r="W66" s="1">
        <v>1.47</v>
      </c>
      <c r="X66" s="1">
        <v>3.0760000000000001</v>
      </c>
      <c r="Y66" s="1">
        <v>24.765000000000001</v>
      </c>
      <c r="Z66" s="1">
        <v>0.64700000000000002</v>
      </c>
      <c r="AA66" s="1">
        <v>2</v>
      </c>
      <c r="AB66" s="1">
        <v>1.2</v>
      </c>
      <c r="AC66" s="1">
        <v>1.3</v>
      </c>
      <c r="AD66" s="1">
        <v>3.052</v>
      </c>
      <c r="AE66" s="1">
        <v>0.03</v>
      </c>
      <c r="AF66" s="1">
        <v>0.64700000000000002</v>
      </c>
      <c r="AG66" s="1">
        <v>2</v>
      </c>
      <c r="AI66" s="1">
        <v>0</v>
      </c>
      <c r="AJ66" s="1">
        <v>0</v>
      </c>
      <c r="AK66" s="1">
        <v>0</v>
      </c>
      <c r="AL66" s="1">
        <v>1</v>
      </c>
      <c r="AM66" s="1">
        <v>73532</v>
      </c>
      <c r="AN66" s="1">
        <v>30162</v>
      </c>
      <c r="AO66" s="1">
        <v>43371</v>
      </c>
      <c r="AP66" s="1">
        <v>50628</v>
      </c>
      <c r="AQ66" s="1">
        <v>0.97205040505480533</v>
      </c>
    </row>
    <row r="67" spans="1:43" x14ac:dyDescent="0.45">
      <c r="A67" s="1">
        <v>66</v>
      </c>
      <c r="B67" s="1">
        <v>91</v>
      </c>
      <c r="C67" s="1">
        <v>117</v>
      </c>
      <c r="D67" s="1" t="s">
        <v>112</v>
      </c>
      <c r="E67" s="1" t="s">
        <v>113</v>
      </c>
      <c r="F67" s="1" t="s">
        <v>114</v>
      </c>
      <c r="G67" s="1" t="s">
        <v>54</v>
      </c>
      <c r="H67" s="1" t="s">
        <v>47</v>
      </c>
      <c r="I67" s="1">
        <v>948</v>
      </c>
      <c r="J67" s="1">
        <v>50781</v>
      </c>
      <c r="K67" s="1">
        <v>1</v>
      </c>
      <c r="L67" s="1">
        <v>116</v>
      </c>
      <c r="M67" s="1">
        <v>1955</v>
      </c>
      <c r="N67" s="1" t="s">
        <v>48</v>
      </c>
      <c r="O67" s="1">
        <v>195331</v>
      </c>
      <c r="P67" s="1">
        <v>93</v>
      </c>
      <c r="Q67" s="1" t="s">
        <v>111</v>
      </c>
      <c r="R67" s="1" t="s">
        <v>50</v>
      </c>
      <c r="S67" s="1">
        <v>0</v>
      </c>
      <c r="T67" s="1">
        <v>0</v>
      </c>
      <c r="U67" s="1">
        <v>65.272999999999996</v>
      </c>
      <c r="V67" s="1">
        <v>24.233000000000001</v>
      </c>
      <c r="W67" s="1">
        <v>0.6</v>
      </c>
      <c r="X67" s="1">
        <v>0.53400000000000003</v>
      </c>
      <c r="Y67" s="1">
        <v>24.766999999999999</v>
      </c>
      <c r="Z67" s="1">
        <v>0.59599999999999997</v>
      </c>
      <c r="AA67" s="1">
        <v>2.2000000000000002</v>
      </c>
      <c r="AB67" s="1">
        <v>2.8</v>
      </c>
      <c r="AC67" s="1">
        <v>2.8</v>
      </c>
      <c r="AD67" s="1">
        <v>0.51700000000000002</v>
      </c>
      <c r="AE67" s="1">
        <v>0.47299999999999998</v>
      </c>
      <c r="AF67" s="1">
        <v>0.248</v>
      </c>
      <c r="AG67" s="1">
        <v>2.2000000000000002</v>
      </c>
      <c r="AI67" s="1">
        <v>0</v>
      </c>
      <c r="AJ67" s="1">
        <v>0</v>
      </c>
      <c r="AK67" s="1">
        <v>0</v>
      </c>
      <c r="AL67" s="1">
        <v>1</v>
      </c>
      <c r="AM67" s="1">
        <v>55781</v>
      </c>
      <c r="AN67" s="1">
        <v>12488</v>
      </c>
      <c r="AO67" s="1">
        <v>43293</v>
      </c>
      <c r="AP67" s="1">
        <v>50624</v>
      </c>
      <c r="AQ67" s="1">
        <v>16.500972932043261</v>
      </c>
    </row>
    <row r="68" spans="1:43" x14ac:dyDescent="0.45">
      <c r="A68" s="1">
        <v>67</v>
      </c>
      <c r="B68" s="1">
        <v>91</v>
      </c>
      <c r="C68" s="1">
        <v>117</v>
      </c>
      <c r="D68" s="1" t="s">
        <v>112</v>
      </c>
      <c r="E68" s="1" t="s">
        <v>113</v>
      </c>
      <c r="F68" s="1" t="s">
        <v>114</v>
      </c>
      <c r="G68" s="1" t="s">
        <v>54</v>
      </c>
      <c r="H68" s="1" t="s">
        <v>47</v>
      </c>
      <c r="I68" s="1">
        <v>948</v>
      </c>
      <c r="J68" s="1">
        <v>50781</v>
      </c>
      <c r="K68" s="1">
        <v>1</v>
      </c>
      <c r="L68" s="1">
        <v>116</v>
      </c>
      <c r="M68" s="1">
        <v>1956</v>
      </c>
      <c r="N68" s="1" t="s">
        <v>48</v>
      </c>
      <c r="O68" s="1">
        <v>195333</v>
      </c>
      <c r="P68" s="1">
        <v>93</v>
      </c>
      <c r="Q68" s="1" t="s">
        <v>111</v>
      </c>
      <c r="R68" s="1" t="s">
        <v>50</v>
      </c>
      <c r="S68" s="1">
        <v>0</v>
      </c>
      <c r="T68" s="1">
        <v>0</v>
      </c>
      <c r="U68" s="1">
        <v>65.066999999999993</v>
      </c>
      <c r="V68" s="1">
        <v>21.277999999999999</v>
      </c>
      <c r="W68" s="1">
        <v>1.53</v>
      </c>
      <c r="X68" s="1">
        <v>3.4870000000000001</v>
      </c>
      <c r="Y68" s="1">
        <v>24.765000000000001</v>
      </c>
      <c r="Z68" s="1">
        <v>0.22500000000000001</v>
      </c>
      <c r="AA68" s="1">
        <v>2</v>
      </c>
      <c r="AB68" s="1">
        <v>1.8</v>
      </c>
      <c r="AC68" s="1">
        <v>1.9</v>
      </c>
      <c r="AD68" s="1">
        <v>3.4860000000000002</v>
      </c>
      <c r="AE68" s="1">
        <v>5.0000000000000001E-3</v>
      </c>
      <c r="AF68" s="1">
        <v>3.2000000000000001E-2</v>
      </c>
      <c r="AG68" s="1">
        <v>2</v>
      </c>
      <c r="AI68" s="1">
        <v>0</v>
      </c>
      <c r="AJ68" s="1">
        <v>0</v>
      </c>
      <c r="AK68" s="1">
        <v>0</v>
      </c>
      <c r="AL68" s="1">
        <v>1</v>
      </c>
      <c r="AM68" s="1">
        <v>75646</v>
      </c>
      <c r="AN68" s="1">
        <v>39480</v>
      </c>
      <c r="AO68" s="1">
        <v>36166</v>
      </c>
      <c r="AP68" s="1">
        <v>50613</v>
      </c>
      <c r="AQ68" s="1">
        <v>15.157086163197469</v>
      </c>
    </row>
    <row r="69" spans="1:43" x14ac:dyDescent="0.45">
      <c r="A69" s="1">
        <v>68</v>
      </c>
      <c r="B69" s="1">
        <v>95</v>
      </c>
      <c r="C69" s="1">
        <v>117</v>
      </c>
      <c r="D69" s="1" t="s">
        <v>112</v>
      </c>
      <c r="E69" s="1" t="s">
        <v>113</v>
      </c>
      <c r="F69" s="1" t="s">
        <v>114</v>
      </c>
      <c r="G69" s="1" t="s">
        <v>54</v>
      </c>
      <c r="H69" s="1" t="s">
        <v>47</v>
      </c>
      <c r="I69" s="1">
        <v>948</v>
      </c>
      <c r="J69" s="1">
        <v>50781</v>
      </c>
      <c r="K69" s="1">
        <v>1</v>
      </c>
      <c r="L69" s="1">
        <v>116</v>
      </c>
      <c r="M69" s="1">
        <v>1871</v>
      </c>
      <c r="N69" s="1" t="s">
        <v>48</v>
      </c>
      <c r="O69" s="1">
        <v>195155</v>
      </c>
      <c r="P69" s="1">
        <v>93</v>
      </c>
      <c r="Q69" s="1" t="s">
        <v>111</v>
      </c>
      <c r="R69" s="1" t="s">
        <v>50</v>
      </c>
      <c r="S69" s="1">
        <v>0</v>
      </c>
      <c r="T69" s="1">
        <v>0</v>
      </c>
      <c r="U69" s="1">
        <v>53.843000000000004</v>
      </c>
      <c r="V69" s="1">
        <v>20.477</v>
      </c>
      <c r="W69" s="1">
        <v>1.75</v>
      </c>
      <c r="X69" s="1">
        <v>4.2889999999999997</v>
      </c>
      <c r="Y69" s="1">
        <v>24.765999999999998</v>
      </c>
      <c r="Z69" s="1">
        <v>0.23400000000000001</v>
      </c>
      <c r="AA69" s="1">
        <v>0.6</v>
      </c>
      <c r="AB69" s="1">
        <v>0.6</v>
      </c>
      <c r="AC69" s="1">
        <v>0.6</v>
      </c>
      <c r="AD69" s="1">
        <v>4.2869999999999999</v>
      </c>
      <c r="AE69" s="1">
        <v>0.23200000000000001</v>
      </c>
      <c r="AF69" s="1">
        <v>0.999</v>
      </c>
      <c r="AG69" s="1">
        <v>0.6</v>
      </c>
      <c r="AI69" s="1">
        <v>0</v>
      </c>
      <c r="AJ69" s="1">
        <v>0</v>
      </c>
      <c r="AK69" s="1">
        <v>0</v>
      </c>
      <c r="AL69" s="1">
        <v>1</v>
      </c>
      <c r="AM69" s="1">
        <v>86400</v>
      </c>
      <c r="AN69" s="1">
        <v>77669</v>
      </c>
      <c r="AO69" s="1">
        <v>8731</v>
      </c>
      <c r="AP69" s="1">
        <v>50575</v>
      </c>
      <c r="AQ69" s="1">
        <v>1.566961171589063</v>
      </c>
    </row>
    <row r="70" spans="1:43" x14ac:dyDescent="0.45">
      <c r="A70" s="1">
        <v>69</v>
      </c>
      <c r="B70" s="1">
        <v>95</v>
      </c>
      <c r="C70" s="1">
        <v>117</v>
      </c>
      <c r="D70" s="1" t="s">
        <v>112</v>
      </c>
      <c r="E70" s="1" t="s">
        <v>113</v>
      </c>
      <c r="F70" s="1" t="s">
        <v>114</v>
      </c>
      <c r="G70" s="1" t="s">
        <v>54</v>
      </c>
      <c r="H70" s="1" t="s">
        <v>47</v>
      </c>
      <c r="I70" s="1">
        <v>948</v>
      </c>
      <c r="J70" s="1">
        <v>50781</v>
      </c>
      <c r="K70" s="1">
        <v>1</v>
      </c>
      <c r="L70" s="1">
        <v>116</v>
      </c>
      <c r="M70" s="1">
        <v>1931</v>
      </c>
      <c r="N70" s="1" t="s">
        <v>48</v>
      </c>
      <c r="O70" s="1">
        <v>195297</v>
      </c>
      <c r="P70" s="1">
        <v>93</v>
      </c>
      <c r="Q70" s="1" t="s">
        <v>111</v>
      </c>
      <c r="R70" s="1" t="s">
        <v>50</v>
      </c>
      <c r="S70" s="1">
        <v>0</v>
      </c>
      <c r="T70" s="1">
        <v>0</v>
      </c>
      <c r="U70" s="1">
        <v>57.128999999999998</v>
      </c>
      <c r="V70" s="1">
        <v>21.033000000000001</v>
      </c>
      <c r="W70" s="1">
        <v>1.57</v>
      </c>
      <c r="X70" s="1">
        <v>3.7330000000000001</v>
      </c>
      <c r="Y70" s="1">
        <v>24.765000000000001</v>
      </c>
      <c r="Z70" s="1">
        <v>0.128</v>
      </c>
      <c r="AA70" s="1">
        <v>2.4</v>
      </c>
      <c r="AB70" s="1">
        <v>2</v>
      </c>
      <c r="AC70" s="1">
        <v>2</v>
      </c>
      <c r="AD70" s="1">
        <v>3.7320000000000002</v>
      </c>
      <c r="AE70" s="1">
        <v>8.0000000000000002E-3</v>
      </c>
      <c r="AF70" s="1">
        <v>4.9000000000000002E-2</v>
      </c>
      <c r="AI70" s="1">
        <v>0</v>
      </c>
      <c r="AJ70" s="1">
        <v>0</v>
      </c>
      <c r="AK70" s="1">
        <v>0</v>
      </c>
      <c r="AL70" s="1">
        <v>1</v>
      </c>
      <c r="AM70" s="1">
        <v>86400</v>
      </c>
      <c r="AN70" s="1">
        <v>73796</v>
      </c>
      <c r="AO70" s="1">
        <v>12604</v>
      </c>
      <c r="AP70" s="1">
        <v>50621</v>
      </c>
      <c r="AQ70" s="1">
        <v>4.8008961758897906</v>
      </c>
    </row>
    <row r="71" spans="1:43" x14ac:dyDescent="0.45">
      <c r="A71" s="1">
        <v>70</v>
      </c>
      <c r="B71" s="1">
        <v>95</v>
      </c>
      <c r="C71" s="1">
        <v>117</v>
      </c>
      <c r="D71" s="1" t="s">
        <v>112</v>
      </c>
      <c r="E71" s="1" t="s">
        <v>113</v>
      </c>
      <c r="F71" s="1" t="s">
        <v>114</v>
      </c>
      <c r="G71" s="1" t="s">
        <v>54</v>
      </c>
      <c r="H71" s="1" t="s">
        <v>47</v>
      </c>
      <c r="I71" s="1">
        <v>948</v>
      </c>
      <c r="J71" s="1">
        <v>50781</v>
      </c>
      <c r="K71" s="1">
        <v>1</v>
      </c>
      <c r="L71" s="1">
        <v>116</v>
      </c>
      <c r="M71" s="1">
        <v>1932</v>
      </c>
      <c r="N71" s="1" t="s">
        <v>48</v>
      </c>
      <c r="O71" s="1">
        <v>195298</v>
      </c>
      <c r="P71" s="1">
        <v>93</v>
      </c>
      <c r="Q71" s="1" t="s">
        <v>111</v>
      </c>
      <c r="R71" s="1" t="s">
        <v>50</v>
      </c>
      <c r="S71" s="1">
        <v>0</v>
      </c>
      <c r="T71" s="1">
        <v>0</v>
      </c>
      <c r="U71" s="1">
        <v>69.653000000000006</v>
      </c>
      <c r="V71" s="1">
        <v>21.009</v>
      </c>
      <c r="W71" s="1">
        <v>1.58</v>
      </c>
      <c r="X71" s="1">
        <v>3.7559999999999998</v>
      </c>
      <c r="Y71" s="1">
        <v>24.765999999999998</v>
      </c>
      <c r="Z71" s="1">
        <v>0.247</v>
      </c>
      <c r="AA71" s="1">
        <v>2.4</v>
      </c>
      <c r="AB71" s="1">
        <v>1.9</v>
      </c>
      <c r="AC71" s="1">
        <v>1.9</v>
      </c>
      <c r="AD71" s="1">
        <v>3.7559999999999998</v>
      </c>
      <c r="AE71" s="1">
        <v>0.01</v>
      </c>
      <c r="AF71" s="1">
        <v>6.2E-2</v>
      </c>
      <c r="AI71" s="1">
        <v>0</v>
      </c>
      <c r="AJ71" s="1">
        <v>0</v>
      </c>
      <c r="AK71" s="1">
        <v>0</v>
      </c>
      <c r="AL71" s="1">
        <v>1</v>
      </c>
      <c r="AM71" s="1">
        <v>86400</v>
      </c>
      <c r="AN71" s="1">
        <v>74060</v>
      </c>
      <c r="AO71" s="1">
        <v>12340</v>
      </c>
      <c r="AP71" s="1">
        <v>50607</v>
      </c>
      <c r="AQ71" s="1">
        <v>1.3019755942637019</v>
      </c>
    </row>
    <row r="72" spans="1:43" x14ac:dyDescent="0.45">
      <c r="A72" s="1">
        <v>71</v>
      </c>
      <c r="B72" s="1">
        <v>95</v>
      </c>
      <c r="C72" s="1">
        <v>117</v>
      </c>
      <c r="D72" s="1" t="s">
        <v>112</v>
      </c>
      <c r="E72" s="1" t="s">
        <v>113</v>
      </c>
      <c r="F72" s="1" t="s">
        <v>114</v>
      </c>
      <c r="G72" s="1" t="s">
        <v>54</v>
      </c>
      <c r="H72" s="1" t="s">
        <v>47</v>
      </c>
      <c r="I72" s="1">
        <v>948</v>
      </c>
      <c r="J72" s="1">
        <v>50781</v>
      </c>
      <c r="K72" s="1">
        <v>1</v>
      </c>
      <c r="L72" s="1">
        <v>116</v>
      </c>
      <c r="M72" s="1">
        <v>1935</v>
      </c>
      <c r="N72" s="1" t="s">
        <v>48</v>
      </c>
      <c r="O72" s="1">
        <v>195301</v>
      </c>
      <c r="P72" s="1">
        <v>93</v>
      </c>
      <c r="Q72" s="1" t="s">
        <v>111</v>
      </c>
      <c r="R72" s="1" t="s">
        <v>50</v>
      </c>
      <c r="S72" s="1">
        <v>0</v>
      </c>
      <c r="T72" s="1">
        <v>0</v>
      </c>
      <c r="U72" s="1">
        <v>52.036000000000001</v>
      </c>
      <c r="V72" s="1">
        <v>21.234999999999999</v>
      </c>
      <c r="W72" s="1">
        <v>1.54</v>
      </c>
      <c r="X72" s="1">
        <v>3.53</v>
      </c>
      <c r="Y72" s="1">
        <v>24.765000000000001</v>
      </c>
      <c r="Z72" s="1">
        <v>0.27700000000000002</v>
      </c>
      <c r="AA72" s="1">
        <v>1.5</v>
      </c>
      <c r="AB72" s="1">
        <v>1.6</v>
      </c>
      <c r="AC72" s="1">
        <v>1.7</v>
      </c>
      <c r="AD72" s="1">
        <v>3.53</v>
      </c>
      <c r="AE72" s="1">
        <v>6.0000000000000001E-3</v>
      </c>
      <c r="AF72" s="1">
        <v>3.6999999999999998E-2</v>
      </c>
      <c r="AI72" s="1">
        <v>0</v>
      </c>
      <c r="AJ72" s="1">
        <v>0</v>
      </c>
      <c r="AK72" s="1">
        <v>0</v>
      </c>
      <c r="AL72" s="1">
        <v>1</v>
      </c>
      <c r="AM72" s="1">
        <v>75777</v>
      </c>
      <c r="AN72" s="1">
        <v>35791</v>
      </c>
      <c r="AO72" s="1">
        <v>39986</v>
      </c>
      <c r="AP72" s="1">
        <v>50593</v>
      </c>
      <c r="AQ72" s="1">
        <v>6.8629454633243956</v>
      </c>
    </row>
    <row r="73" spans="1:43" x14ac:dyDescent="0.45">
      <c r="A73" s="1">
        <v>72</v>
      </c>
      <c r="B73" s="1">
        <v>98</v>
      </c>
      <c r="C73" s="1">
        <v>74</v>
      </c>
      <c r="D73" s="1" t="s">
        <v>61</v>
      </c>
      <c r="E73" s="1" t="s">
        <v>62</v>
      </c>
      <c r="F73" s="1" t="s">
        <v>63</v>
      </c>
      <c r="G73" s="1" t="s">
        <v>46</v>
      </c>
      <c r="H73" s="1" t="s">
        <v>47</v>
      </c>
      <c r="I73" s="1">
        <v>1175</v>
      </c>
      <c r="J73" s="1">
        <v>30642</v>
      </c>
      <c r="K73" s="1">
        <v>1</v>
      </c>
      <c r="L73" s="1">
        <v>73</v>
      </c>
      <c r="M73" s="1">
        <v>2081</v>
      </c>
      <c r="N73" s="1" t="s">
        <v>48</v>
      </c>
      <c r="O73" s="1">
        <v>198607</v>
      </c>
      <c r="P73" s="1">
        <v>93</v>
      </c>
      <c r="Q73" s="1" t="s">
        <v>111</v>
      </c>
      <c r="R73" s="1" t="s">
        <v>50</v>
      </c>
      <c r="S73" s="1">
        <v>0</v>
      </c>
      <c r="T73" s="1">
        <v>0</v>
      </c>
      <c r="U73" s="1">
        <v>71.430000000000007</v>
      </c>
      <c r="V73" s="1">
        <v>25.236000000000001</v>
      </c>
      <c r="W73" s="1">
        <v>0.55000000000000004</v>
      </c>
      <c r="X73" s="1">
        <v>0.29899999999999999</v>
      </c>
      <c r="Y73" s="1">
        <v>25.535</v>
      </c>
      <c r="Z73" s="1">
        <v>0.11799999999999999</v>
      </c>
      <c r="AA73" s="1">
        <v>-0.6</v>
      </c>
      <c r="AB73" s="1">
        <v>-2.1</v>
      </c>
      <c r="AC73" s="1">
        <v>-2.1</v>
      </c>
      <c r="AD73" s="1">
        <v>0.29899999999999999</v>
      </c>
      <c r="AE73" s="1">
        <v>4.9000000000000002E-2</v>
      </c>
      <c r="AF73" s="1">
        <v>0.02</v>
      </c>
      <c r="AG73" s="1">
        <v>-0.6</v>
      </c>
      <c r="AI73" s="1">
        <v>0</v>
      </c>
      <c r="AJ73" s="1">
        <v>0</v>
      </c>
      <c r="AK73" s="1">
        <v>0</v>
      </c>
      <c r="AL73" s="1">
        <v>1</v>
      </c>
      <c r="AM73" s="1">
        <v>86400</v>
      </c>
      <c r="AN73" s="1">
        <v>81431</v>
      </c>
      <c r="AO73" s="1">
        <v>4969</v>
      </c>
      <c r="AP73" s="1">
        <v>50212</v>
      </c>
      <c r="AQ73" s="1">
        <v>1.128700622000171</v>
      </c>
    </row>
    <row r="74" spans="1:43" x14ac:dyDescent="0.45">
      <c r="A74" s="1">
        <v>73</v>
      </c>
      <c r="B74" s="1">
        <v>99</v>
      </c>
      <c r="C74" s="1">
        <v>75</v>
      </c>
      <c r="D74" s="1" t="s">
        <v>64</v>
      </c>
      <c r="E74" s="1" t="s">
        <v>65</v>
      </c>
      <c r="F74" s="1" t="s">
        <v>66</v>
      </c>
      <c r="G74" s="1" t="s">
        <v>46</v>
      </c>
      <c r="H74" s="1" t="s">
        <v>47</v>
      </c>
      <c r="I74" s="1">
        <v>1170</v>
      </c>
      <c r="J74" s="1">
        <v>33499</v>
      </c>
      <c r="K74" s="1">
        <v>1</v>
      </c>
      <c r="L74" s="1">
        <v>74</v>
      </c>
      <c r="M74" s="1">
        <v>2081</v>
      </c>
      <c r="N74" s="1" t="s">
        <v>48</v>
      </c>
      <c r="O74" s="1">
        <v>198607</v>
      </c>
      <c r="P74" s="1">
        <v>93</v>
      </c>
      <c r="Q74" s="1" t="s">
        <v>111</v>
      </c>
      <c r="R74" s="1" t="s">
        <v>50</v>
      </c>
      <c r="S74" s="1">
        <v>0</v>
      </c>
      <c r="T74" s="1">
        <v>0</v>
      </c>
      <c r="U74" s="1">
        <v>71.430000000000007</v>
      </c>
      <c r="V74" s="1">
        <v>25.236000000000001</v>
      </c>
      <c r="W74" s="1">
        <v>0.55000000000000004</v>
      </c>
      <c r="X74" s="1">
        <v>0.29899999999999999</v>
      </c>
      <c r="Y74" s="1">
        <v>25.535</v>
      </c>
      <c r="Z74" s="1">
        <v>0.11799999999999999</v>
      </c>
      <c r="AA74" s="1">
        <v>-0.6</v>
      </c>
      <c r="AB74" s="1">
        <v>-2.1</v>
      </c>
      <c r="AC74" s="1">
        <v>-2.1</v>
      </c>
      <c r="AD74" s="1">
        <v>0.29899999999999999</v>
      </c>
      <c r="AE74" s="1">
        <v>4.9000000000000002E-2</v>
      </c>
      <c r="AF74" s="1">
        <v>0.02</v>
      </c>
      <c r="AG74" s="1">
        <v>-0.6</v>
      </c>
      <c r="AI74" s="1">
        <v>0</v>
      </c>
      <c r="AJ74" s="1">
        <v>0</v>
      </c>
      <c r="AK74" s="1">
        <v>0</v>
      </c>
      <c r="AL74" s="1">
        <v>1</v>
      </c>
      <c r="AM74" s="1">
        <v>86400</v>
      </c>
      <c r="AN74" s="1">
        <v>81431</v>
      </c>
      <c r="AO74" s="1">
        <v>4969</v>
      </c>
      <c r="AP74" s="1">
        <v>50212</v>
      </c>
      <c r="AQ74" s="1">
        <v>1.12779195385514</v>
      </c>
    </row>
    <row r="75" spans="1:43" x14ac:dyDescent="0.45">
      <c r="A75" s="1">
        <v>74</v>
      </c>
      <c r="B75" s="1">
        <v>101</v>
      </c>
      <c r="C75" s="1">
        <v>74</v>
      </c>
      <c r="D75" s="1" t="s">
        <v>61</v>
      </c>
      <c r="E75" s="1" t="s">
        <v>62</v>
      </c>
      <c r="F75" s="1" t="s">
        <v>63</v>
      </c>
      <c r="G75" s="1" t="s">
        <v>46</v>
      </c>
      <c r="H75" s="1" t="s">
        <v>47</v>
      </c>
      <c r="I75" s="1">
        <v>1175</v>
      </c>
      <c r="J75" s="1">
        <v>30642</v>
      </c>
      <c r="K75" s="1">
        <v>1</v>
      </c>
      <c r="L75" s="1">
        <v>73</v>
      </c>
      <c r="M75" s="1">
        <v>2034</v>
      </c>
      <c r="N75" s="1" t="s">
        <v>48</v>
      </c>
      <c r="O75" s="1">
        <v>198410</v>
      </c>
      <c r="P75" s="1">
        <v>93</v>
      </c>
      <c r="Q75" s="1" t="s">
        <v>111</v>
      </c>
      <c r="R75" s="1" t="s">
        <v>50</v>
      </c>
      <c r="S75" s="1">
        <v>0</v>
      </c>
      <c r="T75" s="1">
        <v>0</v>
      </c>
      <c r="U75" s="1">
        <v>133.90799999999999</v>
      </c>
      <c r="V75" s="1">
        <v>25.021999999999998</v>
      </c>
      <c r="W75" s="1">
        <v>0.56000000000000005</v>
      </c>
      <c r="X75" s="1">
        <v>0.39600000000000002</v>
      </c>
      <c r="Y75" s="1">
        <v>25.417999999999999</v>
      </c>
      <c r="Z75" s="1">
        <v>0.112</v>
      </c>
      <c r="AA75" s="1">
        <v>-0.6</v>
      </c>
      <c r="AB75" s="1">
        <v>-0.6</v>
      </c>
      <c r="AC75" s="1">
        <v>-0.6</v>
      </c>
      <c r="AD75" s="1">
        <v>0.39600000000000002</v>
      </c>
      <c r="AE75" s="1">
        <v>8.4000000000000005E-2</v>
      </c>
      <c r="AF75" s="1">
        <v>4.2000000000000003E-2</v>
      </c>
      <c r="AG75" s="1">
        <v>-0.6</v>
      </c>
      <c r="AI75" s="1">
        <v>0</v>
      </c>
      <c r="AJ75" s="1">
        <v>0</v>
      </c>
      <c r="AK75" s="1">
        <v>0</v>
      </c>
      <c r="AL75" s="1">
        <v>1</v>
      </c>
      <c r="AM75" s="1">
        <v>86400</v>
      </c>
      <c r="AN75" s="1">
        <v>81436</v>
      </c>
      <c r="AO75" s="1">
        <v>4964</v>
      </c>
      <c r="AP75" s="1">
        <v>50345</v>
      </c>
      <c r="AQ75" s="1">
        <v>11.882044579238849</v>
      </c>
    </row>
    <row r="76" spans="1:43" x14ac:dyDescent="0.45">
      <c r="A76" s="1">
        <v>75</v>
      </c>
      <c r="B76" s="1">
        <v>101</v>
      </c>
      <c r="C76" s="1">
        <v>74</v>
      </c>
      <c r="D76" s="1" t="s">
        <v>61</v>
      </c>
      <c r="E76" s="1" t="s">
        <v>62</v>
      </c>
      <c r="F76" s="1" t="s">
        <v>63</v>
      </c>
      <c r="G76" s="1" t="s">
        <v>46</v>
      </c>
      <c r="H76" s="1" t="s">
        <v>47</v>
      </c>
      <c r="I76" s="1">
        <v>1175</v>
      </c>
      <c r="J76" s="1">
        <v>30642</v>
      </c>
      <c r="K76" s="1">
        <v>1</v>
      </c>
      <c r="L76" s="1">
        <v>73</v>
      </c>
      <c r="M76" s="1">
        <v>2036</v>
      </c>
      <c r="N76" s="1" t="s">
        <v>48</v>
      </c>
      <c r="O76" s="1">
        <v>198432</v>
      </c>
      <c r="P76" s="1">
        <v>93</v>
      </c>
      <c r="Q76" s="1" t="s">
        <v>111</v>
      </c>
      <c r="R76" s="1" t="s">
        <v>50</v>
      </c>
      <c r="S76" s="1">
        <v>0</v>
      </c>
      <c r="T76" s="1">
        <v>0</v>
      </c>
      <c r="U76" s="1">
        <v>135.304</v>
      </c>
      <c r="V76" s="1">
        <v>25.076000000000001</v>
      </c>
      <c r="W76" s="1">
        <v>0.56000000000000005</v>
      </c>
      <c r="X76" s="1">
        <v>0.34200000000000003</v>
      </c>
      <c r="Y76" s="1">
        <v>25.419</v>
      </c>
      <c r="Z76" s="1">
        <v>0.23100000000000001</v>
      </c>
      <c r="AA76" s="1">
        <v>2.2000000000000002</v>
      </c>
      <c r="AB76" s="1">
        <v>2.2000000000000002</v>
      </c>
      <c r="AC76" s="1">
        <v>2.2000000000000002</v>
      </c>
      <c r="AD76" s="1">
        <v>0.34200000000000003</v>
      </c>
      <c r="AE76" s="1">
        <v>0.23</v>
      </c>
      <c r="AF76" s="1">
        <v>7.9000000000000001E-2</v>
      </c>
      <c r="AG76" s="1">
        <v>2.2000000000000002</v>
      </c>
      <c r="AI76" s="1">
        <v>0</v>
      </c>
      <c r="AJ76" s="1">
        <v>0</v>
      </c>
      <c r="AK76" s="1">
        <v>0</v>
      </c>
      <c r="AL76" s="1">
        <v>1</v>
      </c>
      <c r="AM76" s="1">
        <v>86400</v>
      </c>
      <c r="AN76" s="1">
        <v>79935</v>
      </c>
      <c r="AO76" s="1">
        <v>6465</v>
      </c>
      <c r="AP76" s="1">
        <v>50229</v>
      </c>
      <c r="AQ76" s="1">
        <v>3.4742025684666311</v>
      </c>
    </row>
    <row r="77" spans="1:43" x14ac:dyDescent="0.45">
      <c r="A77" s="1">
        <v>76</v>
      </c>
      <c r="B77" s="1">
        <v>101</v>
      </c>
      <c r="C77" s="1">
        <v>74</v>
      </c>
      <c r="D77" s="1" t="s">
        <v>61</v>
      </c>
      <c r="E77" s="1" t="s">
        <v>62</v>
      </c>
      <c r="F77" s="1" t="s">
        <v>63</v>
      </c>
      <c r="G77" s="1" t="s">
        <v>46</v>
      </c>
      <c r="H77" s="1" t="s">
        <v>47</v>
      </c>
      <c r="I77" s="1">
        <v>1175</v>
      </c>
      <c r="J77" s="1">
        <v>30642</v>
      </c>
      <c r="K77" s="1">
        <v>1</v>
      </c>
      <c r="L77" s="1">
        <v>73</v>
      </c>
      <c r="M77" s="1">
        <v>2043</v>
      </c>
      <c r="N77" s="1" t="s">
        <v>48</v>
      </c>
      <c r="O77" s="1">
        <v>198454</v>
      </c>
      <c r="P77" s="1">
        <v>93</v>
      </c>
      <c r="Q77" s="1" t="s">
        <v>111</v>
      </c>
      <c r="R77" s="1" t="s">
        <v>50</v>
      </c>
      <c r="S77" s="1">
        <v>0</v>
      </c>
      <c r="T77" s="1">
        <v>0</v>
      </c>
      <c r="U77" s="1">
        <v>706.94600000000003</v>
      </c>
      <c r="V77" s="1">
        <v>25.349</v>
      </c>
      <c r="W77" s="1">
        <v>0.53</v>
      </c>
      <c r="X77" s="1">
        <v>0.16</v>
      </c>
      <c r="Y77" s="1">
        <v>25.507999999999999</v>
      </c>
      <c r="Z77" s="1">
        <v>8.2000000000000003E-2</v>
      </c>
      <c r="AA77" s="1">
        <v>0.6</v>
      </c>
      <c r="AB77" s="1">
        <v>0.5</v>
      </c>
      <c r="AC77" s="1">
        <v>0.5</v>
      </c>
      <c r="AD77" s="1">
        <v>0.16</v>
      </c>
      <c r="AE77" s="1">
        <v>8.1000000000000003E-2</v>
      </c>
      <c r="AF77" s="1">
        <v>1.2999999999999999E-2</v>
      </c>
      <c r="AG77" s="1">
        <v>0.6</v>
      </c>
      <c r="AI77" s="1">
        <v>0</v>
      </c>
      <c r="AJ77" s="1">
        <v>0</v>
      </c>
      <c r="AK77" s="1">
        <v>0</v>
      </c>
      <c r="AL77" s="1">
        <v>1</v>
      </c>
      <c r="AM77" s="1">
        <v>86400</v>
      </c>
      <c r="AN77" s="1">
        <v>77075</v>
      </c>
      <c r="AO77" s="1">
        <v>9325</v>
      </c>
      <c r="AP77" s="1">
        <v>50367</v>
      </c>
      <c r="AQ77" s="1">
        <v>1.647579668275021</v>
      </c>
    </row>
    <row r="78" spans="1:43" x14ac:dyDescent="0.45">
      <c r="A78" s="1">
        <v>77</v>
      </c>
      <c r="B78" s="1">
        <v>101</v>
      </c>
      <c r="C78" s="1">
        <v>74</v>
      </c>
      <c r="D78" s="1" t="s">
        <v>61</v>
      </c>
      <c r="E78" s="1" t="s">
        <v>62</v>
      </c>
      <c r="F78" s="1" t="s">
        <v>63</v>
      </c>
      <c r="G78" s="1" t="s">
        <v>46</v>
      </c>
      <c r="H78" s="1" t="s">
        <v>47</v>
      </c>
      <c r="I78" s="1">
        <v>1175</v>
      </c>
      <c r="J78" s="1">
        <v>30642</v>
      </c>
      <c r="K78" s="1">
        <v>1</v>
      </c>
      <c r="L78" s="1">
        <v>73</v>
      </c>
      <c r="M78" s="1">
        <v>2044</v>
      </c>
      <c r="N78" s="1" t="s">
        <v>48</v>
      </c>
      <c r="O78" s="1">
        <v>198455</v>
      </c>
      <c r="P78" s="1">
        <v>93</v>
      </c>
      <c r="Q78" s="1" t="s">
        <v>111</v>
      </c>
      <c r="R78" s="1" t="s">
        <v>50</v>
      </c>
      <c r="S78" s="1">
        <v>0</v>
      </c>
      <c r="T78" s="1">
        <v>0</v>
      </c>
      <c r="U78" s="1">
        <v>453.35199999999998</v>
      </c>
      <c r="V78" s="1">
        <v>25.404</v>
      </c>
      <c r="W78" s="1">
        <v>0.52</v>
      </c>
      <c r="X78" s="1">
        <v>0.105</v>
      </c>
      <c r="Y78" s="1">
        <v>25.509</v>
      </c>
      <c r="Z78" s="1">
        <v>6.9000000000000006E-2</v>
      </c>
      <c r="AA78" s="1">
        <v>-0.5</v>
      </c>
      <c r="AB78" s="1">
        <v>-2.8</v>
      </c>
      <c r="AC78" s="1">
        <v>-2.8</v>
      </c>
      <c r="AD78" s="1">
        <v>0.105</v>
      </c>
      <c r="AE78" s="1">
        <v>0.04</v>
      </c>
      <c r="AF78" s="1">
        <v>4.0000000000000001E-3</v>
      </c>
      <c r="AI78" s="1">
        <v>0</v>
      </c>
      <c r="AJ78" s="1">
        <v>0</v>
      </c>
      <c r="AK78" s="1">
        <v>0</v>
      </c>
      <c r="AL78" s="1">
        <v>1</v>
      </c>
      <c r="AM78" s="1">
        <v>50903</v>
      </c>
      <c r="AN78" s="1">
        <v>3184</v>
      </c>
      <c r="AO78" s="1">
        <v>47719</v>
      </c>
      <c r="AP78" s="1">
        <v>50255</v>
      </c>
      <c r="AQ78" s="1">
        <v>1.6133676293600641</v>
      </c>
    </row>
    <row r="79" spans="1:43" x14ac:dyDescent="0.45">
      <c r="A79" s="1">
        <v>78</v>
      </c>
      <c r="B79" s="1">
        <v>101</v>
      </c>
      <c r="C79" s="1">
        <v>74</v>
      </c>
      <c r="D79" s="1" t="s">
        <v>61</v>
      </c>
      <c r="E79" s="1" t="s">
        <v>62</v>
      </c>
      <c r="F79" s="1" t="s">
        <v>63</v>
      </c>
      <c r="G79" s="1" t="s">
        <v>46</v>
      </c>
      <c r="H79" s="1" t="s">
        <v>47</v>
      </c>
      <c r="I79" s="1">
        <v>1175</v>
      </c>
      <c r="J79" s="1">
        <v>30642</v>
      </c>
      <c r="K79" s="1">
        <v>1</v>
      </c>
      <c r="L79" s="1">
        <v>73</v>
      </c>
      <c r="M79" s="1">
        <v>2048</v>
      </c>
      <c r="N79" s="1" t="s">
        <v>48</v>
      </c>
      <c r="O79" s="1">
        <v>198460</v>
      </c>
      <c r="P79" s="1">
        <v>93</v>
      </c>
      <c r="Q79" s="1" t="s">
        <v>111</v>
      </c>
      <c r="R79" s="1" t="s">
        <v>50</v>
      </c>
      <c r="S79" s="1">
        <v>0</v>
      </c>
      <c r="T79" s="1">
        <v>0</v>
      </c>
      <c r="U79" s="1">
        <v>100.82299999999999</v>
      </c>
      <c r="V79" s="1">
        <v>25.100999999999999</v>
      </c>
      <c r="W79" s="1">
        <v>0.56999999999999995</v>
      </c>
      <c r="X79" s="1">
        <v>0.41</v>
      </c>
      <c r="Y79" s="1">
        <v>25.510999999999999</v>
      </c>
      <c r="Z79" s="1">
        <v>0.72599999999999998</v>
      </c>
      <c r="AA79" s="1">
        <v>-2.6</v>
      </c>
      <c r="AB79" s="1">
        <v>-1.9</v>
      </c>
      <c r="AC79" s="1">
        <v>-1.9</v>
      </c>
      <c r="AD79" s="1">
        <v>0.41</v>
      </c>
      <c r="AE79" s="1">
        <v>0.109</v>
      </c>
      <c r="AF79" s="1">
        <v>7.3999999999999996E-2</v>
      </c>
      <c r="AG79" s="1">
        <v>-2.6</v>
      </c>
      <c r="AI79" s="1">
        <v>0</v>
      </c>
      <c r="AJ79" s="1">
        <v>0</v>
      </c>
      <c r="AK79" s="1">
        <v>0</v>
      </c>
      <c r="AL79" s="1">
        <v>1</v>
      </c>
      <c r="AM79" s="1">
        <v>54215</v>
      </c>
      <c r="AN79" s="1">
        <v>14234</v>
      </c>
      <c r="AO79" s="1">
        <v>39929</v>
      </c>
      <c r="AP79" s="1">
        <v>50291</v>
      </c>
      <c r="AQ79" s="1">
        <v>5.4229062710019962</v>
      </c>
    </row>
    <row r="80" spans="1:43" x14ac:dyDescent="0.45">
      <c r="A80" s="1">
        <v>79</v>
      </c>
      <c r="B80" s="1">
        <v>101</v>
      </c>
      <c r="C80" s="1">
        <v>74</v>
      </c>
      <c r="D80" s="1" t="s">
        <v>61</v>
      </c>
      <c r="E80" s="1" t="s">
        <v>62</v>
      </c>
      <c r="F80" s="1" t="s">
        <v>63</v>
      </c>
      <c r="G80" s="1" t="s">
        <v>46</v>
      </c>
      <c r="H80" s="1" t="s">
        <v>47</v>
      </c>
      <c r="I80" s="1">
        <v>1175</v>
      </c>
      <c r="J80" s="1">
        <v>30642</v>
      </c>
      <c r="K80" s="1">
        <v>1</v>
      </c>
      <c r="L80" s="1">
        <v>73</v>
      </c>
      <c r="M80" s="1">
        <v>2049</v>
      </c>
      <c r="N80" s="1" t="s">
        <v>48</v>
      </c>
      <c r="O80" s="1">
        <v>198461</v>
      </c>
      <c r="P80" s="1">
        <v>93</v>
      </c>
      <c r="Q80" s="1" t="s">
        <v>111</v>
      </c>
      <c r="R80" s="1" t="s">
        <v>50</v>
      </c>
      <c r="S80" s="1">
        <v>0</v>
      </c>
      <c r="T80" s="1">
        <v>0</v>
      </c>
      <c r="U80" s="1">
        <v>58.322000000000003</v>
      </c>
      <c r="V80" s="1">
        <v>24.956</v>
      </c>
      <c r="W80" s="1">
        <v>0.59</v>
      </c>
      <c r="X80" s="1">
        <v>0.55400000000000005</v>
      </c>
      <c r="Y80" s="1">
        <v>25.51</v>
      </c>
      <c r="Z80" s="1">
        <v>0.95199999999999996</v>
      </c>
      <c r="AA80" s="1">
        <v>-2.1</v>
      </c>
      <c r="AB80" s="1">
        <v>2.2000000000000002</v>
      </c>
      <c r="AC80" s="1">
        <v>2.2000000000000002</v>
      </c>
      <c r="AD80" s="1">
        <v>0.55400000000000005</v>
      </c>
      <c r="AE80" s="1">
        <v>1.0999999999999999E-2</v>
      </c>
      <c r="AF80" s="1">
        <v>0.29699999999999999</v>
      </c>
      <c r="AG80" s="1">
        <v>-2.1</v>
      </c>
      <c r="AI80" s="1">
        <v>0</v>
      </c>
      <c r="AJ80" s="1">
        <v>0</v>
      </c>
      <c r="AK80" s="1">
        <v>0</v>
      </c>
      <c r="AL80" s="1">
        <v>1</v>
      </c>
      <c r="AM80" s="1">
        <v>86400</v>
      </c>
      <c r="AN80" s="1">
        <v>81593</v>
      </c>
      <c r="AO80" s="1">
        <v>4807</v>
      </c>
      <c r="AP80" s="1">
        <v>50295</v>
      </c>
      <c r="AQ80" s="1">
        <v>9.2548474418251185</v>
      </c>
    </row>
    <row r="81" spans="1:43" x14ac:dyDescent="0.45">
      <c r="A81" s="1">
        <v>80</v>
      </c>
      <c r="B81" s="1">
        <v>101</v>
      </c>
      <c r="C81" s="1">
        <v>74</v>
      </c>
      <c r="D81" s="1" t="s">
        <v>61</v>
      </c>
      <c r="E81" s="1" t="s">
        <v>62</v>
      </c>
      <c r="F81" s="1" t="s">
        <v>63</v>
      </c>
      <c r="G81" s="1" t="s">
        <v>46</v>
      </c>
      <c r="H81" s="1" t="s">
        <v>47</v>
      </c>
      <c r="I81" s="1">
        <v>1175</v>
      </c>
      <c r="J81" s="1">
        <v>30642</v>
      </c>
      <c r="K81" s="1">
        <v>1</v>
      </c>
      <c r="L81" s="1">
        <v>73</v>
      </c>
      <c r="M81" s="1">
        <v>2050</v>
      </c>
      <c r="N81" s="1" t="s">
        <v>48</v>
      </c>
      <c r="O81" s="1">
        <v>198463</v>
      </c>
      <c r="P81" s="1">
        <v>93</v>
      </c>
      <c r="Q81" s="1" t="s">
        <v>111</v>
      </c>
      <c r="R81" s="1" t="s">
        <v>50</v>
      </c>
      <c r="S81" s="1">
        <v>0</v>
      </c>
      <c r="T81" s="1">
        <v>0</v>
      </c>
      <c r="U81" s="1">
        <v>67.843999999999994</v>
      </c>
      <c r="V81" s="1">
        <v>25.030999999999999</v>
      </c>
      <c r="W81" s="1">
        <v>0.57999999999999996</v>
      </c>
      <c r="X81" s="1">
        <v>0.47799999999999998</v>
      </c>
      <c r="Y81" s="1">
        <v>25.509</v>
      </c>
      <c r="Z81" s="1">
        <v>0.76300000000000001</v>
      </c>
      <c r="AA81" s="1">
        <v>-2.4</v>
      </c>
      <c r="AB81" s="1">
        <v>-1.9</v>
      </c>
      <c r="AC81" s="1">
        <v>-1.9</v>
      </c>
      <c r="AD81" s="1">
        <v>0.47799999999999998</v>
      </c>
      <c r="AE81" s="1">
        <v>0.121</v>
      </c>
      <c r="AF81" s="1">
        <v>0.113</v>
      </c>
      <c r="AG81" s="1">
        <v>-2.4</v>
      </c>
      <c r="AI81" s="1">
        <v>0</v>
      </c>
      <c r="AJ81" s="1">
        <v>0</v>
      </c>
      <c r="AK81" s="1">
        <v>0</v>
      </c>
      <c r="AL81" s="1">
        <v>1</v>
      </c>
      <c r="AM81" s="1">
        <v>82968</v>
      </c>
      <c r="AN81" s="1">
        <v>65400</v>
      </c>
      <c r="AO81" s="1">
        <v>14720</v>
      </c>
      <c r="AP81" s="1">
        <v>50355</v>
      </c>
      <c r="AQ81" s="1">
        <v>8.1449229246895669</v>
      </c>
    </row>
    <row r="82" spans="1:43" x14ac:dyDescent="0.45">
      <c r="A82" s="1">
        <v>81</v>
      </c>
      <c r="B82" s="1">
        <v>101</v>
      </c>
      <c r="C82" s="1">
        <v>74</v>
      </c>
      <c r="D82" s="1" t="s">
        <v>61</v>
      </c>
      <c r="E82" s="1" t="s">
        <v>62</v>
      </c>
      <c r="F82" s="1" t="s">
        <v>63</v>
      </c>
      <c r="G82" s="1" t="s">
        <v>46</v>
      </c>
      <c r="H82" s="1" t="s">
        <v>47</v>
      </c>
      <c r="I82" s="1">
        <v>1175</v>
      </c>
      <c r="J82" s="1">
        <v>30642</v>
      </c>
      <c r="K82" s="1">
        <v>1</v>
      </c>
      <c r="L82" s="1">
        <v>73</v>
      </c>
      <c r="M82" s="1">
        <v>2052</v>
      </c>
      <c r="N82" s="1" t="s">
        <v>48</v>
      </c>
      <c r="O82" s="1">
        <v>198465</v>
      </c>
      <c r="P82" s="1">
        <v>93</v>
      </c>
      <c r="Q82" s="1" t="s">
        <v>111</v>
      </c>
      <c r="R82" s="1" t="s">
        <v>50</v>
      </c>
      <c r="S82" s="1">
        <v>0</v>
      </c>
      <c r="T82" s="1">
        <v>0</v>
      </c>
      <c r="U82" s="1">
        <v>58.575000000000003</v>
      </c>
      <c r="V82" s="1">
        <v>25.164999999999999</v>
      </c>
      <c r="W82" s="1">
        <v>0.56000000000000005</v>
      </c>
      <c r="X82" s="1">
        <v>0.34300000000000003</v>
      </c>
      <c r="Y82" s="1">
        <v>25.507000000000001</v>
      </c>
      <c r="Z82" s="1">
        <v>0.34799999999999998</v>
      </c>
      <c r="AA82" s="1">
        <v>-0.8</v>
      </c>
      <c r="AB82" s="1">
        <v>1.3</v>
      </c>
      <c r="AC82" s="1">
        <v>1.3</v>
      </c>
      <c r="AD82" s="1">
        <v>0.34300000000000003</v>
      </c>
      <c r="AE82" s="1">
        <v>0.29599999999999999</v>
      </c>
      <c r="AF82" s="1">
        <v>0.10100000000000001</v>
      </c>
      <c r="AG82" s="1">
        <v>-0.8</v>
      </c>
      <c r="AI82" s="1">
        <v>0</v>
      </c>
      <c r="AJ82" s="1">
        <v>0</v>
      </c>
      <c r="AK82" s="1">
        <v>0</v>
      </c>
      <c r="AL82" s="1">
        <v>1</v>
      </c>
      <c r="AM82" s="1">
        <v>51492</v>
      </c>
      <c r="AN82" s="1">
        <v>7595</v>
      </c>
      <c r="AO82" s="1">
        <v>43365</v>
      </c>
      <c r="AP82" s="1">
        <v>50186</v>
      </c>
      <c r="AQ82" s="1">
        <v>4.1134895748945857</v>
      </c>
    </row>
    <row r="83" spans="1:43" x14ac:dyDescent="0.45">
      <c r="A83" s="1">
        <v>82</v>
      </c>
      <c r="B83" s="1">
        <v>101</v>
      </c>
      <c r="C83" s="1">
        <v>74</v>
      </c>
      <c r="D83" s="1" t="s">
        <v>61</v>
      </c>
      <c r="E83" s="1" t="s">
        <v>62</v>
      </c>
      <c r="F83" s="1" t="s">
        <v>63</v>
      </c>
      <c r="G83" s="1" t="s">
        <v>46</v>
      </c>
      <c r="H83" s="1" t="s">
        <v>47</v>
      </c>
      <c r="I83" s="1">
        <v>1175</v>
      </c>
      <c r="J83" s="1">
        <v>30642</v>
      </c>
      <c r="K83" s="1">
        <v>1</v>
      </c>
      <c r="L83" s="1">
        <v>73</v>
      </c>
      <c r="M83" s="1">
        <v>2059</v>
      </c>
      <c r="N83" s="1" t="s">
        <v>48</v>
      </c>
      <c r="O83" s="1">
        <v>198479</v>
      </c>
      <c r="P83" s="1">
        <v>93</v>
      </c>
      <c r="Q83" s="1" t="s">
        <v>111</v>
      </c>
      <c r="R83" s="1" t="s">
        <v>50</v>
      </c>
      <c r="S83" s="1">
        <v>0</v>
      </c>
      <c r="T83" s="1">
        <v>0</v>
      </c>
      <c r="U83" s="1">
        <v>139.94399999999999</v>
      </c>
      <c r="V83" s="1">
        <v>25.33</v>
      </c>
      <c r="W83" s="1">
        <v>0.53</v>
      </c>
      <c r="X83" s="1">
        <v>0.11899999999999999</v>
      </c>
      <c r="Y83" s="1">
        <v>25.449000000000002</v>
      </c>
      <c r="Z83" s="1">
        <v>0.70299999999999996</v>
      </c>
      <c r="AA83" s="1">
        <v>-2.2999999999999998</v>
      </c>
      <c r="AB83" s="1">
        <v>-2.2999999999999998</v>
      </c>
      <c r="AC83" s="1">
        <v>-2.2999999999999998</v>
      </c>
      <c r="AD83" s="1">
        <v>0.11899999999999999</v>
      </c>
      <c r="AE83" s="1">
        <v>0.69799999999999995</v>
      </c>
      <c r="AF83" s="1">
        <v>8.3000000000000004E-2</v>
      </c>
      <c r="AG83" s="1">
        <v>-2.2999999999999998</v>
      </c>
      <c r="AI83" s="1">
        <v>0</v>
      </c>
      <c r="AJ83" s="1">
        <v>0</v>
      </c>
      <c r="AK83" s="1">
        <v>0</v>
      </c>
      <c r="AL83" s="1">
        <v>1</v>
      </c>
      <c r="AM83" s="1">
        <v>50925</v>
      </c>
      <c r="AN83" s="1">
        <v>3596</v>
      </c>
      <c r="AO83" s="1">
        <v>47328</v>
      </c>
      <c r="AP83" s="1">
        <v>50219</v>
      </c>
      <c r="AQ83" s="1">
        <v>13.73987000258427</v>
      </c>
    </row>
    <row r="84" spans="1:43" x14ac:dyDescent="0.45">
      <c r="A84" s="1">
        <v>83</v>
      </c>
      <c r="B84" s="1">
        <v>101</v>
      </c>
      <c r="C84" s="1">
        <v>74</v>
      </c>
      <c r="D84" s="1" t="s">
        <v>61</v>
      </c>
      <c r="E84" s="1" t="s">
        <v>62</v>
      </c>
      <c r="F84" s="1" t="s">
        <v>63</v>
      </c>
      <c r="G84" s="1" t="s">
        <v>46</v>
      </c>
      <c r="H84" s="1" t="s">
        <v>47</v>
      </c>
      <c r="I84" s="1">
        <v>1175</v>
      </c>
      <c r="J84" s="1">
        <v>30642</v>
      </c>
      <c r="K84" s="1">
        <v>1</v>
      </c>
      <c r="L84" s="1">
        <v>73</v>
      </c>
      <c r="M84" s="1">
        <v>2062</v>
      </c>
      <c r="N84" s="1" t="s">
        <v>48</v>
      </c>
      <c r="O84" s="1">
        <v>198484</v>
      </c>
      <c r="P84" s="1">
        <v>93</v>
      </c>
      <c r="Q84" s="1" t="s">
        <v>111</v>
      </c>
      <c r="R84" s="1" t="s">
        <v>50</v>
      </c>
      <c r="S84" s="1">
        <v>0</v>
      </c>
      <c r="T84" s="1">
        <v>0</v>
      </c>
      <c r="U84" s="1">
        <v>90.051000000000002</v>
      </c>
      <c r="V84" s="1">
        <v>25.2</v>
      </c>
      <c r="W84" s="1">
        <v>0.55000000000000004</v>
      </c>
      <c r="X84" s="1">
        <v>0.22700000000000001</v>
      </c>
      <c r="Y84" s="1">
        <v>25.427</v>
      </c>
      <c r="Z84" s="1">
        <v>0.97699999999999998</v>
      </c>
      <c r="AA84" s="1">
        <v>-2.6</v>
      </c>
      <c r="AB84" s="1">
        <v>-2.7</v>
      </c>
      <c r="AC84" s="1">
        <v>-2.7</v>
      </c>
      <c r="AD84" s="1">
        <v>0.22700000000000001</v>
      </c>
      <c r="AE84" s="1">
        <v>0.95</v>
      </c>
      <c r="AF84" s="1">
        <v>0.216</v>
      </c>
      <c r="AG84" s="1">
        <v>-2.6</v>
      </c>
      <c r="AI84" s="1">
        <v>0</v>
      </c>
      <c r="AJ84" s="1">
        <v>0</v>
      </c>
      <c r="AK84" s="1">
        <v>0</v>
      </c>
      <c r="AL84" s="1">
        <v>1</v>
      </c>
      <c r="AM84" s="1">
        <v>86400</v>
      </c>
      <c r="AN84" s="1">
        <v>81248</v>
      </c>
      <c r="AO84" s="1">
        <v>5152</v>
      </c>
      <c r="AP84" s="1">
        <v>50229</v>
      </c>
      <c r="AQ84" s="1">
        <v>13.58493055698689</v>
      </c>
    </row>
    <row r="85" spans="1:43" x14ac:dyDescent="0.45">
      <c r="A85" s="1">
        <v>84</v>
      </c>
      <c r="B85" s="1">
        <v>101</v>
      </c>
      <c r="C85" s="1">
        <v>74</v>
      </c>
      <c r="D85" s="1" t="s">
        <v>61</v>
      </c>
      <c r="E85" s="1" t="s">
        <v>62</v>
      </c>
      <c r="F85" s="1" t="s">
        <v>63</v>
      </c>
      <c r="G85" s="1" t="s">
        <v>46</v>
      </c>
      <c r="H85" s="1" t="s">
        <v>47</v>
      </c>
      <c r="I85" s="1">
        <v>1175</v>
      </c>
      <c r="J85" s="1">
        <v>30642</v>
      </c>
      <c r="K85" s="1">
        <v>1</v>
      </c>
      <c r="L85" s="1">
        <v>73</v>
      </c>
      <c r="M85" s="1">
        <v>2063</v>
      </c>
      <c r="N85" s="1" t="s">
        <v>48</v>
      </c>
      <c r="O85" s="1">
        <v>198485</v>
      </c>
      <c r="P85" s="1">
        <v>93</v>
      </c>
      <c r="Q85" s="1" t="s">
        <v>111</v>
      </c>
      <c r="R85" s="1" t="s">
        <v>50</v>
      </c>
      <c r="S85" s="1">
        <v>0</v>
      </c>
      <c r="T85" s="1">
        <v>0</v>
      </c>
      <c r="U85" s="1">
        <v>59.128999999999998</v>
      </c>
      <c r="V85" s="1">
        <v>25.251999999999999</v>
      </c>
      <c r="W85" s="1">
        <v>0.54</v>
      </c>
      <c r="X85" s="1">
        <v>0.16600000000000001</v>
      </c>
      <c r="Y85" s="1">
        <v>25.417999999999999</v>
      </c>
      <c r="Z85" s="1">
        <v>0.88900000000000001</v>
      </c>
      <c r="AA85" s="1">
        <v>-2.8</v>
      </c>
      <c r="AB85" s="1">
        <v>-2.8</v>
      </c>
      <c r="AC85" s="1">
        <v>-2.8</v>
      </c>
      <c r="AD85" s="1">
        <v>0.16600000000000001</v>
      </c>
      <c r="AE85" s="1">
        <v>0.88600000000000001</v>
      </c>
      <c r="AF85" s="1">
        <v>0.14699999999999999</v>
      </c>
      <c r="AG85" s="1">
        <v>-2.8</v>
      </c>
      <c r="AI85" s="1">
        <v>0</v>
      </c>
      <c r="AJ85" s="1">
        <v>0</v>
      </c>
      <c r="AK85" s="1">
        <v>0</v>
      </c>
      <c r="AL85" s="1">
        <v>1</v>
      </c>
      <c r="AM85" s="1">
        <v>51386</v>
      </c>
      <c r="AN85" s="1">
        <v>8106</v>
      </c>
      <c r="AO85" s="1">
        <v>43280</v>
      </c>
      <c r="AP85" s="1">
        <v>50372</v>
      </c>
      <c r="AQ85" s="1">
        <v>5.604309815241626</v>
      </c>
    </row>
    <row r="86" spans="1:43" x14ac:dyDescent="0.45">
      <c r="A86" s="1">
        <v>85</v>
      </c>
      <c r="B86" s="1">
        <v>101</v>
      </c>
      <c r="C86" s="1">
        <v>74</v>
      </c>
      <c r="D86" s="1" t="s">
        <v>61</v>
      </c>
      <c r="E86" s="1" t="s">
        <v>62</v>
      </c>
      <c r="F86" s="1" t="s">
        <v>63</v>
      </c>
      <c r="G86" s="1" t="s">
        <v>46</v>
      </c>
      <c r="H86" s="1" t="s">
        <v>47</v>
      </c>
      <c r="I86" s="1">
        <v>1175</v>
      </c>
      <c r="J86" s="1">
        <v>30642</v>
      </c>
      <c r="K86" s="1">
        <v>1</v>
      </c>
      <c r="L86" s="1">
        <v>73</v>
      </c>
      <c r="M86" s="1">
        <v>2064</v>
      </c>
      <c r="N86" s="1" t="s">
        <v>48</v>
      </c>
      <c r="O86" s="1">
        <v>198486</v>
      </c>
      <c r="P86" s="1">
        <v>93</v>
      </c>
      <c r="Q86" s="1" t="s">
        <v>111</v>
      </c>
      <c r="R86" s="1" t="s">
        <v>50</v>
      </c>
      <c r="S86" s="1">
        <v>0</v>
      </c>
      <c r="T86" s="1">
        <v>0</v>
      </c>
      <c r="U86" s="1">
        <v>52.094000000000001</v>
      </c>
      <c r="V86" s="1">
        <v>25.183</v>
      </c>
      <c r="W86" s="1">
        <v>0.55000000000000004</v>
      </c>
      <c r="X86" s="1">
        <v>0.22800000000000001</v>
      </c>
      <c r="Y86" s="1">
        <v>25.411000000000001</v>
      </c>
      <c r="Z86" s="1">
        <v>0.80900000000000005</v>
      </c>
      <c r="AA86" s="1">
        <v>-2.9</v>
      </c>
      <c r="AB86" s="1">
        <v>-2.9</v>
      </c>
      <c r="AC86" s="1">
        <v>-2.9</v>
      </c>
      <c r="AD86" s="1">
        <v>0.22800000000000001</v>
      </c>
      <c r="AE86" s="1">
        <v>0.80700000000000005</v>
      </c>
      <c r="AF86" s="1">
        <v>0.184</v>
      </c>
      <c r="AG86" s="1">
        <v>-2.9</v>
      </c>
      <c r="AI86" s="1">
        <v>0</v>
      </c>
      <c r="AJ86" s="1">
        <v>0</v>
      </c>
      <c r="AK86" s="1">
        <v>0</v>
      </c>
      <c r="AL86" s="1">
        <v>1</v>
      </c>
      <c r="AM86" s="1">
        <v>86400</v>
      </c>
      <c r="AN86" s="1">
        <v>76818</v>
      </c>
      <c r="AO86" s="1">
        <v>9582</v>
      </c>
      <c r="AP86" s="1">
        <v>50395</v>
      </c>
      <c r="AQ86" s="1">
        <v>3.8210797604249449</v>
      </c>
    </row>
    <row r="87" spans="1:43" x14ac:dyDescent="0.45">
      <c r="A87" s="1">
        <v>86</v>
      </c>
      <c r="B87" s="1">
        <v>101</v>
      </c>
      <c r="C87" s="1">
        <v>74</v>
      </c>
      <c r="D87" s="1" t="s">
        <v>61</v>
      </c>
      <c r="E87" s="1" t="s">
        <v>62</v>
      </c>
      <c r="F87" s="1" t="s">
        <v>63</v>
      </c>
      <c r="G87" s="1" t="s">
        <v>46</v>
      </c>
      <c r="H87" s="1" t="s">
        <v>47</v>
      </c>
      <c r="I87" s="1">
        <v>1175</v>
      </c>
      <c r="J87" s="1">
        <v>30642</v>
      </c>
      <c r="K87" s="1">
        <v>1</v>
      </c>
      <c r="L87" s="1">
        <v>73</v>
      </c>
      <c r="M87" s="1">
        <v>2065</v>
      </c>
      <c r="N87" s="1" t="s">
        <v>48</v>
      </c>
      <c r="O87" s="1">
        <v>198487</v>
      </c>
      <c r="P87" s="1">
        <v>93</v>
      </c>
      <c r="Q87" s="1" t="s">
        <v>111</v>
      </c>
      <c r="R87" s="1" t="s">
        <v>50</v>
      </c>
      <c r="S87" s="1">
        <v>0</v>
      </c>
      <c r="T87" s="1">
        <v>0</v>
      </c>
      <c r="U87" s="1">
        <v>83.683999999999997</v>
      </c>
      <c r="V87" s="1">
        <v>25.073</v>
      </c>
      <c r="W87" s="1">
        <v>0.56999999999999995</v>
      </c>
      <c r="X87" s="1">
        <v>0.34200000000000003</v>
      </c>
      <c r="Y87" s="1">
        <v>25.414999999999999</v>
      </c>
      <c r="Z87" s="1">
        <v>0.43099999999999999</v>
      </c>
      <c r="AA87" s="1">
        <v>-2.6</v>
      </c>
      <c r="AB87" s="1">
        <v>-2.6</v>
      </c>
      <c r="AC87" s="1">
        <v>-2.6</v>
      </c>
      <c r="AD87" s="1">
        <v>0.34200000000000003</v>
      </c>
      <c r="AE87" s="1">
        <v>0.42799999999999999</v>
      </c>
      <c r="AF87" s="1">
        <v>0.14699999999999999</v>
      </c>
      <c r="AG87" s="1">
        <v>-2.6</v>
      </c>
      <c r="AI87" s="1">
        <v>0</v>
      </c>
      <c r="AJ87" s="1">
        <v>0</v>
      </c>
      <c r="AK87" s="1">
        <v>0</v>
      </c>
      <c r="AL87" s="1">
        <v>1</v>
      </c>
      <c r="AM87" s="1">
        <v>86400</v>
      </c>
      <c r="AN87" s="1">
        <v>80030</v>
      </c>
      <c r="AO87" s="1">
        <v>6370</v>
      </c>
      <c r="AP87" s="1">
        <v>50270</v>
      </c>
      <c r="AQ87" s="1">
        <v>15.599047446394991</v>
      </c>
    </row>
    <row r="88" spans="1:43" x14ac:dyDescent="0.45">
      <c r="A88" s="1">
        <v>87</v>
      </c>
      <c r="B88" s="1">
        <v>101</v>
      </c>
      <c r="C88" s="1">
        <v>74</v>
      </c>
      <c r="D88" s="1" t="s">
        <v>61</v>
      </c>
      <c r="E88" s="1" t="s">
        <v>62</v>
      </c>
      <c r="F88" s="1" t="s">
        <v>63</v>
      </c>
      <c r="G88" s="1" t="s">
        <v>46</v>
      </c>
      <c r="H88" s="1" t="s">
        <v>47</v>
      </c>
      <c r="I88" s="1">
        <v>1175</v>
      </c>
      <c r="J88" s="1">
        <v>30642</v>
      </c>
      <c r="K88" s="1">
        <v>1</v>
      </c>
      <c r="L88" s="1">
        <v>73</v>
      </c>
      <c r="M88" s="1">
        <v>2066</v>
      </c>
      <c r="N88" s="1" t="s">
        <v>48</v>
      </c>
      <c r="O88" s="1">
        <v>198488</v>
      </c>
      <c r="P88" s="1">
        <v>93</v>
      </c>
      <c r="Q88" s="1" t="s">
        <v>111</v>
      </c>
      <c r="R88" s="1" t="s">
        <v>50</v>
      </c>
      <c r="S88" s="1">
        <v>0</v>
      </c>
      <c r="T88" s="1">
        <v>0</v>
      </c>
      <c r="U88" s="1">
        <v>104.85</v>
      </c>
      <c r="V88" s="1">
        <v>25.422999999999998</v>
      </c>
      <c r="W88" s="1">
        <v>0.52</v>
      </c>
      <c r="X88" s="1">
        <v>0.10100000000000001</v>
      </c>
      <c r="Y88" s="1">
        <v>25.524000000000001</v>
      </c>
      <c r="Z88" s="1">
        <v>0.45100000000000001</v>
      </c>
      <c r="AA88" s="1">
        <v>1.5</v>
      </c>
      <c r="AB88" s="1">
        <v>1.6</v>
      </c>
      <c r="AC88" s="1">
        <v>1.6</v>
      </c>
      <c r="AD88" s="1">
        <v>0.10100000000000001</v>
      </c>
      <c r="AE88" s="1">
        <v>0.436</v>
      </c>
      <c r="AF88" s="1">
        <v>4.3999999999999997E-2</v>
      </c>
      <c r="AG88" s="1">
        <v>1.5</v>
      </c>
      <c r="AI88" s="1">
        <v>0</v>
      </c>
      <c r="AJ88" s="1">
        <v>0</v>
      </c>
      <c r="AK88" s="1">
        <v>0</v>
      </c>
      <c r="AL88" s="1">
        <v>1</v>
      </c>
      <c r="AM88" s="1">
        <v>51337</v>
      </c>
      <c r="AN88" s="1">
        <v>4607</v>
      </c>
      <c r="AO88" s="1">
        <v>46730</v>
      </c>
      <c r="AP88" s="1">
        <v>50331</v>
      </c>
      <c r="AQ88" s="1">
        <v>12.635674096245801</v>
      </c>
    </row>
    <row r="89" spans="1:43" x14ac:dyDescent="0.45">
      <c r="A89" s="1">
        <v>88</v>
      </c>
      <c r="B89" s="1">
        <v>101</v>
      </c>
      <c r="C89" s="1">
        <v>74</v>
      </c>
      <c r="D89" s="1" t="s">
        <v>61</v>
      </c>
      <c r="E89" s="1" t="s">
        <v>62</v>
      </c>
      <c r="F89" s="1" t="s">
        <v>63</v>
      </c>
      <c r="G89" s="1" t="s">
        <v>46</v>
      </c>
      <c r="H89" s="1" t="s">
        <v>47</v>
      </c>
      <c r="I89" s="1">
        <v>1175</v>
      </c>
      <c r="J89" s="1">
        <v>30642</v>
      </c>
      <c r="K89" s="1">
        <v>1</v>
      </c>
      <c r="L89" s="1">
        <v>73</v>
      </c>
      <c r="M89" s="1">
        <v>2067</v>
      </c>
      <c r="N89" s="1" t="s">
        <v>48</v>
      </c>
      <c r="O89" s="1">
        <v>198491</v>
      </c>
      <c r="P89" s="1">
        <v>93</v>
      </c>
      <c r="Q89" s="1" t="s">
        <v>111</v>
      </c>
      <c r="R89" s="1" t="s">
        <v>50</v>
      </c>
      <c r="S89" s="1">
        <v>0</v>
      </c>
      <c r="T89" s="1">
        <v>0</v>
      </c>
      <c r="U89" s="1">
        <v>121.05500000000001</v>
      </c>
      <c r="V89" s="1">
        <v>25.241</v>
      </c>
      <c r="W89" s="1">
        <v>0.54</v>
      </c>
      <c r="X89" s="1">
        <v>0.26900000000000002</v>
      </c>
      <c r="Y89" s="1">
        <v>25.51</v>
      </c>
      <c r="Z89" s="1">
        <v>0.57799999999999996</v>
      </c>
      <c r="AA89" s="1">
        <v>-2.5</v>
      </c>
      <c r="AB89" s="1">
        <v>2.7</v>
      </c>
      <c r="AC89" s="1">
        <v>2.7</v>
      </c>
      <c r="AD89" s="1">
        <v>0.26900000000000002</v>
      </c>
      <c r="AE89" s="1">
        <v>5.0999999999999997E-2</v>
      </c>
      <c r="AF89" s="1">
        <v>0.05</v>
      </c>
      <c r="AG89" s="1">
        <v>-2.5</v>
      </c>
      <c r="AI89" s="1">
        <v>0</v>
      </c>
      <c r="AJ89" s="1">
        <v>0</v>
      </c>
      <c r="AK89" s="1">
        <v>0</v>
      </c>
      <c r="AL89" s="1">
        <v>1</v>
      </c>
      <c r="AM89" s="1">
        <v>51424</v>
      </c>
      <c r="AN89" s="1">
        <v>8157</v>
      </c>
      <c r="AO89" s="1">
        <v>43267</v>
      </c>
      <c r="AP89" s="1">
        <v>50261</v>
      </c>
      <c r="AQ89" s="1">
        <v>3.2064485758256231</v>
      </c>
    </row>
    <row r="90" spans="1:43" x14ac:dyDescent="0.45">
      <c r="A90" s="1">
        <v>89</v>
      </c>
      <c r="B90" s="1">
        <v>101</v>
      </c>
      <c r="C90" s="1">
        <v>74</v>
      </c>
      <c r="D90" s="1" t="s">
        <v>61</v>
      </c>
      <c r="E90" s="1" t="s">
        <v>62</v>
      </c>
      <c r="F90" s="1" t="s">
        <v>63</v>
      </c>
      <c r="G90" s="1" t="s">
        <v>46</v>
      </c>
      <c r="H90" s="1" t="s">
        <v>47</v>
      </c>
      <c r="I90" s="1">
        <v>1175</v>
      </c>
      <c r="J90" s="1">
        <v>30642</v>
      </c>
      <c r="K90" s="1">
        <v>1</v>
      </c>
      <c r="L90" s="1">
        <v>73</v>
      </c>
      <c r="M90" s="1">
        <v>2068</v>
      </c>
      <c r="N90" s="1" t="s">
        <v>48</v>
      </c>
      <c r="O90" s="1">
        <v>198492</v>
      </c>
      <c r="P90" s="1">
        <v>93</v>
      </c>
      <c r="Q90" s="1" t="s">
        <v>111</v>
      </c>
      <c r="R90" s="1" t="s">
        <v>50</v>
      </c>
      <c r="S90" s="1">
        <v>0</v>
      </c>
      <c r="T90" s="1">
        <v>0</v>
      </c>
      <c r="U90" s="1">
        <v>342.505</v>
      </c>
      <c r="V90" s="1">
        <v>25.356000000000002</v>
      </c>
      <c r="W90" s="1">
        <v>0.52</v>
      </c>
      <c r="X90" s="1">
        <v>0.155</v>
      </c>
      <c r="Y90" s="1">
        <v>25.51</v>
      </c>
      <c r="Z90" s="1">
        <v>0.33600000000000002</v>
      </c>
      <c r="AA90" s="1">
        <v>-2.5</v>
      </c>
      <c r="AB90" s="1">
        <v>2.9</v>
      </c>
      <c r="AC90" s="1">
        <v>2.9</v>
      </c>
      <c r="AD90" s="1">
        <v>0.155</v>
      </c>
      <c r="AE90" s="1">
        <v>5.2999999999999999E-2</v>
      </c>
      <c r="AF90" s="1">
        <v>1.7999999999999999E-2</v>
      </c>
      <c r="AG90" s="1">
        <v>-2.5</v>
      </c>
      <c r="AI90" s="1">
        <v>0</v>
      </c>
      <c r="AJ90" s="1">
        <v>0</v>
      </c>
      <c r="AK90" s="1">
        <v>0</v>
      </c>
      <c r="AL90" s="1">
        <v>1</v>
      </c>
      <c r="AM90" s="1">
        <v>51165</v>
      </c>
      <c r="AN90" s="1">
        <v>4356</v>
      </c>
      <c r="AO90" s="1">
        <v>46809</v>
      </c>
      <c r="AP90" s="1">
        <v>50247</v>
      </c>
      <c r="AQ90" s="1">
        <v>24.285321471614761</v>
      </c>
    </row>
    <row r="91" spans="1:43" x14ac:dyDescent="0.45">
      <c r="A91" s="1">
        <v>90</v>
      </c>
      <c r="B91" s="1">
        <v>101</v>
      </c>
      <c r="C91" s="1">
        <v>74</v>
      </c>
      <c r="D91" s="1" t="s">
        <v>61</v>
      </c>
      <c r="E91" s="1" t="s">
        <v>62</v>
      </c>
      <c r="F91" s="1" t="s">
        <v>63</v>
      </c>
      <c r="G91" s="1" t="s">
        <v>46</v>
      </c>
      <c r="H91" s="1" t="s">
        <v>47</v>
      </c>
      <c r="I91" s="1">
        <v>1175</v>
      </c>
      <c r="J91" s="1">
        <v>30642</v>
      </c>
      <c r="K91" s="1">
        <v>1</v>
      </c>
      <c r="L91" s="1">
        <v>73</v>
      </c>
      <c r="M91" s="1">
        <v>2069</v>
      </c>
      <c r="N91" s="1" t="s">
        <v>48</v>
      </c>
      <c r="O91" s="1">
        <v>198541</v>
      </c>
      <c r="P91" s="1">
        <v>93</v>
      </c>
      <c r="Q91" s="1" t="s">
        <v>111</v>
      </c>
      <c r="R91" s="1" t="s">
        <v>50</v>
      </c>
      <c r="S91" s="1">
        <v>0</v>
      </c>
      <c r="T91" s="1">
        <v>0</v>
      </c>
      <c r="U91" s="1">
        <v>289.83499999999998</v>
      </c>
      <c r="V91" s="1">
        <v>25.143000000000001</v>
      </c>
      <c r="W91" s="1">
        <v>0.56000000000000005</v>
      </c>
      <c r="X91" s="1">
        <v>0.36699999999999999</v>
      </c>
      <c r="Y91" s="1">
        <v>25.51</v>
      </c>
      <c r="Z91" s="1">
        <v>0.14199999999999999</v>
      </c>
      <c r="AA91" s="1">
        <v>-2</v>
      </c>
      <c r="AB91" s="1">
        <v>-2.9</v>
      </c>
      <c r="AC91" s="1">
        <v>-2.9</v>
      </c>
      <c r="AD91" s="1">
        <v>0.36699999999999999</v>
      </c>
      <c r="AE91" s="1">
        <v>3.2000000000000001E-2</v>
      </c>
      <c r="AF91" s="1">
        <v>3.6999999999999998E-2</v>
      </c>
      <c r="AG91" s="1">
        <v>-2</v>
      </c>
      <c r="AI91" s="1">
        <v>0</v>
      </c>
      <c r="AJ91" s="1">
        <v>0</v>
      </c>
      <c r="AK91" s="1">
        <v>0</v>
      </c>
      <c r="AL91" s="1">
        <v>1</v>
      </c>
      <c r="AM91" s="1">
        <v>86400</v>
      </c>
      <c r="AN91" s="1">
        <v>80989</v>
      </c>
      <c r="AO91" s="1">
        <v>5411</v>
      </c>
      <c r="AP91" s="1">
        <v>50299</v>
      </c>
      <c r="AQ91" s="1">
        <v>24.891446609903252</v>
      </c>
    </row>
    <row r="92" spans="1:43" x14ac:dyDescent="0.45">
      <c r="A92" s="1">
        <v>91</v>
      </c>
      <c r="B92" s="1">
        <v>101</v>
      </c>
      <c r="C92" s="1">
        <v>74</v>
      </c>
      <c r="D92" s="1" t="s">
        <v>61</v>
      </c>
      <c r="E92" s="1" t="s">
        <v>62</v>
      </c>
      <c r="F92" s="1" t="s">
        <v>63</v>
      </c>
      <c r="G92" s="1" t="s">
        <v>46</v>
      </c>
      <c r="H92" s="1" t="s">
        <v>47</v>
      </c>
      <c r="I92" s="1">
        <v>1175</v>
      </c>
      <c r="J92" s="1">
        <v>30642</v>
      </c>
      <c r="K92" s="1">
        <v>1</v>
      </c>
      <c r="L92" s="1">
        <v>73</v>
      </c>
      <c r="M92" s="1">
        <v>2070</v>
      </c>
      <c r="N92" s="1" t="s">
        <v>48</v>
      </c>
      <c r="O92" s="1">
        <v>198542</v>
      </c>
      <c r="P92" s="1">
        <v>93</v>
      </c>
      <c r="Q92" s="1" t="s">
        <v>111</v>
      </c>
      <c r="R92" s="1" t="s">
        <v>50</v>
      </c>
      <c r="S92" s="1">
        <v>0</v>
      </c>
      <c r="T92" s="1">
        <v>0</v>
      </c>
      <c r="U92" s="1">
        <v>289.83499999999998</v>
      </c>
      <c r="V92" s="1">
        <v>25.213999999999999</v>
      </c>
      <c r="W92" s="1">
        <v>0.55000000000000004</v>
      </c>
      <c r="X92" s="1">
        <v>0.29599999999999999</v>
      </c>
      <c r="Y92" s="1">
        <v>25.51</v>
      </c>
      <c r="Z92" s="1">
        <v>8.5000000000000006E-2</v>
      </c>
      <c r="AA92" s="1">
        <v>-0.7</v>
      </c>
      <c r="AB92" s="1">
        <v>-2.8</v>
      </c>
      <c r="AC92" s="1">
        <v>-2.8</v>
      </c>
      <c r="AD92" s="1">
        <v>0.29599999999999999</v>
      </c>
      <c r="AE92" s="1">
        <v>6.0999999999999999E-2</v>
      </c>
      <c r="AF92" s="1">
        <v>1.7999999999999999E-2</v>
      </c>
      <c r="AG92" s="1">
        <v>-0.7</v>
      </c>
      <c r="AI92" s="1">
        <v>0</v>
      </c>
      <c r="AJ92" s="1">
        <v>0</v>
      </c>
      <c r="AK92" s="1">
        <v>0</v>
      </c>
      <c r="AL92" s="1">
        <v>1</v>
      </c>
      <c r="AM92" s="1">
        <v>86400</v>
      </c>
      <c r="AN92" s="1">
        <v>78736</v>
      </c>
      <c r="AO92" s="1">
        <v>7664</v>
      </c>
      <c r="AP92" s="1">
        <v>50218</v>
      </c>
      <c r="AQ92" s="1">
        <v>25.132737300929911</v>
      </c>
    </row>
    <row r="93" spans="1:43" x14ac:dyDescent="0.45">
      <c r="A93" s="1">
        <v>92</v>
      </c>
      <c r="B93" s="1">
        <v>101</v>
      </c>
      <c r="C93" s="1">
        <v>74</v>
      </c>
      <c r="D93" s="1" t="s">
        <v>61</v>
      </c>
      <c r="E93" s="1" t="s">
        <v>62</v>
      </c>
      <c r="F93" s="1" t="s">
        <v>63</v>
      </c>
      <c r="G93" s="1" t="s">
        <v>46</v>
      </c>
      <c r="H93" s="1" t="s">
        <v>47</v>
      </c>
      <c r="I93" s="1">
        <v>1175</v>
      </c>
      <c r="J93" s="1">
        <v>30642</v>
      </c>
      <c r="K93" s="1">
        <v>1</v>
      </c>
      <c r="L93" s="1">
        <v>73</v>
      </c>
      <c r="M93" s="1">
        <v>2071</v>
      </c>
      <c r="N93" s="1" t="s">
        <v>48</v>
      </c>
      <c r="O93" s="1">
        <v>198593</v>
      </c>
      <c r="P93" s="1">
        <v>93</v>
      </c>
      <c r="Q93" s="1" t="s">
        <v>111</v>
      </c>
      <c r="R93" s="1" t="s">
        <v>50</v>
      </c>
      <c r="S93" s="1">
        <v>0</v>
      </c>
      <c r="T93" s="1">
        <v>0</v>
      </c>
      <c r="U93" s="1">
        <v>544.79200000000003</v>
      </c>
      <c r="V93" s="1">
        <v>25.16</v>
      </c>
      <c r="W93" s="1">
        <v>0.56000000000000005</v>
      </c>
      <c r="X93" s="1">
        <v>0.378</v>
      </c>
      <c r="Y93" s="1">
        <v>25.538</v>
      </c>
      <c r="Z93" s="1">
        <v>0.127</v>
      </c>
      <c r="AA93" s="1">
        <v>2.2000000000000002</v>
      </c>
      <c r="AB93" s="1">
        <v>-2.9</v>
      </c>
      <c r="AC93" s="1">
        <v>-2.9</v>
      </c>
      <c r="AD93" s="1">
        <v>0.378</v>
      </c>
      <c r="AE93" s="1">
        <v>5.2999999999999999E-2</v>
      </c>
      <c r="AF93" s="1">
        <v>3.1E-2</v>
      </c>
      <c r="AG93" s="1">
        <v>2.2000000000000002</v>
      </c>
      <c r="AI93" s="1">
        <v>0</v>
      </c>
      <c r="AJ93" s="1">
        <v>0</v>
      </c>
      <c r="AK93" s="1">
        <v>0</v>
      </c>
      <c r="AL93" s="1">
        <v>1</v>
      </c>
      <c r="AM93" s="1">
        <v>86400</v>
      </c>
      <c r="AN93" s="1">
        <v>77307</v>
      </c>
      <c r="AO93" s="1">
        <v>9093</v>
      </c>
      <c r="AP93" s="1">
        <v>50180</v>
      </c>
      <c r="AQ93" s="1">
        <v>26.819003902703411</v>
      </c>
    </row>
    <row r="94" spans="1:43" x14ac:dyDescent="0.45">
      <c r="A94" s="1">
        <v>93</v>
      </c>
      <c r="B94" s="1">
        <v>101</v>
      </c>
      <c r="C94" s="1">
        <v>74</v>
      </c>
      <c r="D94" s="1" t="s">
        <v>61</v>
      </c>
      <c r="E94" s="1" t="s">
        <v>62</v>
      </c>
      <c r="F94" s="1" t="s">
        <v>63</v>
      </c>
      <c r="G94" s="1" t="s">
        <v>46</v>
      </c>
      <c r="H94" s="1" t="s">
        <v>47</v>
      </c>
      <c r="I94" s="1">
        <v>1175</v>
      </c>
      <c r="J94" s="1">
        <v>30642</v>
      </c>
      <c r="K94" s="1">
        <v>1</v>
      </c>
      <c r="L94" s="1">
        <v>73</v>
      </c>
      <c r="M94" s="1">
        <v>2072</v>
      </c>
      <c r="N94" s="1" t="s">
        <v>48</v>
      </c>
      <c r="O94" s="1">
        <v>198594</v>
      </c>
      <c r="P94" s="1">
        <v>93</v>
      </c>
      <c r="Q94" s="1" t="s">
        <v>111</v>
      </c>
      <c r="R94" s="1" t="s">
        <v>50</v>
      </c>
      <c r="S94" s="1">
        <v>0</v>
      </c>
      <c r="T94" s="1">
        <v>0</v>
      </c>
      <c r="U94" s="1">
        <v>600.88599999999997</v>
      </c>
      <c r="V94" s="1">
        <v>25.077999999999999</v>
      </c>
      <c r="W94" s="1">
        <v>0.56999999999999995</v>
      </c>
      <c r="X94" s="1">
        <v>0.46</v>
      </c>
      <c r="Y94" s="1">
        <v>25.538</v>
      </c>
      <c r="Z94" s="1">
        <v>7.4999999999999997E-2</v>
      </c>
      <c r="AA94" s="1">
        <v>-3.1</v>
      </c>
      <c r="AB94" s="1">
        <v>-2.9</v>
      </c>
      <c r="AC94" s="1">
        <v>-2.9</v>
      </c>
      <c r="AD94" s="1">
        <v>0.46</v>
      </c>
      <c r="AE94" s="1">
        <v>5.3999999999999999E-2</v>
      </c>
      <c r="AF94" s="1">
        <v>2.5999999999999999E-2</v>
      </c>
      <c r="AG94" s="1">
        <v>-3.1</v>
      </c>
      <c r="AI94" s="1">
        <v>0</v>
      </c>
      <c r="AJ94" s="1">
        <v>0</v>
      </c>
      <c r="AK94" s="1">
        <v>0</v>
      </c>
      <c r="AL94" s="1">
        <v>1</v>
      </c>
      <c r="AM94" s="1">
        <v>86400</v>
      </c>
      <c r="AN94" s="1">
        <v>80089</v>
      </c>
      <c r="AO94" s="1">
        <v>6311</v>
      </c>
      <c r="AP94" s="1">
        <v>50180</v>
      </c>
      <c r="AQ94" s="1">
        <v>2.7249590740331948</v>
      </c>
    </row>
    <row r="95" spans="1:43" x14ac:dyDescent="0.45">
      <c r="A95" s="1">
        <v>94</v>
      </c>
      <c r="B95" s="1">
        <v>101</v>
      </c>
      <c r="C95" s="1">
        <v>74</v>
      </c>
      <c r="D95" s="1" t="s">
        <v>61</v>
      </c>
      <c r="E95" s="1" t="s">
        <v>62</v>
      </c>
      <c r="F95" s="1" t="s">
        <v>63</v>
      </c>
      <c r="G95" s="1" t="s">
        <v>46</v>
      </c>
      <c r="H95" s="1" t="s">
        <v>47</v>
      </c>
      <c r="I95" s="1">
        <v>1175</v>
      </c>
      <c r="J95" s="1">
        <v>30642</v>
      </c>
      <c r="K95" s="1">
        <v>1</v>
      </c>
      <c r="L95" s="1">
        <v>73</v>
      </c>
      <c r="M95" s="1">
        <v>2073</v>
      </c>
      <c r="N95" s="1" t="s">
        <v>48</v>
      </c>
      <c r="O95" s="1">
        <v>198595</v>
      </c>
      <c r="P95" s="1">
        <v>93</v>
      </c>
      <c r="Q95" s="1" t="s">
        <v>111</v>
      </c>
      <c r="R95" s="1" t="s">
        <v>50</v>
      </c>
      <c r="S95" s="1">
        <v>0</v>
      </c>
      <c r="T95" s="1">
        <v>0</v>
      </c>
      <c r="U95" s="1">
        <v>356.9</v>
      </c>
      <c r="V95" s="1">
        <v>25.073</v>
      </c>
      <c r="W95" s="1">
        <v>0.56999999999999995</v>
      </c>
      <c r="X95" s="1">
        <v>0.46500000000000002</v>
      </c>
      <c r="Y95" s="1">
        <v>25.536999999999999</v>
      </c>
      <c r="Z95" s="1">
        <v>5.6000000000000001E-2</v>
      </c>
      <c r="AA95" s="1">
        <v>-0.9</v>
      </c>
      <c r="AB95" s="1">
        <v>-0.9</v>
      </c>
      <c r="AC95" s="1">
        <v>-0.9</v>
      </c>
      <c r="AD95" s="1">
        <v>0.46500000000000002</v>
      </c>
      <c r="AE95" s="1">
        <v>5.6000000000000001E-2</v>
      </c>
      <c r="AF95" s="1">
        <v>2.5999999999999999E-2</v>
      </c>
      <c r="AG95" s="1">
        <v>-0.9</v>
      </c>
      <c r="AI95" s="1">
        <v>0</v>
      </c>
      <c r="AJ95" s="1">
        <v>0</v>
      </c>
      <c r="AK95" s="1">
        <v>0</v>
      </c>
      <c r="AL95" s="1">
        <v>1</v>
      </c>
      <c r="AM95" s="1">
        <v>86400</v>
      </c>
      <c r="AN95" s="1">
        <v>80277</v>
      </c>
      <c r="AO95" s="1">
        <v>6123</v>
      </c>
      <c r="AP95" s="1">
        <v>50366</v>
      </c>
      <c r="AQ95" s="1">
        <v>49.442101089761117</v>
      </c>
    </row>
    <row r="96" spans="1:43" x14ac:dyDescent="0.45">
      <c r="A96" s="1">
        <v>95</v>
      </c>
      <c r="B96" s="1">
        <v>101</v>
      </c>
      <c r="C96" s="1">
        <v>74</v>
      </c>
      <c r="D96" s="1" t="s">
        <v>61</v>
      </c>
      <c r="E96" s="1" t="s">
        <v>62</v>
      </c>
      <c r="F96" s="1" t="s">
        <v>63</v>
      </c>
      <c r="G96" s="1" t="s">
        <v>46</v>
      </c>
      <c r="H96" s="1" t="s">
        <v>47</v>
      </c>
      <c r="I96" s="1">
        <v>1175</v>
      </c>
      <c r="J96" s="1">
        <v>30642</v>
      </c>
      <c r="K96" s="1">
        <v>1</v>
      </c>
      <c r="L96" s="1">
        <v>73</v>
      </c>
      <c r="M96" s="1">
        <v>2074</v>
      </c>
      <c r="N96" s="1" t="s">
        <v>48</v>
      </c>
      <c r="O96" s="1">
        <v>198598</v>
      </c>
      <c r="P96" s="1">
        <v>93</v>
      </c>
      <c r="Q96" s="1" t="s">
        <v>111</v>
      </c>
      <c r="R96" s="1" t="s">
        <v>50</v>
      </c>
      <c r="S96" s="1">
        <v>0</v>
      </c>
      <c r="T96" s="1">
        <v>0</v>
      </c>
      <c r="U96" s="1">
        <v>434.84699999999998</v>
      </c>
      <c r="V96" s="1">
        <v>25.167000000000002</v>
      </c>
      <c r="W96" s="1">
        <v>0.56000000000000005</v>
      </c>
      <c r="X96" s="1">
        <v>0.371</v>
      </c>
      <c r="Y96" s="1">
        <v>25.538</v>
      </c>
      <c r="Z96" s="1">
        <v>8.5999999999999993E-2</v>
      </c>
      <c r="AA96" s="1">
        <v>1.6</v>
      </c>
      <c r="AB96" s="1">
        <v>2.5</v>
      </c>
      <c r="AC96" s="1">
        <v>2.5</v>
      </c>
      <c r="AD96" s="1">
        <v>0.37</v>
      </c>
      <c r="AE96" s="1">
        <v>3.2000000000000001E-2</v>
      </c>
      <c r="AF96" s="1">
        <v>1.6E-2</v>
      </c>
      <c r="AG96" s="1">
        <v>1.6</v>
      </c>
      <c r="AI96" s="1">
        <v>0</v>
      </c>
      <c r="AJ96" s="1">
        <v>0</v>
      </c>
      <c r="AK96" s="1">
        <v>0</v>
      </c>
      <c r="AL96" s="1">
        <v>1</v>
      </c>
      <c r="AM96" s="1">
        <v>86400</v>
      </c>
      <c r="AN96" s="1">
        <v>77092</v>
      </c>
      <c r="AO96" s="1">
        <v>9308</v>
      </c>
      <c r="AP96" s="1">
        <v>50289</v>
      </c>
      <c r="AQ96" s="1">
        <v>26.300615520015079</v>
      </c>
    </row>
    <row r="97" spans="1:43" x14ac:dyDescent="0.45">
      <c r="A97" s="1">
        <v>96</v>
      </c>
      <c r="B97" s="1">
        <v>101</v>
      </c>
      <c r="C97" s="1">
        <v>74</v>
      </c>
      <c r="D97" s="1" t="s">
        <v>61</v>
      </c>
      <c r="E97" s="1" t="s">
        <v>62</v>
      </c>
      <c r="F97" s="1" t="s">
        <v>63</v>
      </c>
      <c r="G97" s="1" t="s">
        <v>46</v>
      </c>
      <c r="H97" s="1" t="s">
        <v>47</v>
      </c>
      <c r="I97" s="1">
        <v>1175</v>
      </c>
      <c r="J97" s="1">
        <v>30642</v>
      </c>
      <c r="K97" s="1">
        <v>1</v>
      </c>
      <c r="L97" s="1">
        <v>73</v>
      </c>
      <c r="M97" s="1">
        <v>2075</v>
      </c>
      <c r="N97" s="1" t="s">
        <v>48</v>
      </c>
      <c r="O97" s="1">
        <v>198600</v>
      </c>
      <c r="P97" s="1">
        <v>93</v>
      </c>
      <c r="Q97" s="1" t="s">
        <v>111</v>
      </c>
      <c r="R97" s="1" t="s">
        <v>50</v>
      </c>
      <c r="S97" s="1">
        <v>0</v>
      </c>
      <c r="T97" s="1">
        <v>0</v>
      </c>
      <c r="U97" s="1">
        <v>547.45600000000002</v>
      </c>
      <c r="V97" s="1">
        <v>25.297999999999998</v>
      </c>
      <c r="W97" s="1">
        <v>0.54</v>
      </c>
      <c r="X97" s="1">
        <v>0.24099999999999999</v>
      </c>
      <c r="Y97" s="1">
        <v>25.539000000000001</v>
      </c>
      <c r="Z97" s="1">
        <v>9.9000000000000005E-2</v>
      </c>
      <c r="AA97" s="1">
        <v>0.9</v>
      </c>
      <c r="AB97" s="1">
        <v>2.7</v>
      </c>
      <c r="AC97" s="1">
        <v>2.7</v>
      </c>
      <c r="AD97" s="1">
        <v>0.24</v>
      </c>
      <c r="AE97" s="1">
        <v>5.5E-2</v>
      </c>
      <c r="AF97" s="1">
        <v>1.4E-2</v>
      </c>
      <c r="AG97" s="1">
        <v>0.9</v>
      </c>
      <c r="AI97" s="1">
        <v>0</v>
      </c>
      <c r="AJ97" s="1">
        <v>0</v>
      </c>
      <c r="AK97" s="1">
        <v>0</v>
      </c>
      <c r="AL97" s="1">
        <v>1</v>
      </c>
      <c r="AM97" s="1">
        <v>59805</v>
      </c>
      <c r="AN97" s="1">
        <v>16536</v>
      </c>
      <c r="AO97" s="1">
        <v>43269</v>
      </c>
      <c r="AP97" s="1">
        <v>50178</v>
      </c>
      <c r="AQ97" s="1">
        <v>1.6525758168340901</v>
      </c>
    </row>
    <row r="98" spans="1:43" x14ac:dyDescent="0.45">
      <c r="A98" s="1">
        <v>97</v>
      </c>
      <c r="B98" s="1">
        <v>101</v>
      </c>
      <c r="C98" s="1">
        <v>74</v>
      </c>
      <c r="D98" s="1" t="s">
        <v>61</v>
      </c>
      <c r="E98" s="1" t="s">
        <v>62</v>
      </c>
      <c r="F98" s="1" t="s">
        <v>63</v>
      </c>
      <c r="G98" s="1" t="s">
        <v>46</v>
      </c>
      <c r="H98" s="1" t="s">
        <v>47</v>
      </c>
      <c r="I98" s="1">
        <v>1175</v>
      </c>
      <c r="J98" s="1">
        <v>30642</v>
      </c>
      <c r="K98" s="1">
        <v>1</v>
      </c>
      <c r="L98" s="1">
        <v>73</v>
      </c>
      <c r="M98" s="1">
        <v>2078</v>
      </c>
      <c r="N98" s="1" t="s">
        <v>48</v>
      </c>
      <c r="O98" s="1">
        <v>198603</v>
      </c>
      <c r="P98" s="1">
        <v>93</v>
      </c>
      <c r="Q98" s="1" t="s">
        <v>111</v>
      </c>
      <c r="R98" s="1" t="s">
        <v>50</v>
      </c>
      <c r="S98" s="1">
        <v>0</v>
      </c>
      <c r="T98" s="1">
        <v>0</v>
      </c>
      <c r="U98" s="1">
        <v>717.81100000000004</v>
      </c>
      <c r="V98" s="1">
        <v>25.273</v>
      </c>
      <c r="W98" s="1">
        <v>0.54</v>
      </c>
      <c r="X98" s="1">
        <v>0.26400000000000001</v>
      </c>
      <c r="Y98" s="1">
        <v>25.536999999999999</v>
      </c>
      <c r="Z98" s="1">
        <v>0.112</v>
      </c>
      <c r="AA98" s="1">
        <v>0.6</v>
      </c>
      <c r="AB98" s="1">
        <v>3</v>
      </c>
      <c r="AC98" s="1">
        <v>3</v>
      </c>
      <c r="AD98" s="1">
        <v>0.26400000000000001</v>
      </c>
      <c r="AE98" s="1">
        <v>7.2999999999999995E-2</v>
      </c>
      <c r="AF98" s="1">
        <v>2.1000000000000001E-2</v>
      </c>
      <c r="AG98" s="1">
        <v>0.6</v>
      </c>
      <c r="AI98" s="1">
        <v>0</v>
      </c>
      <c r="AJ98" s="1">
        <v>0</v>
      </c>
      <c r="AK98" s="1">
        <v>0</v>
      </c>
      <c r="AL98" s="1">
        <v>1</v>
      </c>
      <c r="AM98" s="1">
        <v>72610</v>
      </c>
      <c r="AN98" s="1">
        <v>32756</v>
      </c>
      <c r="AO98" s="1">
        <v>39854</v>
      </c>
      <c r="AP98" s="1">
        <v>50356</v>
      </c>
      <c r="AQ98" s="1">
        <v>0.81983896563122749</v>
      </c>
    </row>
    <row r="99" spans="1:43" x14ac:dyDescent="0.45">
      <c r="A99" s="1">
        <v>98</v>
      </c>
      <c r="B99" s="1">
        <v>101</v>
      </c>
      <c r="C99" s="1">
        <v>74</v>
      </c>
      <c r="D99" s="1" t="s">
        <v>61</v>
      </c>
      <c r="E99" s="1" t="s">
        <v>62</v>
      </c>
      <c r="F99" s="1" t="s">
        <v>63</v>
      </c>
      <c r="G99" s="1" t="s">
        <v>46</v>
      </c>
      <c r="H99" s="1" t="s">
        <v>47</v>
      </c>
      <c r="I99" s="1">
        <v>1175</v>
      </c>
      <c r="J99" s="1">
        <v>30642</v>
      </c>
      <c r="K99" s="1">
        <v>1</v>
      </c>
      <c r="L99" s="1">
        <v>73</v>
      </c>
      <c r="M99" s="1">
        <v>2079</v>
      </c>
      <c r="N99" s="1" t="s">
        <v>48</v>
      </c>
      <c r="O99" s="1">
        <v>198604</v>
      </c>
      <c r="P99" s="1">
        <v>93</v>
      </c>
      <c r="Q99" s="1" t="s">
        <v>111</v>
      </c>
      <c r="R99" s="1" t="s">
        <v>50</v>
      </c>
      <c r="S99" s="1">
        <v>0</v>
      </c>
      <c r="T99" s="1">
        <v>0</v>
      </c>
      <c r="U99" s="1">
        <v>319.57100000000003</v>
      </c>
      <c r="V99" s="1">
        <v>25.094999999999999</v>
      </c>
      <c r="W99" s="1">
        <v>0.56999999999999995</v>
      </c>
      <c r="X99" s="1">
        <v>0.442</v>
      </c>
      <c r="Y99" s="1">
        <v>25.536000000000001</v>
      </c>
      <c r="Z99" s="1">
        <v>0.14599999999999999</v>
      </c>
      <c r="AA99" s="1">
        <v>-2.5</v>
      </c>
      <c r="AB99" s="1">
        <v>-2.5</v>
      </c>
      <c r="AC99" s="1">
        <v>-2.5</v>
      </c>
      <c r="AD99" s="1">
        <v>0.441</v>
      </c>
      <c r="AE99" s="1">
        <v>0.13300000000000001</v>
      </c>
      <c r="AF99" s="1">
        <v>6.2E-2</v>
      </c>
      <c r="AG99" s="1">
        <v>-2.5</v>
      </c>
      <c r="AI99" s="1">
        <v>0</v>
      </c>
      <c r="AJ99" s="1">
        <v>0</v>
      </c>
      <c r="AK99" s="1">
        <v>0</v>
      </c>
      <c r="AL99" s="1">
        <v>1</v>
      </c>
      <c r="AM99" s="1">
        <v>86400</v>
      </c>
      <c r="AN99" s="1">
        <v>80269</v>
      </c>
      <c r="AO99" s="1">
        <v>6131</v>
      </c>
      <c r="AP99" s="1">
        <v>50342</v>
      </c>
      <c r="AQ99" s="1">
        <v>25.644147779351979</v>
      </c>
    </row>
    <row r="100" spans="1:43" x14ac:dyDescent="0.45">
      <c r="A100" s="1">
        <v>99</v>
      </c>
      <c r="B100" s="1">
        <v>101</v>
      </c>
      <c r="C100" s="1">
        <v>74</v>
      </c>
      <c r="D100" s="1" t="s">
        <v>61</v>
      </c>
      <c r="E100" s="1" t="s">
        <v>62</v>
      </c>
      <c r="F100" s="1" t="s">
        <v>63</v>
      </c>
      <c r="G100" s="1" t="s">
        <v>46</v>
      </c>
      <c r="H100" s="1" t="s">
        <v>47</v>
      </c>
      <c r="I100" s="1">
        <v>1175</v>
      </c>
      <c r="J100" s="1">
        <v>30642</v>
      </c>
      <c r="K100" s="1">
        <v>1</v>
      </c>
      <c r="L100" s="1">
        <v>73</v>
      </c>
      <c r="M100" s="1">
        <v>2081</v>
      </c>
      <c r="N100" s="1" t="s">
        <v>48</v>
      </c>
      <c r="O100" s="1">
        <v>198607</v>
      </c>
      <c r="P100" s="1">
        <v>93</v>
      </c>
      <c r="Q100" s="1" t="s">
        <v>111</v>
      </c>
      <c r="R100" s="1" t="s">
        <v>50</v>
      </c>
      <c r="S100" s="1">
        <v>0</v>
      </c>
      <c r="T100" s="1">
        <v>0</v>
      </c>
      <c r="U100" s="1">
        <v>71.430000000000007</v>
      </c>
      <c r="V100" s="1">
        <v>25.236000000000001</v>
      </c>
      <c r="W100" s="1">
        <v>0.55000000000000004</v>
      </c>
      <c r="X100" s="1">
        <v>0.29899999999999999</v>
      </c>
      <c r="Y100" s="1">
        <v>25.535</v>
      </c>
      <c r="Z100" s="1">
        <v>0.11799999999999999</v>
      </c>
      <c r="AA100" s="1">
        <v>-0.6</v>
      </c>
      <c r="AB100" s="1">
        <v>-2.1</v>
      </c>
      <c r="AC100" s="1">
        <v>-2.1</v>
      </c>
      <c r="AD100" s="1">
        <v>0.29899999999999999</v>
      </c>
      <c r="AE100" s="1">
        <v>4.9000000000000002E-2</v>
      </c>
      <c r="AF100" s="1">
        <v>0.02</v>
      </c>
      <c r="AG100" s="1">
        <v>-0.6</v>
      </c>
      <c r="AI100" s="1">
        <v>0</v>
      </c>
      <c r="AJ100" s="1">
        <v>0</v>
      </c>
      <c r="AK100" s="1">
        <v>0</v>
      </c>
      <c r="AL100" s="1">
        <v>1</v>
      </c>
      <c r="AM100" s="1">
        <v>86400</v>
      </c>
      <c r="AN100" s="1">
        <v>81431</v>
      </c>
      <c r="AO100" s="1">
        <v>4969</v>
      </c>
      <c r="AP100" s="1">
        <v>50212</v>
      </c>
      <c r="AQ100" s="1">
        <v>10.66390759449977</v>
      </c>
    </row>
    <row r="101" spans="1:43" x14ac:dyDescent="0.45">
      <c r="A101" s="1">
        <v>100</v>
      </c>
      <c r="B101" s="1">
        <v>101</v>
      </c>
      <c r="C101" s="1">
        <v>74</v>
      </c>
      <c r="D101" s="1" t="s">
        <v>61</v>
      </c>
      <c r="E101" s="1" t="s">
        <v>62</v>
      </c>
      <c r="F101" s="1" t="s">
        <v>63</v>
      </c>
      <c r="G101" s="1" t="s">
        <v>46</v>
      </c>
      <c r="H101" s="1" t="s">
        <v>47</v>
      </c>
      <c r="I101" s="1">
        <v>1175</v>
      </c>
      <c r="J101" s="1">
        <v>30642</v>
      </c>
      <c r="K101" s="1">
        <v>1</v>
      </c>
      <c r="L101" s="1">
        <v>73</v>
      </c>
      <c r="M101" s="1">
        <v>2083</v>
      </c>
      <c r="N101" s="1" t="s">
        <v>48</v>
      </c>
      <c r="O101" s="1">
        <v>198609</v>
      </c>
      <c r="P101" s="1">
        <v>93</v>
      </c>
      <c r="Q101" s="1" t="s">
        <v>111</v>
      </c>
      <c r="R101" s="1" t="s">
        <v>50</v>
      </c>
      <c r="S101" s="1">
        <v>0</v>
      </c>
      <c r="T101" s="1">
        <v>0</v>
      </c>
      <c r="U101" s="1">
        <v>223.38499999999999</v>
      </c>
      <c r="V101" s="1">
        <v>25.291</v>
      </c>
      <c r="W101" s="1">
        <v>0.54</v>
      </c>
      <c r="X101" s="1">
        <v>0.245</v>
      </c>
      <c r="Y101" s="1">
        <v>25.536000000000001</v>
      </c>
      <c r="Z101" s="1">
        <v>0.18099999999999999</v>
      </c>
      <c r="AA101" s="1">
        <v>-2.2000000000000002</v>
      </c>
      <c r="AB101" s="1">
        <v>-2.1</v>
      </c>
      <c r="AC101" s="1">
        <v>-2.1</v>
      </c>
      <c r="AD101" s="1">
        <v>0.24399999999999999</v>
      </c>
      <c r="AE101" s="1">
        <v>0.16900000000000001</v>
      </c>
      <c r="AF101" s="1">
        <v>4.2000000000000003E-2</v>
      </c>
      <c r="AG101" s="1">
        <v>-2.2000000000000002</v>
      </c>
      <c r="AI101" s="1">
        <v>0</v>
      </c>
      <c r="AJ101" s="1">
        <v>0</v>
      </c>
      <c r="AK101" s="1">
        <v>0</v>
      </c>
      <c r="AL101" s="1">
        <v>1</v>
      </c>
      <c r="AM101" s="1">
        <v>65024</v>
      </c>
      <c r="AN101" s="1">
        <v>21795</v>
      </c>
      <c r="AO101" s="1">
        <v>43228</v>
      </c>
      <c r="AP101" s="1">
        <v>50341</v>
      </c>
      <c r="AQ101" s="1">
        <v>0.95858752303891448</v>
      </c>
    </row>
    <row r="102" spans="1:43" x14ac:dyDescent="0.45">
      <c r="A102" s="1">
        <v>101</v>
      </c>
      <c r="B102" s="1">
        <v>128</v>
      </c>
      <c r="C102" s="1">
        <v>88</v>
      </c>
      <c r="D102" s="1" t="s">
        <v>115</v>
      </c>
      <c r="E102" s="1" t="s">
        <v>116</v>
      </c>
      <c r="F102" s="1" t="s">
        <v>117</v>
      </c>
      <c r="G102" s="1" t="s">
        <v>54</v>
      </c>
      <c r="H102" s="1" t="s">
        <v>47</v>
      </c>
      <c r="I102" s="1">
        <v>830</v>
      </c>
      <c r="J102" s="1">
        <v>39746</v>
      </c>
      <c r="K102" s="1">
        <v>1</v>
      </c>
      <c r="L102" s="1">
        <v>87</v>
      </c>
      <c r="M102" s="1">
        <v>1874</v>
      </c>
      <c r="N102" s="1" t="s">
        <v>48</v>
      </c>
      <c r="O102" s="1">
        <v>195158</v>
      </c>
      <c r="P102" s="1">
        <v>93</v>
      </c>
      <c r="Q102" s="1" t="s">
        <v>111</v>
      </c>
      <c r="R102" s="1" t="s">
        <v>50</v>
      </c>
      <c r="S102" s="1">
        <v>0</v>
      </c>
      <c r="T102" s="1">
        <v>0</v>
      </c>
      <c r="U102" s="1">
        <v>115.226</v>
      </c>
      <c r="V102" s="1">
        <v>20.7</v>
      </c>
      <c r="W102" s="1">
        <v>1.63</v>
      </c>
      <c r="X102" s="1">
        <v>4.0670000000000002</v>
      </c>
      <c r="Y102" s="1">
        <v>24.766999999999999</v>
      </c>
      <c r="Z102" s="1">
        <v>0.28499999999999998</v>
      </c>
      <c r="AA102" s="1">
        <v>1.9</v>
      </c>
      <c r="AB102" s="1">
        <v>1.3</v>
      </c>
      <c r="AC102" s="1">
        <v>1.3</v>
      </c>
      <c r="AD102" s="1">
        <v>4.0640000000000001</v>
      </c>
      <c r="AE102" s="1">
        <v>3.3000000000000002E-2</v>
      </c>
      <c r="AF102" s="1">
        <v>0.16900000000000001</v>
      </c>
      <c r="AG102" s="1">
        <v>1.9</v>
      </c>
      <c r="AI102" s="1">
        <v>0</v>
      </c>
      <c r="AJ102" s="1">
        <v>0</v>
      </c>
      <c r="AK102" s="1">
        <v>0</v>
      </c>
      <c r="AL102" s="1">
        <v>1</v>
      </c>
      <c r="AM102" s="1">
        <v>86400</v>
      </c>
      <c r="AN102" s="1">
        <v>76302</v>
      </c>
      <c r="AO102" s="1">
        <v>10098</v>
      </c>
      <c r="AP102" s="1">
        <v>50685</v>
      </c>
      <c r="AQ102" s="1">
        <v>2.410940798470242</v>
      </c>
    </row>
    <row r="103" spans="1:43" x14ac:dyDescent="0.45">
      <c r="A103" s="1">
        <v>102</v>
      </c>
      <c r="B103" s="1">
        <v>128</v>
      </c>
      <c r="C103" s="1">
        <v>88</v>
      </c>
      <c r="D103" s="1" t="s">
        <v>115</v>
      </c>
      <c r="E103" s="1" t="s">
        <v>116</v>
      </c>
      <c r="F103" s="1" t="s">
        <v>117</v>
      </c>
      <c r="G103" s="1" t="s">
        <v>54</v>
      </c>
      <c r="H103" s="1" t="s">
        <v>47</v>
      </c>
      <c r="I103" s="1">
        <v>830</v>
      </c>
      <c r="J103" s="1">
        <v>39746</v>
      </c>
      <c r="K103" s="1">
        <v>1</v>
      </c>
      <c r="L103" s="1">
        <v>87</v>
      </c>
      <c r="M103" s="1">
        <v>1875</v>
      </c>
      <c r="N103" s="1" t="s">
        <v>48</v>
      </c>
      <c r="O103" s="1">
        <v>195159</v>
      </c>
      <c r="P103" s="1">
        <v>93</v>
      </c>
      <c r="Q103" s="1" t="s">
        <v>111</v>
      </c>
      <c r="R103" s="1" t="s">
        <v>50</v>
      </c>
      <c r="S103" s="1">
        <v>0</v>
      </c>
      <c r="T103" s="1">
        <v>0</v>
      </c>
      <c r="U103" s="1">
        <v>73.049000000000007</v>
      </c>
      <c r="V103" s="1">
        <v>21.353999999999999</v>
      </c>
      <c r="W103" s="1">
        <v>1.53</v>
      </c>
      <c r="X103" s="1">
        <v>3.4119999999999999</v>
      </c>
      <c r="Y103" s="1">
        <v>24.766999999999999</v>
      </c>
      <c r="Z103" s="1">
        <v>0.248</v>
      </c>
      <c r="AA103" s="1">
        <v>0.7</v>
      </c>
      <c r="AB103" s="1">
        <v>0.4</v>
      </c>
      <c r="AC103" s="1">
        <v>0.5</v>
      </c>
      <c r="AD103" s="1">
        <v>3.41</v>
      </c>
      <c r="AE103" s="1">
        <v>1.7999999999999999E-2</v>
      </c>
      <c r="AF103" s="1">
        <v>7.6999999999999999E-2</v>
      </c>
      <c r="AI103" s="1">
        <v>0</v>
      </c>
      <c r="AJ103" s="1">
        <v>0</v>
      </c>
      <c r="AK103" s="1">
        <v>0</v>
      </c>
      <c r="AL103" s="1">
        <v>1</v>
      </c>
      <c r="AM103" s="1">
        <v>75226</v>
      </c>
      <c r="AN103" s="1">
        <v>31891</v>
      </c>
      <c r="AO103" s="1">
        <v>43335</v>
      </c>
      <c r="AP103" s="1">
        <v>50611</v>
      </c>
      <c r="AQ103" s="1">
        <v>7.3345719801515834</v>
      </c>
    </row>
    <row r="104" spans="1:43" x14ac:dyDescent="0.45">
      <c r="A104" s="1">
        <v>103</v>
      </c>
      <c r="B104" s="1">
        <v>128</v>
      </c>
      <c r="C104" s="1">
        <v>88</v>
      </c>
      <c r="D104" s="1" t="s">
        <v>115</v>
      </c>
      <c r="E104" s="1" t="s">
        <v>116</v>
      </c>
      <c r="F104" s="1" t="s">
        <v>117</v>
      </c>
      <c r="G104" s="1" t="s">
        <v>54</v>
      </c>
      <c r="H104" s="1" t="s">
        <v>47</v>
      </c>
      <c r="I104" s="1">
        <v>830</v>
      </c>
      <c r="J104" s="1">
        <v>39746</v>
      </c>
      <c r="K104" s="1">
        <v>1</v>
      </c>
      <c r="L104" s="1">
        <v>87</v>
      </c>
      <c r="M104" s="1">
        <v>1876</v>
      </c>
      <c r="N104" s="1" t="s">
        <v>48</v>
      </c>
      <c r="O104" s="1">
        <v>195160</v>
      </c>
      <c r="P104" s="1">
        <v>93</v>
      </c>
      <c r="Q104" s="1" t="s">
        <v>111</v>
      </c>
      <c r="R104" s="1" t="s">
        <v>50</v>
      </c>
      <c r="S104" s="1">
        <v>0</v>
      </c>
      <c r="T104" s="1">
        <v>0</v>
      </c>
      <c r="U104" s="1">
        <v>96.495000000000005</v>
      </c>
      <c r="V104" s="1">
        <v>21.187000000000001</v>
      </c>
      <c r="W104" s="1">
        <v>1.56</v>
      </c>
      <c r="X104" s="1">
        <v>3.5790000000000002</v>
      </c>
      <c r="Y104" s="1">
        <v>24.765999999999998</v>
      </c>
      <c r="Z104" s="1">
        <v>0.23899999999999999</v>
      </c>
      <c r="AA104" s="1">
        <v>0.3</v>
      </c>
      <c r="AB104" s="1">
        <v>1.9</v>
      </c>
      <c r="AC104" s="1">
        <v>1.9</v>
      </c>
      <c r="AD104" s="1">
        <v>3.5760000000000001</v>
      </c>
      <c r="AE104" s="1">
        <v>3.6999999999999998E-2</v>
      </c>
      <c r="AF104" s="1">
        <v>0.13400000000000001</v>
      </c>
      <c r="AG104" s="1">
        <v>0.3</v>
      </c>
      <c r="AI104" s="1">
        <v>0</v>
      </c>
      <c r="AJ104" s="1">
        <v>0</v>
      </c>
      <c r="AK104" s="1">
        <v>0</v>
      </c>
      <c r="AL104" s="1">
        <v>1</v>
      </c>
      <c r="AM104" s="1">
        <v>75798</v>
      </c>
      <c r="AN104" s="1">
        <v>38904</v>
      </c>
      <c r="AO104" s="1">
        <v>36891</v>
      </c>
      <c r="AP104" s="1">
        <v>50610</v>
      </c>
      <c r="AQ104" s="1">
        <v>2.064071779436039</v>
      </c>
    </row>
    <row r="105" spans="1:43" x14ac:dyDescent="0.45">
      <c r="A105" s="1">
        <v>104</v>
      </c>
      <c r="B105" s="1">
        <v>128</v>
      </c>
      <c r="C105" s="1">
        <v>88</v>
      </c>
      <c r="D105" s="1" t="s">
        <v>115</v>
      </c>
      <c r="E105" s="1" t="s">
        <v>116</v>
      </c>
      <c r="F105" s="1" t="s">
        <v>117</v>
      </c>
      <c r="G105" s="1" t="s">
        <v>54</v>
      </c>
      <c r="H105" s="1" t="s">
        <v>47</v>
      </c>
      <c r="I105" s="1">
        <v>830</v>
      </c>
      <c r="J105" s="1">
        <v>39746</v>
      </c>
      <c r="K105" s="1">
        <v>1</v>
      </c>
      <c r="L105" s="1">
        <v>87</v>
      </c>
      <c r="M105" s="1">
        <v>1886</v>
      </c>
      <c r="N105" s="1" t="s">
        <v>48</v>
      </c>
      <c r="O105" s="1">
        <v>195172</v>
      </c>
      <c r="P105" s="1">
        <v>93</v>
      </c>
      <c r="Q105" s="1" t="s">
        <v>111</v>
      </c>
      <c r="R105" s="1" t="s">
        <v>50</v>
      </c>
      <c r="S105" s="1">
        <v>0</v>
      </c>
      <c r="T105" s="1">
        <v>0</v>
      </c>
      <c r="U105" s="1">
        <v>181.34700000000001</v>
      </c>
      <c r="V105" s="1">
        <v>21.968</v>
      </c>
      <c r="W105" s="1">
        <v>1.44</v>
      </c>
      <c r="X105" s="1">
        <v>2.7989999999999999</v>
      </c>
      <c r="Y105" s="1">
        <v>24.766999999999999</v>
      </c>
      <c r="Z105" s="1">
        <v>0.16200000000000001</v>
      </c>
      <c r="AA105" s="1">
        <v>2.7</v>
      </c>
      <c r="AB105" s="1">
        <v>-1.4</v>
      </c>
      <c r="AC105" s="1">
        <v>-1.5</v>
      </c>
      <c r="AD105" s="1">
        <v>2.7989999999999999</v>
      </c>
      <c r="AE105" s="1">
        <v>0.05</v>
      </c>
      <c r="AF105" s="1">
        <v>0.13900000000000001</v>
      </c>
      <c r="AI105" s="1">
        <v>0</v>
      </c>
      <c r="AJ105" s="1">
        <v>0</v>
      </c>
      <c r="AK105" s="1">
        <v>0</v>
      </c>
      <c r="AL105" s="1">
        <v>1</v>
      </c>
      <c r="AM105" s="1">
        <v>71635</v>
      </c>
      <c r="AN105" s="1">
        <v>27423</v>
      </c>
      <c r="AO105" s="1">
        <v>44212</v>
      </c>
      <c r="AP105" s="1">
        <v>50611</v>
      </c>
      <c r="AQ105" s="1">
        <v>2.1957611314984709</v>
      </c>
    </row>
    <row r="106" spans="1:43" x14ac:dyDescent="0.45">
      <c r="A106" s="1">
        <v>105</v>
      </c>
      <c r="B106" s="1">
        <v>128</v>
      </c>
      <c r="C106" s="1">
        <v>88</v>
      </c>
      <c r="D106" s="1" t="s">
        <v>115</v>
      </c>
      <c r="E106" s="1" t="s">
        <v>116</v>
      </c>
      <c r="F106" s="1" t="s">
        <v>117</v>
      </c>
      <c r="G106" s="1" t="s">
        <v>54</v>
      </c>
      <c r="H106" s="1" t="s">
        <v>47</v>
      </c>
      <c r="I106" s="1">
        <v>830</v>
      </c>
      <c r="J106" s="1">
        <v>39746</v>
      </c>
      <c r="K106" s="1">
        <v>1</v>
      </c>
      <c r="L106" s="1">
        <v>87</v>
      </c>
      <c r="M106" s="1">
        <v>1889</v>
      </c>
      <c r="N106" s="1" t="s">
        <v>48</v>
      </c>
      <c r="O106" s="1">
        <v>195175</v>
      </c>
      <c r="P106" s="1">
        <v>93</v>
      </c>
      <c r="Q106" s="1" t="s">
        <v>111</v>
      </c>
      <c r="R106" s="1" t="s">
        <v>50</v>
      </c>
      <c r="S106" s="1">
        <v>0</v>
      </c>
      <c r="T106" s="1">
        <v>0</v>
      </c>
      <c r="U106" s="1">
        <v>387.74799999999999</v>
      </c>
      <c r="V106" s="1">
        <v>21.367999999999999</v>
      </c>
      <c r="W106" s="1">
        <v>1.52</v>
      </c>
      <c r="X106" s="1">
        <v>3.3969999999999998</v>
      </c>
      <c r="Y106" s="1">
        <v>24.765999999999998</v>
      </c>
      <c r="Z106" s="1">
        <v>0.51800000000000002</v>
      </c>
      <c r="AA106" s="1">
        <v>-3.1</v>
      </c>
      <c r="AB106" s="1">
        <v>2.6</v>
      </c>
      <c r="AC106" s="1">
        <v>2.8</v>
      </c>
      <c r="AD106" s="1">
        <v>3.395</v>
      </c>
      <c r="AE106" s="1">
        <v>2.1000000000000001E-2</v>
      </c>
      <c r="AF106" s="1">
        <v>7.0999999999999994E-2</v>
      </c>
      <c r="AG106" s="1">
        <v>-3.1</v>
      </c>
      <c r="AI106" s="1">
        <v>0</v>
      </c>
      <c r="AJ106" s="1">
        <v>0</v>
      </c>
      <c r="AK106" s="1">
        <v>0</v>
      </c>
      <c r="AL106" s="1">
        <v>1</v>
      </c>
      <c r="AM106" s="1">
        <v>75206</v>
      </c>
      <c r="AN106" s="1">
        <v>35449</v>
      </c>
      <c r="AO106" s="1">
        <v>39757</v>
      </c>
      <c r="AP106" s="1">
        <v>50562</v>
      </c>
      <c r="AQ106" s="1">
        <v>3.0715079833882188</v>
      </c>
    </row>
    <row r="107" spans="1:43" x14ac:dyDescent="0.45">
      <c r="A107" s="1">
        <v>106</v>
      </c>
      <c r="B107" s="1">
        <v>128</v>
      </c>
      <c r="C107" s="1">
        <v>88</v>
      </c>
      <c r="D107" s="1" t="s">
        <v>115</v>
      </c>
      <c r="E107" s="1" t="s">
        <v>116</v>
      </c>
      <c r="F107" s="1" t="s">
        <v>117</v>
      </c>
      <c r="G107" s="1" t="s">
        <v>54</v>
      </c>
      <c r="H107" s="1" t="s">
        <v>47</v>
      </c>
      <c r="I107" s="1">
        <v>830</v>
      </c>
      <c r="J107" s="1">
        <v>39746</v>
      </c>
      <c r="K107" s="1">
        <v>1</v>
      </c>
      <c r="L107" s="1">
        <v>87</v>
      </c>
      <c r="M107" s="1">
        <v>1890</v>
      </c>
      <c r="N107" s="1" t="s">
        <v>48</v>
      </c>
      <c r="O107" s="1">
        <v>195176</v>
      </c>
      <c r="P107" s="1">
        <v>93</v>
      </c>
      <c r="Q107" s="1" t="s">
        <v>111</v>
      </c>
      <c r="R107" s="1" t="s">
        <v>50</v>
      </c>
      <c r="S107" s="1">
        <v>0</v>
      </c>
      <c r="T107" s="1">
        <v>0</v>
      </c>
      <c r="U107" s="1">
        <v>305.37299999999999</v>
      </c>
      <c r="V107" s="1">
        <v>22.896999999999998</v>
      </c>
      <c r="W107" s="1">
        <v>1.29</v>
      </c>
      <c r="X107" s="1">
        <v>1.87</v>
      </c>
      <c r="Y107" s="1">
        <v>24.765999999999998</v>
      </c>
      <c r="Z107" s="1">
        <v>0.20399999999999999</v>
      </c>
      <c r="AA107" s="1">
        <v>2.1</v>
      </c>
      <c r="AB107" s="1">
        <v>0.4</v>
      </c>
      <c r="AC107" s="1">
        <v>0.4</v>
      </c>
      <c r="AD107" s="1">
        <v>1.869</v>
      </c>
      <c r="AE107" s="1">
        <v>1.4999999999999999E-2</v>
      </c>
      <c r="AF107" s="1">
        <v>2.8000000000000001E-2</v>
      </c>
      <c r="AI107" s="1">
        <v>0</v>
      </c>
      <c r="AJ107" s="1">
        <v>0</v>
      </c>
      <c r="AK107" s="1">
        <v>0</v>
      </c>
      <c r="AL107" s="1">
        <v>1</v>
      </c>
      <c r="AM107" s="1">
        <v>64723</v>
      </c>
      <c r="AN107" s="1">
        <v>18773</v>
      </c>
      <c r="AO107" s="1">
        <v>45950</v>
      </c>
      <c r="AP107" s="1">
        <v>50630</v>
      </c>
      <c r="AQ107" s="1">
        <v>32.115410528628978</v>
      </c>
    </row>
    <row r="108" spans="1:43" x14ac:dyDescent="0.45">
      <c r="A108" s="1">
        <v>107</v>
      </c>
      <c r="B108" s="1">
        <v>128</v>
      </c>
      <c r="C108" s="1">
        <v>88</v>
      </c>
      <c r="D108" s="1" t="s">
        <v>115</v>
      </c>
      <c r="E108" s="1" t="s">
        <v>116</v>
      </c>
      <c r="F108" s="1" t="s">
        <v>117</v>
      </c>
      <c r="G108" s="1" t="s">
        <v>54</v>
      </c>
      <c r="H108" s="1" t="s">
        <v>47</v>
      </c>
      <c r="I108" s="1">
        <v>830</v>
      </c>
      <c r="J108" s="1">
        <v>39746</v>
      </c>
      <c r="K108" s="1">
        <v>1</v>
      </c>
      <c r="L108" s="1">
        <v>87</v>
      </c>
      <c r="M108" s="1">
        <v>1891</v>
      </c>
      <c r="N108" s="1" t="s">
        <v>48</v>
      </c>
      <c r="O108" s="1">
        <v>195178</v>
      </c>
      <c r="P108" s="1">
        <v>93</v>
      </c>
      <c r="Q108" s="1" t="s">
        <v>111</v>
      </c>
      <c r="R108" s="1" t="s">
        <v>50</v>
      </c>
      <c r="S108" s="1">
        <v>0</v>
      </c>
      <c r="T108" s="1">
        <v>0</v>
      </c>
      <c r="U108" s="1">
        <v>164.86</v>
      </c>
      <c r="V108" s="1">
        <v>21.922999999999998</v>
      </c>
      <c r="W108" s="1">
        <v>1.44</v>
      </c>
      <c r="X108" s="1">
        <v>2.843</v>
      </c>
      <c r="Y108" s="1">
        <v>24.766999999999999</v>
      </c>
      <c r="Z108" s="1">
        <v>0.215</v>
      </c>
      <c r="AA108" s="1">
        <v>2.6</v>
      </c>
      <c r="AB108" s="1">
        <v>-2.9</v>
      </c>
      <c r="AC108" s="1">
        <v>-2.9</v>
      </c>
      <c r="AD108" s="1">
        <v>2.8420000000000001</v>
      </c>
      <c r="AE108" s="1">
        <v>3.6999999999999998E-2</v>
      </c>
      <c r="AF108" s="1">
        <v>0.106</v>
      </c>
      <c r="AI108" s="1">
        <v>0</v>
      </c>
      <c r="AJ108" s="1">
        <v>0</v>
      </c>
      <c r="AK108" s="1">
        <v>0</v>
      </c>
      <c r="AL108" s="1">
        <v>1</v>
      </c>
      <c r="AM108" s="1">
        <v>71996</v>
      </c>
      <c r="AN108" s="1">
        <v>27881</v>
      </c>
      <c r="AO108" s="1">
        <v>44115</v>
      </c>
      <c r="AP108" s="1">
        <v>50629</v>
      </c>
      <c r="AQ108" s="1">
        <v>2.7422035102508739</v>
      </c>
    </row>
    <row r="109" spans="1:43" x14ac:dyDescent="0.45">
      <c r="A109" s="1">
        <v>108</v>
      </c>
      <c r="B109" s="1">
        <v>128</v>
      </c>
      <c r="C109" s="1">
        <v>88</v>
      </c>
      <c r="D109" s="1" t="s">
        <v>115</v>
      </c>
      <c r="E109" s="1" t="s">
        <v>116</v>
      </c>
      <c r="F109" s="1" t="s">
        <v>117</v>
      </c>
      <c r="G109" s="1" t="s">
        <v>54</v>
      </c>
      <c r="H109" s="1" t="s">
        <v>47</v>
      </c>
      <c r="I109" s="1">
        <v>830</v>
      </c>
      <c r="J109" s="1">
        <v>39746</v>
      </c>
      <c r="K109" s="1">
        <v>1</v>
      </c>
      <c r="L109" s="1">
        <v>87</v>
      </c>
      <c r="M109" s="1">
        <v>1892</v>
      </c>
      <c r="N109" s="1" t="s">
        <v>48</v>
      </c>
      <c r="O109" s="1">
        <v>195179</v>
      </c>
      <c r="P109" s="1">
        <v>93</v>
      </c>
      <c r="Q109" s="1" t="s">
        <v>111</v>
      </c>
      <c r="R109" s="1" t="s">
        <v>50</v>
      </c>
      <c r="S109" s="1">
        <v>0</v>
      </c>
      <c r="T109" s="1">
        <v>0</v>
      </c>
      <c r="U109" s="1">
        <v>155.964</v>
      </c>
      <c r="V109" s="1">
        <v>22.390999999999998</v>
      </c>
      <c r="W109" s="1">
        <v>1.37</v>
      </c>
      <c r="X109" s="1">
        <v>2.3759999999999999</v>
      </c>
      <c r="Y109" s="1">
        <v>24.766999999999999</v>
      </c>
      <c r="Z109" s="1">
        <v>0.17699999999999999</v>
      </c>
      <c r="AA109" s="1">
        <v>2.1</v>
      </c>
      <c r="AB109" s="1">
        <v>-2.6</v>
      </c>
      <c r="AC109" s="1">
        <v>-2.7</v>
      </c>
      <c r="AD109" s="1">
        <v>2.3759999999999999</v>
      </c>
      <c r="AE109" s="1">
        <v>2.3E-2</v>
      </c>
      <c r="AF109" s="1">
        <v>5.5E-2</v>
      </c>
      <c r="AI109" s="1">
        <v>0</v>
      </c>
      <c r="AJ109" s="1">
        <v>0</v>
      </c>
      <c r="AK109" s="1">
        <v>0</v>
      </c>
      <c r="AL109" s="1">
        <v>1</v>
      </c>
      <c r="AM109" s="1">
        <v>68264</v>
      </c>
      <c r="AN109" s="1">
        <v>23298</v>
      </c>
      <c r="AO109" s="1">
        <v>44967</v>
      </c>
      <c r="AP109" s="1">
        <v>50611</v>
      </c>
      <c r="AQ109" s="1">
        <v>21.291210193614429</v>
      </c>
    </row>
    <row r="110" spans="1:43" x14ac:dyDescent="0.45">
      <c r="A110" s="1">
        <v>109</v>
      </c>
      <c r="B110" s="1">
        <v>128</v>
      </c>
      <c r="C110" s="1">
        <v>88</v>
      </c>
      <c r="D110" s="1" t="s">
        <v>115</v>
      </c>
      <c r="E110" s="1" t="s">
        <v>116</v>
      </c>
      <c r="F110" s="1" t="s">
        <v>117</v>
      </c>
      <c r="G110" s="1" t="s">
        <v>54</v>
      </c>
      <c r="H110" s="1" t="s">
        <v>47</v>
      </c>
      <c r="I110" s="1">
        <v>830</v>
      </c>
      <c r="J110" s="1">
        <v>39746</v>
      </c>
      <c r="K110" s="1">
        <v>1</v>
      </c>
      <c r="L110" s="1">
        <v>87</v>
      </c>
      <c r="M110" s="1">
        <v>1893</v>
      </c>
      <c r="N110" s="1" t="s">
        <v>48</v>
      </c>
      <c r="O110" s="1">
        <v>195188</v>
      </c>
      <c r="P110" s="1">
        <v>93</v>
      </c>
      <c r="Q110" s="1" t="s">
        <v>111</v>
      </c>
      <c r="R110" s="1" t="s">
        <v>50</v>
      </c>
      <c r="S110" s="1">
        <v>0</v>
      </c>
      <c r="T110" s="1">
        <v>0</v>
      </c>
      <c r="U110" s="1">
        <v>759.12900000000002</v>
      </c>
      <c r="V110" s="1">
        <v>21.216000000000001</v>
      </c>
      <c r="W110" s="1">
        <v>1.54</v>
      </c>
      <c r="X110" s="1">
        <v>3.55</v>
      </c>
      <c r="Y110" s="1">
        <v>24.765000000000001</v>
      </c>
      <c r="Z110" s="1">
        <v>0.45200000000000001</v>
      </c>
      <c r="AA110" s="1">
        <v>-3</v>
      </c>
      <c r="AB110" s="1">
        <v>-2.6</v>
      </c>
      <c r="AC110" s="1">
        <v>-2.6</v>
      </c>
      <c r="AD110" s="1">
        <v>3.548</v>
      </c>
      <c r="AE110" s="1">
        <v>0.01</v>
      </c>
      <c r="AF110" s="1">
        <v>0.26600000000000001</v>
      </c>
      <c r="AG110" s="1">
        <v>-3</v>
      </c>
      <c r="AI110" s="1">
        <v>0</v>
      </c>
      <c r="AJ110" s="1">
        <v>0</v>
      </c>
      <c r="AK110" s="1">
        <v>0</v>
      </c>
      <c r="AL110" s="1">
        <v>1</v>
      </c>
      <c r="AM110" s="1">
        <v>86400</v>
      </c>
      <c r="AN110" s="1">
        <v>81070</v>
      </c>
      <c r="AO110" s="1">
        <v>5330</v>
      </c>
      <c r="AP110" s="1">
        <v>50612</v>
      </c>
      <c r="AQ110" s="1">
        <v>2.840576342070904</v>
      </c>
    </row>
    <row r="111" spans="1:43" x14ac:dyDescent="0.45">
      <c r="A111" s="1">
        <v>110</v>
      </c>
      <c r="B111" s="1">
        <v>128</v>
      </c>
      <c r="C111" s="1">
        <v>88</v>
      </c>
      <c r="D111" s="1" t="s">
        <v>115</v>
      </c>
      <c r="E111" s="1" t="s">
        <v>116</v>
      </c>
      <c r="F111" s="1" t="s">
        <v>117</v>
      </c>
      <c r="G111" s="1" t="s">
        <v>54</v>
      </c>
      <c r="H111" s="1" t="s">
        <v>47</v>
      </c>
      <c r="I111" s="1">
        <v>830</v>
      </c>
      <c r="J111" s="1">
        <v>39746</v>
      </c>
      <c r="K111" s="1">
        <v>1</v>
      </c>
      <c r="L111" s="1">
        <v>87</v>
      </c>
      <c r="M111" s="1">
        <v>1894</v>
      </c>
      <c r="N111" s="1" t="s">
        <v>48</v>
      </c>
      <c r="O111" s="1">
        <v>195189</v>
      </c>
      <c r="P111" s="1">
        <v>93</v>
      </c>
      <c r="Q111" s="1" t="s">
        <v>111</v>
      </c>
      <c r="R111" s="1" t="s">
        <v>50</v>
      </c>
      <c r="S111" s="1">
        <v>0</v>
      </c>
      <c r="T111" s="1">
        <v>0</v>
      </c>
      <c r="U111" s="1">
        <v>648.024</v>
      </c>
      <c r="V111" s="1">
        <v>21.824000000000002</v>
      </c>
      <c r="W111" s="1">
        <v>1.45</v>
      </c>
      <c r="X111" s="1">
        <v>2.9420000000000002</v>
      </c>
      <c r="Y111" s="1">
        <v>24.765000000000001</v>
      </c>
      <c r="Z111" s="1">
        <v>0.53300000000000003</v>
      </c>
      <c r="AA111" s="1">
        <v>-3</v>
      </c>
      <c r="AB111" s="1">
        <v>-2.9</v>
      </c>
      <c r="AC111" s="1">
        <v>-2.9</v>
      </c>
      <c r="AD111" s="1">
        <v>2.9409999999999998</v>
      </c>
      <c r="AE111" s="1">
        <v>7.0000000000000001E-3</v>
      </c>
      <c r="AF111" s="1">
        <v>2.7E-2</v>
      </c>
      <c r="AG111" s="1">
        <v>-3</v>
      </c>
      <c r="AI111" s="1">
        <v>0</v>
      </c>
      <c r="AJ111" s="1">
        <v>0</v>
      </c>
      <c r="AK111" s="1">
        <v>0</v>
      </c>
      <c r="AL111" s="1">
        <v>1</v>
      </c>
      <c r="AM111" s="1">
        <v>72769</v>
      </c>
      <c r="AN111" s="1">
        <v>29427</v>
      </c>
      <c r="AO111" s="1">
        <v>43341</v>
      </c>
      <c r="AP111" s="1">
        <v>50633</v>
      </c>
      <c r="AQ111" s="1">
        <v>34.814007380376417</v>
      </c>
    </row>
    <row r="112" spans="1:43" x14ac:dyDescent="0.45">
      <c r="A112" s="1">
        <v>111</v>
      </c>
      <c r="B112" s="1">
        <v>128</v>
      </c>
      <c r="C112" s="1">
        <v>88</v>
      </c>
      <c r="D112" s="1" t="s">
        <v>115</v>
      </c>
      <c r="E112" s="1" t="s">
        <v>116</v>
      </c>
      <c r="F112" s="1" t="s">
        <v>117</v>
      </c>
      <c r="G112" s="1" t="s">
        <v>54</v>
      </c>
      <c r="H112" s="1" t="s">
        <v>47</v>
      </c>
      <c r="I112" s="1">
        <v>830</v>
      </c>
      <c r="J112" s="1">
        <v>39746</v>
      </c>
      <c r="K112" s="1">
        <v>1</v>
      </c>
      <c r="L112" s="1">
        <v>87</v>
      </c>
      <c r="M112" s="1">
        <v>1895</v>
      </c>
      <c r="N112" s="1" t="s">
        <v>48</v>
      </c>
      <c r="O112" s="1">
        <v>195190</v>
      </c>
      <c r="P112" s="1">
        <v>93</v>
      </c>
      <c r="Q112" s="1" t="s">
        <v>111</v>
      </c>
      <c r="R112" s="1" t="s">
        <v>50</v>
      </c>
      <c r="S112" s="1">
        <v>0</v>
      </c>
      <c r="T112" s="1">
        <v>0</v>
      </c>
      <c r="U112" s="1">
        <v>162.02699999999999</v>
      </c>
      <c r="V112" s="1">
        <v>21.437000000000001</v>
      </c>
      <c r="W112" s="1">
        <v>1.51</v>
      </c>
      <c r="X112" s="1">
        <v>3.3279999999999998</v>
      </c>
      <c r="Y112" s="1">
        <v>24.765000000000001</v>
      </c>
      <c r="Z112" s="1">
        <v>0.36599999999999999</v>
      </c>
      <c r="AA112" s="1">
        <v>3.1</v>
      </c>
      <c r="AB112" s="1">
        <v>-3.1</v>
      </c>
      <c r="AC112" s="1">
        <v>-3</v>
      </c>
      <c r="AD112" s="1">
        <v>3.3279999999999998</v>
      </c>
      <c r="AE112" s="1">
        <v>8.0000000000000002E-3</v>
      </c>
      <c r="AF112" s="1">
        <v>0.16900000000000001</v>
      </c>
      <c r="AG112" s="1">
        <v>3.1</v>
      </c>
      <c r="AI112" s="1">
        <v>0</v>
      </c>
      <c r="AJ112" s="1">
        <v>0</v>
      </c>
      <c r="AK112" s="1">
        <v>0</v>
      </c>
      <c r="AL112" s="1">
        <v>1</v>
      </c>
      <c r="AM112" s="1">
        <v>86400</v>
      </c>
      <c r="AN112" s="1">
        <v>79317</v>
      </c>
      <c r="AO112" s="1">
        <v>7083</v>
      </c>
      <c r="AP112" s="1">
        <v>50564</v>
      </c>
      <c r="AQ112" s="1">
        <v>1.181862772484338</v>
      </c>
    </row>
    <row r="113" spans="1:43" x14ac:dyDescent="0.45">
      <c r="A113" s="1">
        <v>112</v>
      </c>
      <c r="B113" s="1">
        <v>128</v>
      </c>
      <c r="C113" s="1">
        <v>88</v>
      </c>
      <c r="D113" s="1" t="s">
        <v>115</v>
      </c>
      <c r="E113" s="1" t="s">
        <v>116</v>
      </c>
      <c r="F113" s="1" t="s">
        <v>117</v>
      </c>
      <c r="G113" s="1" t="s">
        <v>54</v>
      </c>
      <c r="H113" s="1" t="s">
        <v>47</v>
      </c>
      <c r="I113" s="1">
        <v>830</v>
      </c>
      <c r="J113" s="1">
        <v>39746</v>
      </c>
      <c r="K113" s="1">
        <v>1</v>
      </c>
      <c r="L113" s="1">
        <v>87</v>
      </c>
      <c r="M113" s="1">
        <v>1902</v>
      </c>
      <c r="N113" s="1" t="s">
        <v>48</v>
      </c>
      <c r="O113" s="1">
        <v>195201</v>
      </c>
      <c r="P113" s="1">
        <v>93</v>
      </c>
      <c r="Q113" s="1" t="s">
        <v>111</v>
      </c>
      <c r="R113" s="1" t="s">
        <v>50</v>
      </c>
      <c r="S113" s="1">
        <v>0</v>
      </c>
      <c r="T113" s="1">
        <v>0</v>
      </c>
      <c r="U113" s="1">
        <v>137.08600000000001</v>
      </c>
      <c r="V113" s="1">
        <v>21.556000000000001</v>
      </c>
      <c r="W113" s="1">
        <v>1.49</v>
      </c>
      <c r="X113" s="1">
        <v>3.21</v>
      </c>
      <c r="Y113" s="1">
        <v>24.765000000000001</v>
      </c>
      <c r="Z113" s="1">
        <v>2.7E-2</v>
      </c>
      <c r="AA113" s="1">
        <v>1.4</v>
      </c>
      <c r="AB113" s="1">
        <v>-2.2000000000000002</v>
      </c>
      <c r="AC113" s="1">
        <v>-2.4</v>
      </c>
      <c r="AD113" s="1">
        <v>3.2090000000000001</v>
      </c>
      <c r="AE113" s="1">
        <v>8.0000000000000002E-3</v>
      </c>
      <c r="AF113" s="1">
        <v>2.4E-2</v>
      </c>
      <c r="AG113" s="1">
        <v>1.4</v>
      </c>
      <c r="AI113" s="1">
        <v>0</v>
      </c>
      <c r="AJ113" s="1">
        <v>0</v>
      </c>
      <c r="AK113" s="1">
        <v>0</v>
      </c>
      <c r="AL113" s="1">
        <v>1</v>
      </c>
      <c r="AM113" s="1">
        <v>86400</v>
      </c>
      <c r="AN113" s="1">
        <v>76378</v>
      </c>
      <c r="AO113" s="1">
        <v>10022</v>
      </c>
      <c r="AP113" s="1">
        <v>50578</v>
      </c>
      <c r="AQ113" s="1">
        <v>4.4034149939720413</v>
      </c>
    </row>
    <row r="114" spans="1:43" x14ac:dyDescent="0.45">
      <c r="A114" s="1">
        <v>113</v>
      </c>
      <c r="B114" s="1">
        <v>128</v>
      </c>
      <c r="C114" s="1">
        <v>88</v>
      </c>
      <c r="D114" s="1" t="s">
        <v>115</v>
      </c>
      <c r="E114" s="1" t="s">
        <v>116</v>
      </c>
      <c r="F114" s="1" t="s">
        <v>117</v>
      </c>
      <c r="G114" s="1" t="s">
        <v>54</v>
      </c>
      <c r="H114" s="1" t="s">
        <v>47</v>
      </c>
      <c r="I114" s="1">
        <v>830</v>
      </c>
      <c r="J114" s="1">
        <v>39746</v>
      </c>
      <c r="K114" s="1">
        <v>1</v>
      </c>
      <c r="L114" s="1">
        <v>87</v>
      </c>
      <c r="M114" s="1">
        <v>1904</v>
      </c>
      <c r="N114" s="1" t="s">
        <v>48</v>
      </c>
      <c r="O114" s="1">
        <v>195203</v>
      </c>
      <c r="P114" s="1">
        <v>93</v>
      </c>
      <c r="Q114" s="1" t="s">
        <v>111</v>
      </c>
      <c r="R114" s="1" t="s">
        <v>50</v>
      </c>
      <c r="S114" s="1">
        <v>0</v>
      </c>
      <c r="T114" s="1">
        <v>0</v>
      </c>
      <c r="U114" s="1">
        <v>91.207999999999998</v>
      </c>
      <c r="V114" s="1">
        <v>21.504000000000001</v>
      </c>
      <c r="W114" s="1">
        <v>1.5</v>
      </c>
      <c r="X114" s="1">
        <v>3.2610000000000001</v>
      </c>
      <c r="Y114" s="1">
        <v>24.765000000000001</v>
      </c>
      <c r="Z114" s="1">
        <v>3.5999999999999997E-2</v>
      </c>
      <c r="AA114" s="1">
        <v>2.6</v>
      </c>
      <c r="AB114" s="1">
        <v>-2.8</v>
      </c>
      <c r="AC114" s="1">
        <v>-2.8</v>
      </c>
      <c r="AD114" s="1">
        <v>3.26</v>
      </c>
      <c r="AE114" s="1">
        <v>8.0000000000000002E-3</v>
      </c>
      <c r="AF114" s="1">
        <v>2.7E-2</v>
      </c>
      <c r="AI114" s="1">
        <v>0</v>
      </c>
      <c r="AJ114" s="1">
        <v>0</v>
      </c>
      <c r="AK114" s="1">
        <v>0</v>
      </c>
      <c r="AL114" s="1">
        <v>1</v>
      </c>
      <c r="AM114" s="1">
        <v>86400</v>
      </c>
      <c r="AN114" s="1">
        <v>77676</v>
      </c>
      <c r="AO114" s="1">
        <v>8724</v>
      </c>
      <c r="AP114" s="1">
        <v>50604</v>
      </c>
      <c r="AQ114" s="1">
        <v>13.665509821742679</v>
      </c>
    </row>
    <row r="115" spans="1:43" x14ac:dyDescent="0.45">
      <c r="A115" s="1">
        <v>114</v>
      </c>
      <c r="B115" s="1">
        <v>128</v>
      </c>
      <c r="C115" s="1">
        <v>88</v>
      </c>
      <c r="D115" s="1" t="s">
        <v>115</v>
      </c>
      <c r="E115" s="1" t="s">
        <v>116</v>
      </c>
      <c r="F115" s="1" t="s">
        <v>117</v>
      </c>
      <c r="G115" s="1" t="s">
        <v>54</v>
      </c>
      <c r="H115" s="1" t="s">
        <v>47</v>
      </c>
      <c r="I115" s="1">
        <v>830</v>
      </c>
      <c r="J115" s="1">
        <v>39746</v>
      </c>
      <c r="K115" s="1">
        <v>1</v>
      </c>
      <c r="L115" s="1">
        <v>87</v>
      </c>
      <c r="M115" s="1">
        <v>1905</v>
      </c>
      <c r="N115" s="1" t="s">
        <v>48</v>
      </c>
      <c r="O115" s="1">
        <v>195204</v>
      </c>
      <c r="P115" s="1">
        <v>93</v>
      </c>
      <c r="Q115" s="1" t="s">
        <v>111</v>
      </c>
      <c r="R115" s="1" t="s">
        <v>50</v>
      </c>
      <c r="S115" s="1">
        <v>0</v>
      </c>
      <c r="T115" s="1">
        <v>0</v>
      </c>
      <c r="U115" s="1">
        <v>154.404</v>
      </c>
      <c r="V115" s="1">
        <v>21.431999999999999</v>
      </c>
      <c r="W115" s="1">
        <v>1.51</v>
      </c>
      <c r="X115" s="1">
        <v>3.3340000000000001</v>
      </c>
      <c r="Y115" s="1">
        <v>24.765000000000001</v>
      </c>
      <c r="Z115" s="1">
        <v>0.04</v>
      </c>
      <c r="AA115" s="1">
        <v>1.8</v>
      </c>
      <c r="AB115" s="1">
        <v>-3</v>
      </c>
      <c r="AC115" s="1">
        <v>-2.9</v>
      </c>
      <c r="AD115" s="1">
        <v>3.3330000000000002</v>
      </c>
      <c r="AE115" s="1">
        <v>8.0000000000000002E-3</v>
      </c>
      <c r="AF115" s="1">
        <v>2.5999999999999999E-2</v>
      </c>
      <c r="AI115" s="1">
        <v>0</v>
      </c>
      <c r="AJ115" s="1">
        <v>0</v>
      </c>
      <c r="AK115" s="1">
        <v>0</v>
      </c>
      <c r="AL115" s="1">
        <v>1</v>
      </c>
      <c r="AM115" s="1">
        <v>86400</v>
      </c>
      <c r="AN115" s="1">
        <v>79479</v>
      </c>
      <c r="AO115" s="1">
        <v>6921</v>
      </c>
      <c r="AP115" s="1">
        <v>50594</v>
      </c>
      <c r="AQ115" s="1">
        <v>3.810868070110133</v>
      </c>
    </row>
    <row r="116" spans="1:43" x14ac:dyDescent="0.45">
      <c r="A116" s="1">
        <v>115</v>
      </c>
      <c r="B116" s="1">
        <v>128</v>
      </c>
      <c r="C116" s="1">
        <v>88</v>
      </c>
      <c r="D116" s="1" t="s">
        <v>115</v>
      </c>
      <c r="E116" s="1" t="s">
        <v>116</v>
      </c>
      <c r="F116" s="1" t="s">
        <v>117</v>
      </c>
      <c r="G116" s="1" t="s">
        <v>54</v>
      </c>
      <c r="H116" s="1" t="s">
        <v>47</v>
      </c>
      <c r="I116" s="1">
        <v>830</v>
      </c>
      <c r="J116" s="1">
        <v>39746</v>
      </c>
      <c r="K116" s="1">
        <v>1</v>
      </c>
      <c r="L116" s="1">
        <v>87</v>
      </c>
      <c r="M116" s="1">
        <v>1906</v>
      </c>
      <c r="N116" s="1" t="s">
        <v>48</v>
      </c>
      <c r="O116" s="1">
        <v>195205</v>
      </c>
      <c r="P116" s="1">
        <v>93</v>
      </c>
      <c r="Q116" s="1" t="s">
        <v>111</v>
      </c>
      <c r="R116" s="1" t="s">
        <v>50</v>
      </c>
      <c r="S116" s="1">
        <v>0</v>
      </c>
      <c r="T116" s="1">
        <v>0</v>
      </c>
      <c r="U116" s="1">
        <v>130.07499999999999</v>
      </c>
      <c r="V116" s="1">
        <v>21.893000000000001</v>
      </c>
      <c r="W116" s="1">
        <v>1.44</v>
      </c>
      <c r="X116" s="1">
        <v>2.8719999999999999</v>
      </c>
      <c r="Y116" s="1">
        <v>24.765000000000001</v>
      </c>
      <c r="Z116" s="1">
        <v>0.19500000000000001</v>
      </c>
      <c r="AA116" s="1">
        <v>2.1</v>
      </c>
      <c r="AB116" s="1">
        <v>-2.9</v>
      </c>
      <c r="AC116" s="1">
        <v>-2.9</v>
      </c>
      <c r="AD116" s="1">
        <v>2.871</v>
      </c>
      <c r="AE116" s="1">
        <v>8.0000000000000002E-3</v>
      </c>
      <c r="AF116" s="1">
        <v>2.3E-2</v>
      </c>
      <c r="AI116" s="1">
        <v>0</v>
      </c>
      <c r="AJ116" s="1">
        <v>0</v>
      </c>
      <c r="AK116" s="1">
        <v>0</v>
      </c>
      <c r="AL116" s="1">
        <v>1</v>
      </c>
      <c r="AM116" s="1">
        <v>72227</v>
      </c>
      <c r="AN116" s="1">
        <v>28128</v>
      </c>
      <c r="AO116" s="1">
        <v>44099</v>
      </c>
      <c r="AP116" s="1">
        <v>50566</v>
      </c>
      <c r="AQ116" s="1">
        <v>12.478949660479341</v>
      </c>
    </row>
    <row r="117" spans="1:43" x14ac:dyDescent="0.45">
      <c r="A117" s="1">
        <v>116</v>
      </c>
      <c r="B117" s="1">
        <v>128</v>
      </c>
      <c r="C117" s="1">
        <v>88</v>
      </c>
      <c r="D117" s="1" t="s">
        <v>115</v>
      </c>
      <c r="E117" s="1" t="s">
        <v>116</v>
      </c>
      <c r="F117" s="1" t="s">
        <v>117</v>
      </c>
      <c r="G117" s="1" t="s">
        <v>54</v>
      </c>
      <c r="H117" s="1" t="s">
        <v>47</v>
      </c>
      <c r="I117" s="1">
        <v>830</v>
      </c>
      <c r="J117" s="1">
        <v>39746</v>
      </c>
      <c r="K117" s="1">
        <v>1</v>
      </c>
      <c r="L117" s="1">
        <v>87</v>
      </c>
      <c r="M117" s="1">
        <v>1907</v>
      </c>
      <c r="N117" s="1" t="s">
        <v>48</v>
      </c>
      <c r="O117" s="1">
        <v>195208</v>
      </c>
      <c r="P117" s="1">
        <v>93</v>
      </c>
      <c r="Q117" s="1" t="s">
        <v>111</v>
      </c>
      <c r="R117" s="1" t="s">
        <v>50</v>
      </c>
      <c r="S117" s="1">
        <v>0</v>
      </c>
      <c r="T117" s="1">
        <v>0</v>
      </c>
      <c r="U117" s="1">
        <v>264.02999999999997</v>
      </c>
      <c r="V117" s="1">
        <v>22.882999999999999</v>
      </c>
      <c r="W117" s="1">
        <v>1.29</v>
      </c>
      <c r="X117" s="1">
        <v>1.8819999999999999</v>
      </c>
      <c r="Y117" s="1">
        <v>24.765000000000001</v>
      </c>
      <c r="Z117" s="1">
        <v>0.22900000000000001</v>
      </c>
      <c r="AA117" s="1">
        <v>2</v>
      </c>
      <c r="AB117" s="1">
        <v>2.1</v>
      </c>
      <c r="AC117" s="1">
        <v>2.5</v>
      </c>
      <c r="AD117" s="1">
        <v>1.8819999999999999</v>
      </c>
      <c r="AE117" s="1">
        <v>2E-3</v>
      </c>
      <c r="AF117" s="1">
        <v>7.0000000000000001E-3</v>
      </c>
      <c r="AI117" s="1">
        <v>0</v>
      </c>
      <c r="AJ117" s="1">
        <v>0</v>
      </c>
      <c r="AK117" s="1">
        <v>0</v>
      </c>
      <c r="AL117" s="1">
        <v>1</v>
      </c>
      <c r="AM117" s="1">
        <v>64821</v>
      </c>
      <c r="AN117" s="1">
        <v>18900</v>
      </c>
      <c r="AO117" s="1">
        <v>45921</v>
      </c>
      <c r="AP117" s="1">
        <v>50621</v>
      </c>
      <c r="AQ117" s="1">
        <v>31.230541444332388</v>
      </c>
    </row>
    <row r="118" spans="1:43" x14ac:dyDescent="0.45">
      <c r="A118" s="1">
        <v>117</v>
      </c>
      <c r="B118" s="1">
        <v>128</v>
      </c>
      <c r="C118" s="1">
        <v>88</v>
      </c>
      <c r="D118" s="1" t="s">
        <v>115</v>
      </c>
      <c r="E118" s="1" t="s">
        <v>116</v>
      </c>
      <c r="F118" s="1" t="s">
        <v>117</v>
      </c>
      <c r="G118" s="1" t="s">
        <v>54</v>
      </c>
      <c r="H118" s="1" t="s">
        <v>47</v>
      </c>
      <c r="I118" s="1">
        <v>830</v>
      </c>
      <c r="J118" s="1">
        <v>39746</v>
      </c>
      <c r="K118" s="1">
        <v>1</v>
      </c>
      <c r="L118" s="1">
        <v>87</v>
      </c>
      <c r="M118" s="1">
        <v>1908</v>
      </c>
      <c r="N118" s="1" t="s">
        <v>48</v>
      </c>
      <c r="O118" s="1">
        <v>195209</v>
      </c>
      <c r="P118" s="1">
        <v>93</v>
      </c>
      <c r="Q118" s="1" t="s">
        <v>111</v>
      </c>
      <c r="R118" s="1" t="s">
        <v>50</v>
      </c>
      <c r="S118" s="1">
        <v>0</v>
      </c>
      <c r="T118" s="1">
        <v>0</v>
      </c>
      <c r="U118" s="1">
        <v>245.447</v>
      </c>
      <c r="V118" s="1">
        <v>22.640999999999998</v>
      </c>
      <c r="W118" s="1">
        <v>1.32</v>
      </c>
      <c r="X118" s="1">
        <v>2.125</v>
      </c>
      <c r="Y118" s="1">
        <v>24.765000000000001</v>
      </c>
      <c r="Z118" s="1">
        <v>0.22500000000000001</v>
      </c>
      <c r="AA118" s="1">
        <v>2.2999999999999998</v>
      </c>
      <c r="AB118" s="1">
        <v>2.2999999999999998</v>
      </c>
      <c r="AC118" s="1">
        <v>2.5</v>
      </c>
      <c r="AD118" s="1">
        <v>2.1240000000000001</v>
      </c>
      <c r="AE118" s="1">
        <v>2E-3</v>
      </c>
      <c r="AF118" s="1">
        <v>3.5000000000000003E-2</v>
      </c>
      <c r="AI118" s="1">
        <v>0</v>
      </c>
      <c r="AJ118" s="1">
        <v>0</v>
      </c>
      <c r="AK118" s="1">
        <v>0</v>
      </c>
      <c r="AL118" s="1">
        <v>1</v>
      </c>
      <c r="AM118" s="1">
        <v>66479</v>
      </c>
      <c r="AN118" s="1">
        <v>21073</v>
      </c>
      <c r="AO118" s="1">
        <v>45405</v>
      </c>
      <c r="AP118" s="1">
        <v>50647</v>
      </c>
      <c r="AQ118" s="1">
        <v>2.9340896201097939</v>
      </c>
    </row>
    <row r="119" spans="1:43" x14ac:dyDescent="0.45">
      <c r="A119" s="1">
        <v>118</v>
      </c>
      <c r="B119" s="1">
        <v>128</v>
      </c>
      <c r="C119" s="1">
        <v>88</v>
      </c>
      <c r="D119" s="1" t="s">
        <v>115</v>
      </c>
      <c r="E119" s="1" t="s">
        <v>116</v>
      </c>
      <c r="F119" s="1" t="s">
        <v>117</v>
      </c>
      <c r="G119" s="1" t="s">
        <v>54</v>
      </c>
      <c r="H119" s="1" t="s">
        <v>47</v>
      </c>
      <c r="I119" s="1">
        <v>830</v>
      </c>
      <c r="J119" s="1">
        <v>39746</v>
      </c>
      <c r="K119" s="1">
        <v>1</v>
      </c>
      <c r="L119" s="1">
        <v>87</v>
      </c>
      <c r="M119" s="1">
        <v>1910</v>
      </c>
      <c r="N119" s="1" t="s">
        <v>48</v>
      </c>
      <c r="O119" s="1">
        <v>195258</v>
      </c>
      <c r="P119" s="1">
        <v>93</v>
      </c>
      <c r="Q119" s="1" t="s">
        <v>111</v>
      </c>
      <c r="R119" s="1" t="s">
        <v>50</v>
      </c>
      <c r="S119" s="1">
        <v>0</v>
      </c>
      <c r="T119" s="1">
        <v>0</v>
      </c>
      <c r="U119" s="1">
        <v>78.058999999999997</v>
      </c>
      <c r="V119" s="1">
        <v>21.181000000000001</v>
      </c>
      <c r="W119" s="1">
        <v>1.55</v>
      </c>
      <c r="X119" s="1">
        <v>3.585</v>
      </c>
      <c r="Y119" s="1">
        <v>24.765999999999998</v>
      </c>
      <c r="Z119" s="1">
        <v>9.1999999999999998E-2</v>
      </c>
      <c r="AA119" s="1">
        <v>2.1</v>
      </c>
      <c r="AB119" s="1">
        <v>2</v>
      </c>
      <c r="AC119" s="1">
        <v>2</v>
      </c>
      <c r="AD119" s="1">
        <v>3.5840000000000001</v>
      </c>
      <c r="AE119" s="1">
        <v>1.2E-2</v>
      </c>
      <c r="AF119" s="1">
        <v>4.9000000000000002E-2</v>
      </c>
      <c r="AG119" s="1">
        <v>2.1</v>
      </c>
      <c r="AI119" s="1">
        <v>0</v>
      </c>
      <c r="AJ119" s="1">
        <v>0</v>
      </c>
      <c r="AK119" s="1">
        <v>0</v>
      </c>
      <c r="AL119" s="1">
        <v>1</v>
      </c>
      <c r="AM119" s="1">
        <v>75978</v>
      </c>
      <c r="AN119" s="1">
        <v>39774</v>
      </c>
      <c r="AO119" s="1">
        <v>36205</v>
      </c>
      <c r="AP119" s="1">
        <v>50634</v>
      </c>
      <c r="AQ119" s="1">
        <v>15.472366591781739</v>
      </c>
    </row>
    <row r="120" spans="1:43" x14ac:dyDescent="0.45">
      <c r="A120" s="1">
        <v>119</v>
      </c>
      <c r="B120" s="1">
        <v>128</v>
      </c>
      <c r="C120" s="1">
        <v>88</v>
      </c>
      <c r="D120" s="1" t="s">
        <v>115</v>
      </c>
      <c r="E120" s="1" t="s">
        <v>116</v>
      </c>
      <c r="F120" s="1" t="s">
        <v>117</v>
      </c>
      <c r="G120" s="1" t="s">
        <v>54</v>
      </c>
      <c r="H120" s="1" t="s">
        <v>47</v>
      </c>
      <c r="I120" s="1">
        <v>830</v>
      </c>
      <c r="J120" s="1">
        <v>39746</v>
      </c>
      <c r="K120" s="1">
        <v>1</v>
      </c>
      <c r="L120" s="1">
        <v>87</v>
      </c>
      <c r="M120" s="1">
        <v>1913</v>
      </c>
      <c r="N120" s="1" t="s">
        <v>48</v>
      </c>
      <c r="O120" s="1">
        <v>195261</v>
      </c>
      <c r="P120" s="1">
        <v>93</v>
      </c>
      <c r="Q120" s="1" t="s">
        <v>111</v>
      </c>
      <c r="R120" s="1" t="s">
        <v>50</v>
      </c>
      <c r="S120" s="1">
        <v>0</v>
      </c>
      <c r="T120" s="1">
        <v>0</v>
      </c>
      <c r="U120" s="1">
        <v>153.06899999999999</v>
      </c>
      <c r="V120" s="1">
        <v>21.137</v>
      </c>
      <c r="W120" s="1">
        <v>1.56</v>
      </c>
      <c r="X120" s="1">
        <v>3.6280000000000001</v>
      </c>
      <c r="Y120" s="1">
        <v>24.765999999999998</v>
      </c>
      <c r="Z120" s="1">
        <v>0.106</v>
      </c>
      <c r="AA120" s="1">
        <v>2.4</v>
      </c>
      <c r="AB120" s="1">
        <v>2</v>
      </c>
      <c r="AC120" s="1">
        <v>2</v>
      </c>
      <c r="AD120" s="1">
        <v>3.6280000000000001</v>
      </c>
      <c r="AE120" s="1">
        <v>1.0999999999999999E-2</v>
      </c>
      <c r="AF120" s="1">
        <v>0.05</v>
      </c>
      <c r="AG120" s="1">
        <v>2.4</v>
      </c>
      <c r="AI120" s="1">
        <v>0</v>
      </c>
      <c r="AJ120" s="1">
        <v>0</v>
      </c>
      <c r="AK120" s="1">
        <v>0</v>
      </c>
      <c r="AL120" s="1">
        <v>1</v>
      </c>
      <c r="AM120" s="1">
        <v>76432</v>
      </c>
      <c r="AN120" s="1">
        <v>47270</v>
      </c>
      <c r="AO120" s="1">
        <v>29162</v>
      </c>
      <c r="AP120" s="1">
        <v>50606</v>
      </c>
      <c r="AQ120" s="1">
        <v>15.89005224095512</v>
      </c>
    </row>
    <row r="121" spans="1:43" x14ac:dyDescent="0.45">
      <c r="A121" s="1">
        <v>120</v>
      </c>
      <c r="B121" s="1">
        <v>128</v>
      </c>
      <c r="C121" s="1">
        <v>88</v>
      </c>
      <c r="D121" s="1" t="s">
        <v>115</v>
      </c>
      <c r="E121" s="1" t="s">
        <v>116</v>
      </c>
      <c r="F121" s="1" t="s">
        <v>117</v>
      </c>
      <c r="G121" s="1" t="s">
        <v>54</v>
      </c>
      <c r="H121" s="1" t="s">
        <v>47</v>
      </c>
      <c r="I121" s="1">
        <v>830</v>
      </c>
      <c r="J121" s="1">
        <v>39746</v>
      </c>
      <c r="K121" s="1">
        <v>1</v>
      </c>
      <c r="L121" s="1">
        <v>87</v>
      </c>
      <c r="M121" s="1">
        <v>1914</v>
      </c>
      <c r="N121" s="1" t="s">
        <v>48</v>
      </c>
      <c r="O121" s="1">
        <v>195262</v>
      </c>
      <c r="P121" s="1">
        <v>93</v>
      </c>
      <c r="Q121" s="1" t="s">
        <v>111</v>
      </c>
      <c r="R121" s="1" t="s">
        <v>50</v>
      </c>
      <c r="S121" s="1">
        <v>0</v>
      </c>
      <c r="T121" s="1">
        <v>0</v>
      </c>
      <c r="U121" s="1">
        <v>125.68300000000001</v>
      </c>
      <c r="V121" s="1">
        <v>21.154</v>
      </c>
      <c r="W121" s="1">
        <v>1.55</v>
      </c>
      <c r="X121" s="1">
        <v>3.6120000000000001</v>
      </c>
      <c r="Y121" s="1">
        <v>24.765000000000001</v>
      </c>
      <c r="Z121" s="1">
        <v>0.129</v>
      </c>
      <c r="AA121" s="1">
        <v>2.4</v>
      </c>
      <c r="AB121" s="1">
        <v>2</v>
      </c>
      <c r="AC121" s="1">
        <v>2</v>
      </c>
      <c r="AD121" s="1">
        <v>3.6110000000000002</v>
      </c>
      <c r="AE121" s="1">
        <v>0.01</v>
      </c>
      <c r="AF121" s="1">
        <v>5.1999999999999998E-2</v>
      </c>
      <c r="AG121" s="1">
        <v>2.4</v>
      </c>
      <c r="AI121" s="1">
        <v>0</v>
      </c>
      <c r="AJ121" s="1">
        <v>0</v>
      </c>
      <c r="AK121" s="1">
        <v>0</v>
      </c>
      <c r="AL121" s="1">
        <v>1</v>
      </c>
      <c r="AM121" s="1">
        <v>76187</v>
      </c>
      <c r="AN121" s="1">
        <v>43507</v>
      </c>
      <c r="AO121" s="1">
        <v>32681</v>
      </c>
      <c r="AP121" s="1">
        <v>50614</v>
      </c>
      <c r="AQ121" s="1">
        <v>1.520562052601047</v>
      </c>
    </row>
    <row r="122" spans="1:43" x14ac:dyDescent="0.45">
      <c r="A122" s="1">
        <v>121</v>
      </c>
      <c r="B122" s="1">
        <v>128</v>
      </c>
      <c r="C122" s="1">
        <v>88</v>
      </c>
      <c r="D122" s="1" t="s">
        <v>115</v>
      </c>
      <c r="E122" s="1" t="s">
        <v>116</v>
      </c>
      <c r="F122" s="1" t="s">
        <v>117</v>
      </c>
      <c r="G122" s="1" t="s">
        <v>54</v>
      </c>
      <c r="H122" s="1" t="s">
        <v>47</v>
      </c>
      <c r="I122" s="1">
        <v>830</v>
      </c>
      <c r="J122" s="1">
        <v>39746</v>
      </c>
      <c r="K122" s="1">
        <v>1</v>
      </c>
      <c r="L122" s="1">
        <v>87</v>
      </c>
      <c r="M122" s="1">
        <v>1920</v>
      </c>
      <c r="N122" s="1" t="s">
        <v>48</v>
      </c>
      <c r="O122" s="1">
        <v>195270</v>
      </c>
      <c r="P122" s="1">
        <v>93</v>
      </c>
      <c r="Q122" s="1" t="s">
        <v>111</v>
      </c>
      <c r="R122" s="1" t="s">
        <v>50</v>
      </c>
      <c r="S122" s="1">
        <v>0</v>
      </c>
      <c r="T122" s="1">
        <v>0</v>
      </c>
      <c r="U122" s="1">
        <v>69.132000000000005</v>
      </c>
      <c r="V122" s="1">
        <v>21.013999999999999</v>
      </c>
      <c r="W122" s="1">
        <v>1.58</v>
      </c>
      <c r="X122" s="1">
        <v>3.7509999999999999</v>
      </c>
      <c r="Y122" s="1">
        <v>24.765000000000001</v>
      </c>
      <c r="Z122" s="1">
        <v>8.2000000000000003E-2</v>
      </c>
      <c r="AA122" s="1">
        <v>1.8</v>
      </c>
      <c r="AB122" s="1">
        <v>1.9</v>
      </c>
      <c r="AC122" s="1">
        <v>1.9</v>
      </c>
      <c r="AD122" s="1">
        <v>3.75</v>
      </c>
      <c r="AE122" s="1">
        <v>1.4E-2</v>
      </c>
      <c r="AF122" s="1">
        <v>6.2E-2</v>
      </c>
      <c r="AG122" s="1">
        <v>1.8</v>
      </c>
      <c r="AI122" s="1">
        <v>0</v>
      </c>
      <c r="AJ122" s="1">
        <v>0</v>
      </c>
      <c r="AK122" s="1">
        <v>0</v>
      </c>
      <c r="AL122" s="1">
        <v>1</v>
      </c>
      <c r="AM122" s="1">
        <v>86400</v>
      </c>
      <c r="AN122" s="1">
        <v>73964</v>
      </c>
      <c r="AO122" s="1">
        <v>12436</v>
      </c>
      <c r="AP122" s="1">
        <v>50569</v>
      </c>
      <c r="AQ122" s="1">
        <v>1.392836945343001</v>
      </c>
    </row>
    <row r="123" spans="1:43" x14ac:dyDescent="0.45">
      <c r="A123" s="1">
        <v>122</v>
      </c>
      <c r="B123" s="1">
        <v>128</v>
      </c>
      <c r="C123" s="1">
        <v>88</v>
      </c>
      <c r="D123" s="1" t="s">
        <v>115</v>
      </c>
      <c r="E123" s="1" t="s">
        <v>116</v>
      </c>
      <c r="F123" s="1" t="s">
        <v>117</v>
      </c>
      <c r="G123" s="1" t="s">
        <v>54</v>
      </c>
      <c r="H123" s="1" t="s">
        <v>47</v>
      </c>
      <c r="I123" s="1">
        <v>830</v>
      </c>
      <c r="J123" s="1">
        <v>39746</v>
      </c>
      <c r="K123" s="1">
        <v>1</v>
      </c>
      <c r="L123" s="1">
        <v>87</v>
      </c>
      <c r="M123" s="1">
        <v>1921</v>
      </c>
      <c r="N123" s="1" t="s">
        <v>48</v>
      </c>
      <c r="O123" s="1">
        <v>195271</v>
      </c>
      <c r="P123" s="1">
        <v>93</v>
      </c>
      <c r="Q123" s="1" t="s">
        <v>111</v>
      </c>
      <c r="R123" s="1" t="s">
        <v>50</v>
      </c>
      <c r="S123" s="1">
        <v>0</v>
      </c>
      <c r="T123" s="1">
        <v>0</v>
      </c>
      <c r="U123" s="1">
        <v>153.398</v>
      </c>
      <c r="V123" s="1">
        <v>20.052</v>
      </c>
      <c r="W123" s="1">
        <v>1.72</v>
      </c>
      <c r="X123" s="1">
        <v>4.7130000000000001</v>
      </c>
      <c r="Y123" s="1">
        <v>24.765000000000001</v>
      </c>
      <c r="Z123" s="1">
        <v>5.6000000000000001E-2</v>
      </c>
      <c r="AA123" s="1">
        <v>0.8</v>
      </c>
      <c r="AB123" s="1">
        <v>2.6</v>
      </c>
      <c r="AC123" s="1">
        <v>2.5</v>
      </c>
      <c r="AD123" s="1">
        <v>4.7119999999999997</v>
      </c>
      <c r="AE123" s="1">
        <v>1.2E-2</v>
      </c>
      <c r="AF123" s="1">
        <v>7.3999999999999996E-2</v>
      </c>
      <c r="AI123" s="1">
        <v>0</v>
      </c>
      <c r="AJ123" s="1">
        <v>0</v>
      </c>
      <c r="AK123" s="1">
        <v>0</v>
      </c>
      <c r="AL123" s="1">
        <v>1</v>
      </c>
      <c r="AM123" s="1">
        <v>86400</v>
      </c>
      <c r="AN123" s="1">
        <v>80220</v>
      </c>
      <c r="AO123" s="1">
        <v>6180</v>
      </c>
      <c r="AP123" s="1">
        <v>50656</v>
      </c>
      <c r="AQ123" s="1">
        <v>1.848400219853761</v>
      </c>
    </row>
    <row r="124" spans="1:43" x14ac:dyDescent="0.45">
      <c r="A124" s="1">
        <v>123</v>
      </c>
      <c r="B124" s="1">
        <v>128</v>
      </c>
      <c r="C124" s="1">
        <v>88</v>
      </c>
      <c r="D124" s="1" t="s">
        <v>115</v>
      </c>
      <c r="E124" s="1" t="s">
        <v>116</v>
      </c>
      <c r="F124" s="1" t="s">
        <v>117</v>
      </c>
      <c r="G124" s="1" t="s">
        <v>54</v>
      </c>
      <c r="H124" s="1" t="s">
        <v>47</v>
      </c>
      <c r="I124" s="1">
        <v>830</v>
      </c>
      <c r="J124" s="1">
        <v>39746</v>
      </c>
      <c r="K124" s="1">
        <v>1</v>
      </c>
      <c r="L124" s="1">
        <v>87</v>
      </c>
      <c r="M124" s="1">
        <v>1922</v>
      </c>
      <c r="N124" s="1" t="s">
        <v>48</v>
      </c>
      <c r="O124" s="1">
        <v>195272</v>
      </c>
      <c r="P124" s="1">
        <v>93</v>
      </c>
      <c r="Q124" s="1" t="s">
        <v>111</v>
      </c>
      <c r="R124" s="1" t="s">
        <v>50</v>
      </c>
      <c r="S124" s="1">
        <v>0</v>
      </c>
      <c r="T124" s="1">
        <v>0</v>
      </c>
      <c r="U124" s="1">
        <v>122.854</v>
      </c>
      <c r="V124" s="1">
        <v>20.367000000000001</v>
      </c>
      <c r="W124" s="1">
        <v>1.67</v>
      </c>
      <c r="X124" s="1">
        <v>4.3979999999999997</v>
      </c>
      <c r="Y124" s="1">
        <v>24.765000000000001</v>
      </c>
      <c r="Z124" s="1">
        <v>0.04</v>
      </c>
      <c r="AA124" s="1">
        <v>0.1</v>
      </c>
      <c r="AB124" s="1">
        <v>2.2000000000000002</v>
      </c>
      <c r="AC124" s="1">
        <v>2</v>
      </c>
      <c r="AD124" s="1">
        <v>4.3970000000000002</v>
      </c>
      <c r="AE124" s="1">
        <v>5.0000000000000001E-3</v>
      </c>
      <c r="AF124" s="1">
        <v>3.7999999999999999E-2</v>
      </c>
      <c r="AI124" s="1">
        <v>0</v>
      </c>
      <c r="AJ124" s="1">
        <v>0</v>
      </c>
      <c r="AK124" s="1">
        <v>0</v>
      </c>
      <c r="AL124" s="1">
        <v>1</v>
      </c>
      <c r="AM124" s="1">
        <v>86400</v>
      </c>
      <c r="AN124" s="1">
        <v>78344</v>
      </c>
      <c r="AO124" s="1">
        <v>8056</v>
      </c>
      <c r="AP124" s="1">
        <v>50633</v>
      </c>
      <c r="AQ124" s="1">
        <v>15.112516080123729</v>
      </c>
    </row>
    <row r="125" spans="1:43" x14ac:dyDescent="0.45">
      <c r="A125" s="1">
        <v>124</v>
      </c>
      <c r="B125" s="1">
        <v>128</v>
      </c>
      <c r="C125" s="1">
        <v>88</v>
      </c>
      <c r="D125" s="1" t="s">
        <v>115</v>
      </c>
      <c r="E125" s="1" t="s">
        <v>116</v>
      </c>
      <c r="F125" s="1" t="s">
        <v>117</v>
      </c>
      <c r="G125" s="1" t="s">
        <v>54</v>
      </c>
      <c r="H125" s="1" t="s">
        <v>47</v>
      </c>
      <c r="I125" s="1">
        <v>830</v>
      </c>
      <c r="J125" s="1">
        <v>39746</v>
      </c>
      <c r="K125" s="1">
        <v>1</v>
      </c>
      <c r="L125" s="1">
        <v>87</v>
      </c>
      <c r="M125" s="1">
        <v>1923</v>
      </c>
      <c r="N125" s="1" t="s">
        <v>48</v>
      </c>
      <c r="O125" s="1">
        <v>195273</v>
      </c>
      <c r="P125" s="1">
        <v>93</v>
      </c>
      <c r="Q125" s="1" t="s">
        <v>111</v>
      </c>
      <c r="R125" s="1" t="s">
        <v>50</v>
      </c>
      <c r="S125" s="1">
        <v>0</v>
      </c>
      <c r="T125" s="1">
        <v>0</v>
      </c>
      <c r="U125" s="1">
        <v>85.891000000000005</v>
      </c>
      <c r="V125" s="1">
        <v>19.951000000000001</v>
      </c>
      <c r="W125" s="1">
        <v>1.75</v>
      </c>
      <c r="X125" s="1">
        <v>4.8150000000000004</v>
      </c>
      <c r="Y125" s="1">
        <v>24.765999999999998</v>
      </c>
      <c r="Z125" s="1">
        <v>0.20599999999999999</v>
      </c>
      <c r="AA125" s="1">
        <v>0.4</v>
      </c>
      <c r="AB125" s="1">
        <v>0.4</v>
      </c>
      <c r="AC125" s="1">
        <v>0.5</v>
      </c>
      <c r="AD125" s="1">
        <v>4.8140000000000001</v>
      </c>
      <c r="AE125" s="1">
        <v>4.2999999999999997E-2</v>
      </c>
      <c r="AF125" s="1">
        <v>0.28000000000000003</v>
      </c>
      <c r="AG125" s="1">
        <v>0.4</v>
      </c>
      <c r="AI125" s="1">
        <v>0</v>
      </c>
      <c r="AJ125" s="1">
        <v>0</v>
      </c>
      <c r="AK125" s="1">
        <v>0</v>
      </c>
      <c r="AL125" s="1">
        <v>1</v>
      </c>
      <c r="AM125" s="1">
        <v>86400</v>
      </c>
      <c r="AN125" s="1">
        <v>80938</v>
      </c>
      <c r="AO125" s="1">
        <v>5462</v>
      </c>
      <c r="AP125" s="1">
        <v>50633</v>
      </c>
      <c r="AQ125" s="1">
        <v>1.1430980625257849</v>
      </c>
    </row>
    <row r="126" spans="1:43" x14ac:dyDescent="0.45">
      <c r="A126" s="1">
        <v>125</v>
      </c>
      <c r="B126" s="1">
        <v>128</v>
      </c>
      <c r="C126" s="1">
        <v>88</v>
      </c>
      <c r="D126" s="1" t="s">
        <v>115</v>
      </c>
      <c r="E126" s="1" t="s">
        <v>116</v>
      </c>
      <c r="F126" s="1" t="s">
        <v>117</v>
      </c>
      <c r="G126" s="1" t="s">
        <v>54</v>
      </c>
      <c r="H126" s="1" t="s">
        <v>47</v>
      </c>
      <c r="I126" s="1">
        <v>830</v>
      </c>
      <c r="J126" s="1">
        <v>39746</v>
      </c>
      <c r="K126" s="1">
        <v>1</v>
      </c>
      <c r="L126" s="1">
        <v>87</v>
      </c>
      <c r="M126" s="1">
        <v>1936</v>
      </c>
      <c r="N126" s="1" t="s">
        <v>48</v>
      </c>
      <c r="O126" s="1">
        <v>195302</v>
      </c>
      <c r="P126" s="1">
        <v>93</v>
      </c>
      <c r="Q126" s="1" t="s">
        <v>111</v>
      </c>
      <c r="R126" s="1" t="s">
        <v>50</v>
      </c>
      <c r="S126" s="1">
        <v>0</v>
      </c>
      <c r="T126" s="1">
        <v>0</v>
      </c>
      <c r="U126" s="1">
        <v>78.664000000000001</v>
      </c>
      <c r="V126" s="1">
        <v>21.154</v>
      </c>
      <c r="W126" s="1">
        <v>1.55</v>
      </c>
      <c r="X126" s="1">
        <v>3.6110000000000002</v>
      </c>
      <c r="Y126" s="1">
        <v>24.765000000000001</v>
      </c>
      <c r="Z126" s="1">
        <v>0.23699999999999999</v>
      </c>
      <c r="AA126" s="1">
        <v>2.6</v>
      </c>
      <c r="AB126" s="1">
        <v>2</v>
      </c>
      <c r="AC126" s="1">
        <v>2</v>
      </c>
      <c r="AD126" s="1">
        <v>3.6110000000000002</v>
      </c>
      <c r="AE126" s="1">
        <v>8.9999999999999993E-3</v>
      </c>
      <c r="AF126" s="1">
        <v>5.1999999999999998E-2</v>
      </c>
      <c r="AG126" s="1">
        <v>2.6</v>
      </c>
      <c r="AI126" s="1">
        <v>0</v>
      </c>
      <c r="AJ126" s="1">
        <v>0</v>
      </c>
      <c r="AK126" s="1">
        <v>0</v>
      </c>
      <c r="AL126" s="1">
        <v>1</v>
      </c>
      <c r="AM126" s="1">
        <v>76269</v>
      </c>
      <c r="AN126" s="1">
        <v>46419</v>
      </c>
      <c r="AO126" s="1">
        <v>29850</v>
      </c>
      <c r="AP126" s="1">
        <v>50624</v>
      </c>
      <c r="AQ126" s="1">
        <v>1.1310608105362661</v>
      </c>
    </row>
    <row r="127" spans="1:43" x14ac:dyDescent="0.45">
      <c r="A127" s="1">
        <v>126</v>
      </c>
      <c r="B127" s="1">
        <v>128</v>
      </c>
      <c r="C127" s="1">
        <v>88</v>
      </c>
      <c r="D127" s="1" t="s">
        <v>115</v>
      </c>
      <c r="E127" s="1" t="s">
        <v>116</v>
      </c>
      <c r="F127" s="1" t="s">
        <v>117</v>
      </c>
      <c r="G127" s="1" t="s">
        <v>54</v>
      </c>
      <c r="H127" s="1" t="s">
        <v>47</v>
      </c>
      <c r="I127" s="1">
        <v>830</v>
      </c>
      <c r="J127" s="1">
        <v>39746</v>
      </c>
      <c r="K127" s="1">
        <v>1</v>
      </c>
      <c r="L127" s="1">
        <v>87</v>
      </c>
      <c r="M127" s="1">
        <v>1937</v>
      </c>
      <c r="N127" s="1" t="s">
        <v>48</v>
      </c>
      <c r="O127" s="1">
        <v>195303</v>
      </c>
      <c r="P127" s="1">
        <v>93</v>
      </c>
      <c r="Q127" s="1" t="s">
        <v>111</v>
      </c>
      <c r="R127" s="1" t="s">
        <v>50</v>
      </c>
      <c r="S127" s="1">
        <v>0</v>
      </c>
      <c r="T127" s="1">
        <v>0</v>
      </c>
      <c r="U127" s="1">
        <v>59.354999999999997</v>
      </c>
      <c r="V127" s="1">
        <v>21.082000000000001</v>
      </c>
      <c r="W127" s="1">
        <v>1.56</v>
      </c>
      <c r="X127" s="1">
        <v>3.6829999999999998</v>
      </c>
      <c r="Y127" s="1">
        <v>24.765000000000001</v>
      </c>
      <c r="Z127" s="1">
        <v>8.5999999999999993E-2</v>
      </c>
      <c r="AA127" s="1">
        <v>1.8</v>
      </c>
      <c r="AB127" s="1">
        <v>1.4</v>
      </c>
      <c r="AC127" s="1">
        <v>1.5</v>
      </c>
      <c r="AD127" s="1">
        <v>3.6829999999999998</v>
      </c>
      <c r="AE127" s="1">
        <v>8.0000000000000002E-3</v>
      </c>
      <c r="AF127" s="1">
        <v>4.8000000000000001E-2</v>
      </c>
      <c r="AG127" s="1">
        <v>1.8</v>
      </c>
      <c r="AI127" s="1">
        <v>0</v>
      </c>
      <c r="AJ127" s="1">
        <v>0</v>
      </c>
      <c r="AK127" s="1">
        <v>0</v>
      </c>
      <c r="AL127" s="1">
        <v>1</v>
      </c>
      <c r="AM127" s="1">
        <v>86400</v>
      </c>
      <c r="AN127" s="1">
        <v>80946</v>
      </c>
      <c r="AO127" s="1">
        <v>5454</v>
      </c>
      <c r="AP127" s="1">
        <v>50623</v>
      </c>
      <c r="AQ127" s="1">
        <v>0.78619780940348905</v>
      </c>
    </row>
    <row r="128" spans="1:43" x14ac:dyDescent="0.45">
      <c r="A128" s="1">
        <v>127</v>
      </c>
      <c r="B128" s="1">
        <v>128</v>
      </c>
      <c r="C128" s="1">
        <v>88</v>
      </c>
      <c r="D128" s="1" t="s">
        <v>115</v>
      </c>
      <c r="E128" s="1" t="s">
        <v>116</v>
      </c>
      <c r="F128" s="1" t="s">
        <v>117</v>
      </c>
      <c r="G128" s="1" t="s">
        <v>54</v>
      </c>
      <c r="H128" s="1" t="s">
        <v>47</v>
      </c>
      <c r="I128" s="1">
        <v>830</v>
      </c>
      <c r="J128" s="1">
        <v>39746</v>
      </c>
      <c r="K128" s="1">
        <v>1</v>
      </c>
      <c r="L128" s="1">
        <v>87</v>
      </c>
      <c r="M128" s="1">
        <v>1938</v>
      </c>
      <c r="N128" s="1" t="s">
        <v>48</v>
      </c>
      <c r="O128" s="1">
        <v>195304</v>
      </c>
      <c r="P128" s="1">
        <v>93</v>
      </c>
      <c r="Q128" s="1" t="s">
        <v>111</v>
      </c>
      <c r="R128" s="1" t="s">
        <v>50</v>
      </c>
      <c r="S128" s="1">
        <v>0</v>
      </c>
      <c r="T128" s="1">
        <v>0</v>
      </c>
      <c r="U128" s="1">
        <v>185.06</v>
      </c>
      <c r="V128" s="1">
        <v>21.213999999999999</v>
      </c>
      <c r="W128" s="1">
        <v>1.54</v>
      </c>
      <c r="X128" s="1">
        <v>3.552</v>
      </c>
      <c r="Y128" s="1">
        <v>24.765000000000001</v>
      </c>
      <c r="Z128" s="1">
        <v>0.13900000000000001</v>
      </c>
      <c r="AA128" s="1">
        <v>2.2999999999999998</v>
      </c>
      <c r="AB128" s="1">
        <v>2.1</v>
      </c>
      <c r="AC128" s="1">
        <v>2.1</v>
      </c>
      <c r="AD128" s="1">
        <v>3.552</v>
      </c>
      <c r="AE128" s="1">
        <v>0.01</v>
      </c>
      <c r="AF128" s="1">
        <v>5.0999999999999997E-2</v>
      </c>
      <c r="AG128" s="1">
        <v>2.2999999999999998</v>
      </c>
      <c r="AI128" s="1">
        <v>0</v>
      </c>
      <c r="AJ128" s="1">
        <v>0</v>
      </c>
      <c r="AK128" s="1">
        <v>0</v>
      </c>
      <c r="AL128" s="1">
        <v>1</v>
      </c>
      <c r="AM128" s="1">
        <v>75864</v>
      </c>
      <c r="AN128" s="1">
        <v>38405</v>
      </c>
      <c r="AO128" s="1">
        <v>37459</v>
      </c>
      <c r="AP128" s="1">
        <v>50635</v>
      </c>
      <c r="AQ128" s="1">
        <v>25.54400995282375</v>
      </c>
    </row>
    <row r="129" spans="1:43" x14ac:dyDescent="0.45">
      <c r="A129" s="1">
        <v>128</v>
      </c>
      <c r="B129" s="1">
        <v>128</v>
      </c>
      <c r="C129" s="1">
        <v>88</v>
      </c>
      <c r="D129" s="1" t="s">
        <v>115</v>
      </c>
      <c r="E129" s="1" t="s">
        <v>116</v>
      </c>
      <c r="F129" s="1" t="s">
        <v>117</v>
      </c>
      <c r="G129" s="1" t="s">
        <v>54</v>
      </c>
      <c r="H129" s="1" t="s">
        <v>47</v>
      </c>
      <c r="I129" s="1">
        <v>830</v>
      </c>
      <c r="J129" s="1">
        <v>39746</v>
      </c>
      <c r="K129" s="1">
        <v>1</v>
      </c>
      <c r="L129" s="1">
        <v>87</v>
      </c>
      <c r="M129" s="1">
        <v>1939</v>
      </c>
      <c r="N129" s="1" t="s">
        <v>48</v>
      </c>
      <c r="O129" s="1">
        <v>195308</v>
      </c>
      <c r="P129" s="1">
        <v>93</v>
      </c>
      <c r="Q129" s="1" t="s">
        <v>111</v>
      </c>
      <c r="R129" s="1" t="s">
        <v>50</v>
      </c>
      <c r="S129" s="1">
        <v>0</v>
      </c>
      <c r="T129" s="1">
        <v>0</v>
      </c>
      <c r="U129" s="1">
        <v>95.602999999999994</v>
      </c>
      <c r="V129" s="1">
        <v>21.193000000000001</v>
      </c>
      <c r="W129" s="1">
        <v>1.55</v>
      </c>
      <c r="X129" s="1">
        <v>3.5720000000000001</v>
      </c>
      <c r="Y129" s="1">
        <v>24.765000000000001</v>
      </c>
      <c r="Z129" s="1">
        <v>9.9000000000000005E-2</v>
      </c>
      <c r="AA129" s="1">
        <v>2</v>
      </c>
      <c r="AB129" s="1">
        <v>-1.2</v>
      </c>
      <c r="AC129" s="1">
        <v>-1.2</v>
      </c>
      <c r="AD129" s="1">
        <v>3.5720000000000001</v>
      </c>
      <c r="AE129" s="1">
        <v>5.0000000000000001E-3</v>
      </c>
      <c r="AF129" s="1">
        <v>1.9E-2</v>
      </c>
      <c r="AG129" s="1">
        <v>2</v>
      </c>
      <c r="AI129" s="1">
        <v>0</v>
      </c>
      <c r="AJ129" s="1">
        <v>0</v>
      </c>
      <c r="AK129" s="1">
        <v>0</v>
      </c>
      <c r="AL129" s="1">
        <v>1</v>
      </c>
      <c r="AM129" s="1">
        <v>75961</v>
      </c>
      <c r="AN129" s="1">
        <v>39602</v>
      </c>
      <c r="AO129" s="1">
        <v>36359</v>
      </c>
      <c r="AP129" s="1">
        <v>50611</v>
      </c>
      <c r="AQ129" s="1">
        <v>23.159593782099659</v>
      </c>
    </row>
    <row r="130" spans="1:43" x14ac:dyDescent="0.45">
      <c r="A130" s="1">
        <v>129</v>
      </c>
      <c r="B130" s="1">
        <v>128</v>
      </c>
      <c r="C130" s="1">
        <v>88</v>
      </c>
      <c r="D130" s="1" t="s">
        <v>115</v>
      </c>
      <c r="E130" s="1" t="s">
        <v>116</v>
      </c>
      <c r="F130" s="1" t="s">
        <v>117</v>
      </c>
      <c r="G130" s="1" t="s">
        <v>54</v>
      </c>
      <c r="H130" s="1" t="s">
        <v>47</v>
      </c>
      <c r="I130" s="1">
        <v>830</v>
      </c>
      <c r="J130" s="1">
        <v>39746</v>
      </c>
      <c r="K130" s="1">
        <v>1</v>
      </c>
      <c r="L130" s="1">
        <v>87</v>
      </c>
      <c r="M130" s="1">
        <v>1940</v>
      </c>
      <c r="N130" s="1" t="s">
        <v>48</v>
      </c>
      <c r="O130" s="1">
        <v>195309</v>
      </c>
      <c r="P130" s="1">
        <v>93</v>
      </c>
      <c r="Q130" s="1" t="s">
        <v>111</v>
      </c>
      <c r="R130" s="1" t="s">
        <v>50</v>
      </c>
      <c r="S130" s="1">
        <v>0</v>
      </c>
      <c r="T130" s="1">
        <v>0</v>
      </c>
      <c r="U130" s="1">
        <v>66.171999999999997</v>
      </c>
      <c r="V130" s="1">
        <v>21.103999999999999</v>
      </c>
      <c r="W130" s="1">
        <v>1.56</v>
      </c>
      <c r="X130" s="1">
        <v>3.661</v>
      </c>
      <c r="Y130" s="1">
        <v>24.765000000000001</v>
      </c>
      <c r="Z130" s="1">
        <v>7.2999999999999995E-2</v>
      </c>
      <c r="AA130" s="1">
        <v>2</v>
      </c>
      <c r="AB130" s="1">
        <v>1.3</v>
      </c>
      <c r="AC130" s="1">
        <v>1.4</v>
      </c>
      <c r="AD130" s="1">
        <v>3.661</v>
      </c>
      <c r="AE130" s="1">
        <v>8.0000000000000002E-3</v>
      </c>
      <c r="AF130" s="1">
        <v>4.4999999999999998E-2</v>
      </c>
      <c r="AG130" s="1">
        <v>2</v>
      </c>
      <c r="AI130" s="1">
        <v>0</v>
      </c>
      <c r="AJ130" s="1">
        <v>0</v>
      </c>
      <c r="AK130" s="1">
        <v>0</v>
      </c>
      <c r="AL130" s="1">
        <v>1</v>
      </c>
      <c r="AM130" s="1">
        <v>86400</v>
      </c>
      <c r="AN130" s="1">
        <v>80645</v>
      </c>
      <c r="AO130" s="1">
        <v>5755</v>
      </c>
      <c r="AP130" s="1">
        <v>50595</v>
      </c>
      <c r="AQ130" s="1">
        <v>2.0028434179116399</v>
      </c>
    </row>
    <row r="131" spans="1:43" x14ac:dyDescent="0.45">
      <c r="A131" s="1">
        <v>130</v>
      </c>
      <c r="B131" s="1">
        <v>128</v>
      </c>
      <c r="C131" s="1">
        <v>88</v>
      </c>
      <c r="D131" s="1" t="s">
        <v>115</v>
      </c>
      <c r="E131" s="1" t="s">
        <v>116</v>
      </c>
      <c r="F131" s="1" t="s">
        <v>117</v>
      </c>
      <c r="G131" s="1" t="s">
        <v>54</v>
      </c>
      <c r="H131" s="1" t="s">
        <v>47</v>
      </c>
      <c r="I131" s="1">
        <v>830</v>
      </c>
      <c r="J131" s="1">
        <v>39746</v>
      </c>
      <c r="K131" s="1">
        <v>1</v>
      </c>
      <c r="L131" s="1">
        <v>87</v>
      </c>
      <c r="M131" s="1">
        <v>1945</v>
      </c>
      <c r="N131" s="1" t="s">
        <v>48</v>
      </c>
      <c r="O131" s="1">
        <v>195314</v>
      </c>
      <c r="P131" s="1">
        <v>93</v>
      </c>
      <c r="Q131" s="1" t="s">
        <v>111</v>
      </c>
      <c r="R131" s="1" t="s">
        <v>50</v>
      </c>
      <c r="S131" s="1">
        <v>0</v>
      </c>
      <c r="T131" s="1">
        <v>0</v>
      </c>
      <c r="U131" s="1">
        <v>54.076000000000001</v>
      </c>
      <c r="V131" s="1">
        <v>21.242999999999999</v>
      </c>
      <c r="W131" s="1">
        <v>1.54</v>
      </c>
      <c r="X131" s="1">
        <v>3.5219999999999998</v>
      </c>
      <c r="Y131" s="1">
        <v>24.765000000000001</v>
      </c>
      <c r="Z131" s="1">
        <v>0.122</v>
      </c>
      <c r="AA131" s="1">
        <v>1.9</v>
      </c>
      <c r="AB131" s="1">
        <v>2.7</v>
      </c>
      <c r="AC131" s="1">
        <v>2.7</v>
      </c>
      <c r="AD131" s="1">
        <v>3.5219999999999998</v>
      </c>
      <c r="AE131" s="1">
        <v>8.0000000000000002E-3</v>
      </c>
      <c r="AF131" s="1">
        <v>4.8000000000000001E-2</v>
      </c>
      <c r="AI131" s="1">
        <v>0</v>
      </c>
      <c r="AJ131" s="1">
        <v>0</v>
      </c>
      <c r="AK131" s="1">
        <v>0</v>
      </c>
      <c r="AL131" s="1">
        <v>1</v>
      </c>
      <c r="AM131" s="1">
        <v>75756</v>
      </c>
      <c r="AN131" s="1">
        <v>35617</v>
      </c>
      <c r="AO131" s="1">
        <v>40139</v>
      </c>
      <c r="AP131" s="1">
        <v>50644</v>
      </c>
      <c r="AQ131" s="1">
        <v>2.475593700290871</v>
      </c>
    </row>
    <row r="132" spans="1:43" x14ac:dyDescent="0.45">
      <c r="A132" s="1">
        <v>131</v>
      </c>
      <c r="B132" s="1">
        <v>128</v>
      </c>
      <c r="C132" s="1">
        <v>88</v>
      </c>
      <c r="D132" s="1" t="s">
        <v>115</v>
      </c>
      <c r="E132" s="1" t="s">
        <v>116</v>
      </c>
      <c r="F132" s="1" t="s">
        <v>117</v>
      </c>
      <c r="G132" s="1" t="s">
        <v>54</v>
      </c>
      <c r="H132" s="1" t="s">
        <v>47</v>
      </c>
      <c r="I132" s="1">
        <v>830</v>
      </c>
      <c r="J132" s="1">
        <v>39746</v>
      </c>
      <c r="K132" s="1">
        <v>1</v>
      </c>
      <c r="L132" s="1">
        <v>87</v>
      </c>
      <c r="M132" s="1">
        <v>1946</v>
      </c>
      <c r="N132" s="1" t="s">
        <v>48</v>
      </c>
      <c r="O132" s="1">
        <v>195315</v>
      </c>
      <c r="P132" s="1">
        <v>93</v>
      </c>
      <c r="Q132" s="1" t="s">
        <v>111</v>
      </c>
      <c r="R132" s="1" t="s">
        <v>50</v>
      </c>
      <c r="S132" s="1">
        <v>0</v>
      </c>
      <c r="T132" s="1">
        <v>0</v>
      </c>
      <c r="U132" s="1">
        <v>96.864000000000004</v>
      </c>
      <c r="V132" s="1">
        <v>23.88</v>
      </c>
      <c r="W132" s="1">
        <v>1.1399999999999999</v>
      </c>
      <c r="X132" s="1">
        <v>0.88500000000000001</v>
      </c>
      <c r="Y132" s="1">
        <v>24.765999999999998</v>
      </c>
      <c r="Z132" s="1">
        <v>0.22</v>
      </c>
      <c r="AA132" s="1">
        <v>2.7</v>
      </c>
      <c r="AB132" s="1">
        <v>1.5</v>
      </c>
      <c r="AC132" s="1">
        <v>1.6</v>
      </c>
      <c r="AD132" s="1">
        <v>0.88500000000000001</v>
      </c>
      <c r="AE132" s="1">
        <v>8.0000000000000002E-3</v>
      </c>
      <c r="AF132" s="1">
        <v>5.8999999999999997E-2</v>
      </c>
      <c r="AI132" s="1">
        <v>0</v>
      </c>
      <c r="AJ132" s="1">
        <v>0</v>
      </c>
      <c r="AK132" s="1">
        <v>0</v>
      </c>
      <c r="AL132" s="1">
        <v>1</v>
      </c>
      <c r="AM132" s="1">
        <v>58167</v>
      </c>
      <c r="AN132" s="1">
        <v>9914</v>
      </c>
      <c r="AO132" s="1">
        <v>48254</v>
      </c>
      <c r="AP132" s="1">
        <v>50614</v>
      </c>
      <c r="AQ132" s="1">
        <v>12.865381977203279</v>
      </c>
    </row>
    <row r="133" spans="1:43" x14ac:dyDescent="0.45">
      <c r="A133" s="1">
        <v>132</v>
      </c>
      <c r="B133" s="1">
        <v>128</v>
      </c>
      <c r="C133" s="1">
        <v>88</v>
      </c>
      <c r="D133" s="1" t="s">
        <v>115</v>
      </c>
      <c r="E133" s="1" t="s">
        <v>116</v>
      </c>
      <c r="F133" s="1" t="s">
        <v>117</v>
      </c>
      <c r="G133" s="1" t="s">
        <v>54</v>
      </c>
      <c r="H133" s="1" t="s">
        <v>47</v>
      </c>
      <c r="I133" s="1">
        <v>830</v>
      </c>
      <c r="J133" s="1">
        <v>39746</v>
      </c>
      <c r="K133" s="1">
        <v>1</v>
      </c>
      <c r="L133" s="1">
        <v>87</v>
      </c>
      <c r="M133" s="1">
        <v>1947</v>
      </c>
      <c r="N133" s="1" t="s">
        <v>48</v>
      </c>
      <c r="O133" s="1">
        <v>195316</v>
      </c>
      <c r="P133" s="1">
        <v>93</v>
      </c>
      <c r="Q133" s="1" t="s">
        <v>111</v>
      </c>
      <c r="R133" s="1" t="s">
        <v>50</v>
      </c>
      <c r="S133" s="1">
        <v>0</v>
      </c>
      <c r="T133" s="1">
        <v>0</v>
      </c>
      <c r="U133" s="1">
        <v>75.606999999999999</v>
      </c>
      <c r="V133" s="1">
        <v>22.675999999999998</v>
      </c>
      <c r="W133" s="1">
        <v>1.32</v>
      </c>
      <c r="X133" s="1">
        <v>2.089</v>
      </c>
      <c r="Y133" s="1">
        <v>24.765999999999998</v>
      </c>
      <c r="Z133" s="1">
        <v>0.29699999999999999</v>
      </c>
      <c r="AA133" s="1">
        <v>2.7</v>
      </c>
      <c r="AB133" s="1">
        <v>1.7</v>
      </c>
      <c r="AC133" s="1">
        <v>1.7</v>
      </c>
      <c r="AD133" s="1">
        <v>2.089</v>
      </c>
      <c r="AE133" s="1">
        <v>8.9999999999999993E-3</v>
      </c>
      <c r="AF133" s="1">
        <v>3.5999999999999997E-2</v>
      </c>
      <c r="AI133" s="1">
        <v>0</v>
      </c>
      <c r="AJ133" s="1">
        <v>0</v>
      </c>
      <c r="AK133" s="1">
        <v>0</v>
      </c>
      <c r="AL133" s="1">
        <v>1</v>
      </c>
      <c r="AM133" s="1">
        <v>66232</v>
      </c>
      <c r="AN133" s="1">
        <v>20759</v>
      </c>
      <c r="AO133" s="1">
        <v>45473</v>
      </c>
      <c r="AP133" s="1">
        <v>50609</v>
      </c>
      <c r="AQ133" s="1">
        <v>10.23284716234854</v>
      </c>
    </row>
    <row r="134" spans="1:43" x14ac:dyDescent="0.45">
      <c r="A134" s="1">
        <v>133</v>
      </c>
      <c r="B134" s="1">
        <v>142</v>
      </c>
      <c r="C134" s="1">
        <v>78</v>
      </c>
      <c r="D134" s="1" t="s">
        <v>67</v>
      </c>
      <c r="E134" s="1" t="s">
        <v>68</v>
      </c>
      <c r="F134" s="1" t="s">
        <v>69</v>
      </c>
      <c r="G134" s="1" t="s">
        <v>46</v>
      </c>
      <c r="H134" s="1" t="s">
        <v>47</v>
      </c>
      <c r="I134" s="1">
        <v>1163</v>
      </c>
      <c r="J134" s="1">
        <v>33073</v>
      </c>
      <c r="K134" s="1">
        <v>1</v>
      </c>
      <c r="L134" s="1">
        <v>77</v>
      </c>
      <c r="M134" s="1">
        <v>1848</v>
      </c>
      <c r="N134" s="1" t="s">
        <v>48</v>
      </c>
      <c r="O134" s="1">
        <v>194312</v>
      </c>
      <c r="P134" s="1">
        <v>93</v>
      </c>
      <c r="Q134" s="1" t="s">
        <v>111</v>
      </c>
      <c r="R134" s="1" t="s">
        <v>50</v>
      </c>
      <c r="S134" s="1">
        <v>0</v>
      </c>
      <c r="T134" s="1">
        <v>0</v>
      </c>
      <c r="U134" s="1">
        <v>570.83799999999997</v>
      </c>
      <c r="V134" s="1">
        <v>25.484000000000002</v>
      </c>
      <c r="W134" s="1">
        <v>0.55000000000000004</v>
      </c>
      <c r="X134" s="1">
        <v>0.33300000000000002</v>
      </c>
      <c r="Y134" s="1">
        <v>25.818000000000001</v>
      </c>
      <c r="Z134" s="1">
        <v>0.108</v>
      </c>
      <c r="AA134" s="1">
        <v>-1.6</v>
      </c>
      <c r="AB134" s="1">
        <v>-1.6</v>
      </c>
      <c r="AC134" s="1">
        <v>-1.6</v>
      </c>
      <c r="AD134" s="1">
        <v>0.33300000000000002</v>
      </c>
      <c r="AE134" s="1">
        <v>0.108</v>
      </c>
      <c r="AF134" s="1">
        <v>3.5999999999999997E-2</v>
      </c>
      <c r="AG134" s="1">
        <v>-1.6</v>
      </c>
      <c r="AI134" s="1">
        <v>0</v>
      </c>
      <c r="AJ134" s="1">
        <v>0</v>
      </c>
      <c r="AK134" s="1">
        <v>0</v>
      </c>
      <c r="AL134" s="1">
        <v>1</v>
      </c>
      <c r="AM134" s="1">
        <v>86400</v>
      </c>
      <c r="AN134" s="1">
        <v>79125</v>
      </c>
      <c r="AO134" s="1">
        <v>7275</v>
      </c>
      <c r="AP134" s="1">
        <v>47099</v>
      </c>
      <c r="AQ134" s="1">
        <v>1.131743174433216</v>
      </c>
    </row>
    <row r="135" spans="1:43" x14ac:dyDescent="0.45">
      <c r="A135" s="1">
        <v>134</v>
      </c>
      <c r="B135" s="1">
        <v>142</v>
      </c>
      <c r="C135" s="1">
        <v>78</v>
      </c>
      <c r="D135" s="1" t="s">
        <v>67</v>
      </c>
      <c r="E135" s="1" t="s">
        <v>68</v>
      </c>
      <c r="F135" s="1" t="s">
        <v>69</v>
      </c>
      <c r="G135" s="1" t="s">
        <v>46</v>
      </c>
      <c r="H135" s="1" t="s">
        <v>47</v>
      </c>
      <c r="I135" s="1">
        <v>1163</v>
      </c>
      <c r="J135" s="1">
        <v>33073</v>
      </c>
      <c r="K135" s="1">
        <v>1</v>
      </c>
      <c r="L135" s="1">
        <v>77</v>
      </c>
      <c r="M135" s="1">
        <v>1849</v>
      </c>
      <c r="N135" s="1" t="s">
        <v>48</v>
      </c>
      <c r="O135" s="1">
        <v>194313</v>
      </c>
      <c r="P135" s="1">
        <v>93</v>
      </c>
      <c r="Q135" s="1" t="s">
        <v>111</v>
      </c>
      <c r="R135" s="1" t="s">
        <v>50</v>
      </c>
      <c r="S135" s="1">
        <v>0</v>
      </c>
      <c r="T135" s="1">
        <v>0</v>
      </c>
      <c r="U135" s="1">
        <v>403.28300000000002</v>
      </c>
      <c r="V135" s="1">
        <v>25.466999999999999</v>
      </c>
      <c r="W135" s="1">
        <v>0.56000000000000005</v>
      </c>
      <c r="X135" s="1">
        <v>0.35</v>
      </c>
      <c r="Y135" s="1">
        <v>25.817</v>
      </c>
      <c r="Z135" s="1">
        <v>0.11799999999999999</v>
      </c>
      <c r="AA135" s="1">
        <v>-1.7</v>
      </c>
      <c r="AB135" s="1">
        <v>-1.7</v>
      </c>
      <c r="AC135" s="1">
        <v>-1.7</v>
      </c>
      <c r="AD135" s="1">
        <v>0.35</v>
      </c>
      <c r="AE135" s="1">
        <v>0.113</v>
      </c>
      <c r="AF135" s="1">
        <v>4.1000000000000002E-2</v>
      </c>
      <c r="AG135" s="1">
        <v>-1.7</v>
      </c>
      <c r="AI135" s="1">
        <v>0</v>
      </c>
      <c r="AJ135" s="1">
        <v>0</v>
      </c>
      <c r="AK135" s="1">
        <v>0</v>
      </c>
      <c r="AL135" s="1">
        <v>1</v>
      </c>
      <c r="AM135" s="1">
        <v>86400</v>
      </c>
      <c r="AN135" s="1">
        <v>80146</v>
      </c>
      <c r="AO135" s="1">
        <v>6254</v>
      </c>
      <c r="AP135" s="1">
        <v>47073</v>
      </c>
      <c r="AQ135" s="1">
        <v>27.22208285825711</v>
      </c>
    </row>
    <row r="136" spans="1:43" x14ac:dyDescent="0.45">
      <c r="A136" s="1">
        <v>135</v>
      </c>
      <c r="B136" s="1">
        <v>142</v>
      </c>
      <c r="C136" s="1">
        <v>78</v>
      </c>
      <c r="D136" s="1" t="s">
        <v>67</v>
      </c>
      <c r="E136" s="1" t="s">
        <v>68</v>
      </c>
      <c r="F136" s="1" t="s">
        <v>69</v>
      </c>
      <c r="G136" s="1" t="s">
        <v>46</v>
      </c>
      <c r="H136" s="1" t="s">
        <v>47</v>
      </c>
      <c r="I136" s="1">
        <v>1163</v>
      </c>
      <c r="J136" s="1">
        <v>33073</v>
      </c>
      <c r="K136" s="1">
        <v>1</v>
      </c>
      <c r="L136" s="1">
        <v>77</v>
      </c>
      <c r="M136" s="1">
        <v>1850</v>
      </c>
      <c r="N136" s="1" t="s">
        <v>48</v>
      </c>
      <c r="O136" s="1">
        <v>194321</v>
      </c>
      <c r="P136" s="1">
        <v>93</v>
      </c>
      <c r="Q136" s="1" t="s">
        <v>111</v>
      </c>
      <c r="R136" s="1" t="s">
        <v>50</v>
      </c>
      <c r="S136" s="1">
        <v>0</v>
      </c>
      <c r="T136" s="1">
        <v>0</v>
      </c>
      <c r="U136" s="1">
        <v>430.35700000000003</v>
      </c>
      <c r="V136" s="1">
        <v>25.529</v>
      </c>
      <c r="W136" s="1">
        <v>0.55000000000000004</v>
      </c>
      <c r="X136" s="1">
        <v>0.27600000000000002</v>
      </c>
      <c r="Y136" s="1">
        <v>25.805</v>
      </c>
      <c r="Z136" s="1">
        <v>0.14000000000000001</v>
      </c>
      <c r="AA136" s="1">
        <v>-0.8</v>
      </c>
      <c r="AB136" s="1">
        <v>-0.8</v>
      </c>
      <c r="AC136" s="1">
        <v>-0.8</v>
      </c>
      <c r="AD136" s="1">
        <v>0.27600000000000002</v>
      </c>
      <c r="AE136" s="1">
        <v>0.13900000000000001</v>
      </c>
      <c r="AF136" s="1">
        <v>3.7999999999999999E-2</v>
      </c>
      <c r="AG136" s="1">
        <v>-0.8</v>
      </c>
      <c r="AI136" s="1">
        <v>0</v>
      </c>
      <c r="AJ136" s="1">
        <v>0</v>
      </c>
      <c r="AK136" s="1">
        <v>0</v>
      </c>
      <c r="AL136" s="1">
        <v>1</v>
      </c>
      <c r="AM136" s="1">
        <v>86400</v>
      </c>
      <c r="AN136" s="1">
        <v>78427</v>
      </c>
      <c r="AO136" s="1">
        <v>7973</v>
      </c>
      <c r="AP136" s="1">
        <v>46902</v>
      </c>
      <c r="AQ136" s="1">
        <v>0.81082726490215773</v>
      </c>
    </row>
    <row r="137" spans="1:43" x14ac:dyDescent="0.45">
      <c r="A137" s="1">
        <v>136</v>
      </c>
      <c r="B137" s="1">
        <v>142</v>
      </c>
      <c r="C137" s="1">
        <v>78</v>
      </c>
      <c r="D137" s="1" t="s">
        <v>67</v>
      </c>
      <c r="E137" s="1" t="s">
        <v>68</v>
      </c>
      <c r="F137" s="1" t="s">
        <v>69</v>
      </c>
      <c r="G137" s="1" t="s">
        <v>46</v>
      </c>
      <c r="H137" s="1" t="s">
        <v>47</v>
      </c>
      <c r="I137" s="1">
        <v>1163</v>
      </c>
      <c r="J137" s="1">
        <v>33073</v>
      </c>
      <c r="K137" s="1">
        <v>1</v>
      </c>
      <c r="L137" s="1">
        <v>77</v>
      </c>
      <c r="M137" s="1">
        <v>1851</v>
      </c>
      <c r="N137" s="1" t="s">
        <v>48</v>
      </c>
      <c r="O137" s="1">
        <v>194325</v>
      </c>
      <c r="P137" s="1">
        <v>93</v>
      </c>
      <c r="Q137" s="1" t="s">
        <v>111</v>
      </c>
      <c r="R137" s="1" t="s">
        <v>50</v>
      </c>
      <c r="S137" s="1">
        <v>0</v>
      </c>
      <c r="T137" s="1">
        <v>0</v>
      </c>
      <c r="U137" s="1">
        <v>137.80099999999999</v>
      </c>
      <c r="V137" s="1">
        <v>25.645</v>
      </c>
      <c r="W137" s="1">
        <v>0.53</v>
      </c>
      <c r="X137" s="1">
        <v>0.159</v>
      </c>
      <c r="Y137" s="1">
        <v>25.803999999999998</v>
      </c>
      <c r="Z137" s="1">
        <v>0.24199999999999999</v>
      </c>
      <c r="AA137" s="1">
        <v>-0.5</v>
      </c>
      <c r="AB137" s="1">
        <v>-0.4</v>
      </c>
      <c r="AC137" s="1">
        <v>-0.4</v>
      </c>
      <c r="AD137" s="1">
        <v>0.159</v>
      </c>
      <c r="AE137" s="1">
        <v>0.23799999999999999</v>
      </c>
      <c r="AF137" s="1">
        <v>3.7999999999999999E-2</v>
      </c>
      <c r="AG137" s="1">
        <v>-0.5</v>
      </c>
      <c r="AI137" s="1">
        <v>0</v>
      </c>
      <c r="AJ137" s="1">
        <v>0</v>
      </c>
      <c r="AK137" s="1">
        <v>0</v>
      </c>
      <c r="AL137" s="1">
        <v>1</v>
      </c>
      <c r="AM137" s="1">
        <v>64972</v>
      </c>
      <c r="AN137" s="1">
        <v>32534</v>
      </c>
      <c r="AO137" s="1">
        <v>32438</v>
      </c>
      <c r="AP137" s="1">
        <v>47302</v>
      </c>
      <c r="AQ137" s="1">
        <v>0.71025518424474854</v>
      </c>
    </row>
    <row r="138" spans="1:43" x14ac:dyDescent="0.45">
      <c r="A138" s="1">
        <v>137</v>
      </c>
      <c r="B138" s="1">
        <v>142</v>
      </c>
      <c r="C138" s="1">
        <v>78</v>
      </c>
      <c r="D138" s="1" t="s">
        <v>67</v>
      </c>
      <c r="E138" s="1" t="s">
        <v>68</v>
      </c>
      <c r="F138" s="1" t="s">
        <v>69</v>
      </c>
      <c r="G138" s="1" t="s">
        <v>46</v>
      </c>
      <c r="H138" s="1" t="s">
        <v>47</v>
      </c>
      <c r="I138" s="1">
        <v>1163</v>
      </c>
      <c r="J138" s="1">
        <v>33073</v>
      </c>
      <c r="K138" s="1">
        <v>1</v>
      </c>
      <c r="L138" s="1">
        <v>77</v>
      </c>
      <c r="M138" s="1">
        <v>1852</v>
      </c>
      <c r="N138" s="1" t="s">
        <v>48</v>
      </c>
      <c r="O138" s="1">
        <v>194520</v>
      </c>
      <c r="P138" s="1">
        <v>93</v>
      </c>
      <c r="Q138" s="1" t="s">
        <v>111</v>
      </c>
      <c r="R138" s="1" t="s">
        <v>50</v>
      </c>
      <c r="S138" s="1">
        <v>0</v>
      </c>
      <c r="T138" s="1">
        <v>0</v>
      </c>
      <c r="U138" s="1">
        <v>414.14699999999999</v>
      </c>
      <c r="V138" s="1">
        <v>25.219000000000001</v>
      </c>
      <c r="W138" s="1">
        <v>0.52</v>
      </c>
      <c r="X138" s="1">
        <v>0.11700000000000001</v>
      </c>
      <c r="Y138" s="1">
        <v>25.335999999999999</v>
      </c>
      <c r="Z138" s="1">
        <v>0.155</v>
      </c>
      <c r="AA138" s="1">
        <v>2.2000000000000002</v>
      </c>
      <c r="AB138" s="1">
        <v>2.1</v>
      </c>
      <c r="AC138" s="1">
        <v>2.1</v>
      </c>
      <c r="AD138" s="1">
        <v>0.11700000000000001</v>
      </c>
      <c r="AE138" s="1">
        <v>0.152</v>
      </c>
      <c r="AF138" s="1">
        <v>1.7999999999999999E-2</v>
      </c>
      <c r="AG138" s="1">
        <v>2.2000000000000002</v>
      </c>
      <c r="AI138" s="1">
        <v>0</v>
      </c>
      <c r="AJ138" s="1">
        <v>0</v>
      </c>
      <c r="AK138" s="1">
        <v>0</v>
      </c>
      <c r="AL138" s="1">
        <v>1</v>
      </c>
      <c r="AM138" s="1">
        <v>50803</v>
      </c>
      <c r="AN138" s="1">
        <v>7372</v>
      </c>
      <c r="AO138" s="1">
        <v>43430</v>
      </c>
      <c r="AP138" s="1">
        <v>50398</v>
      </c>
      <c r="AQ138" s="1">
        <v>1.3587106949051591</v>
      </c>
    </row>
    <row r="139" spans="1:43" x14ac:dyDescent="0.45">
      <c r="A139" s="1">
        <v>138</v>
      </c>
      <c r="B139" s="1">
        <v>142</v>
      </c>
      <c r="C139" s="1">
        <v>78</v>
      </c>
      <c r="D139" s="1" t="s">
        <v>67</v>
      </c>
      <c r="E139" s="1" t="s">
        <v>68</v>
      </c>
      <c r="F139" s="1" t="s">
        <v>69</v>
      </c>
      <c r="G139" s="1" t="s">
        <v>46</v>
      </c>
      <c r="H139" s="1" t="s">
        <v>47</v>
      </c>
      <c r="I139" s="1">
        <v>1163</v>
      </c>
      <c r="J139" s="1">
        <v>33073</v>
      </c>
      <c r="K139" s="1">
        <v>1</v>
      </c>
      <c r="L139" s="1">
        <v>77</v>
      </c>
      <c r="M139" s="1">
        <v>1855</v>
      </c>
      <c r="N139" s="1" t="s">
        <v>48</v>
      </c>
      <c r="O139" s="1">
        <v>194540</v>
      </c>
      <c r="P139" s="1">
        <v>93</v>
      </c>
      <c r="Q139" s="1" t="s">
        <v>111</v>
      </c>
      <c r="R139" s="1" t="s">
        <v>50</v>
      </c>
      <c r="S139" s="1">
        <v>0</v>
      </c>
      <c r="T139" s="1">
        <v>0</v>
      </c>
      <c r="U139" s="1">
        <v>880.29600000000005</v>
      </c>
      <c r="V139" s="1">
        <v>25.163</v>
      </c>
      <c r="W139" s="1">
        <v>0.53</v>
      </c>
      <c r="X139" s="1">
        <v>0.16400000000000001</v>
      </c>
      <c r="Y139" s="1">
        <v>25.327000000000002</v>
      </c>
      <c r="Z139" s="1">
        <v>0.14199999999999999</v>
      </c>
      <c r="AA139" s="1">
        <v>0.4</v>
      </c>
      <c r="AB139" s="1">
        <v>0.5</v>
      </c>
      <c r="AC139" s="1">
        <v>0.5</v>
      </c>
      <c r="AD139" s="1">
        <v>0.16400000000000001</v>
      </c>
      <c r="AE139" s="1">
        <v>0.13500000000000001</v>
      </c>
      <c r="AF139" s="1">
        <v>2.1999999999999999E-2</v>
      </c>
      <c r="AG139" s="1">
        <v>0.4</v>
      </c>
      <c r="AI139" s="1">
        <v>0</v>
      </c>
      <c r="AJ139" s="1">
        <v>0</v>
      </c>
      <c r="AK139" s="1">
        <v>0</v>
      </c>
      <c r="AL139" s="1">
        <v>1</v>
      </c>
      <c r="AM139" s="1">
        <v>50933</v>
      </c>
      <c r="AN139" s="1">
        <v>7439</v>
      </c>
      <c r="AO139" s="1">
        <v>43495</v>
      </c>
      <c r="AP139" s="1">
        <v>50318</v>
      </c>
      <c r="AQ139" s="1">
        <v>0.30473785546464988</v>
      </c>
    </row>
    <row r="140" spans="1:43" x14ac:dyDescent="0.45">
      <c r="A140" s="1">
        <v>139</v>
      </c>
      <c r="B140" s="1">
        <v>142</v>
      </c>
      <c r="C140" s="1">
        <v>78</v>
      </c>
      <c r="D140" s="1" t="s">
        <v>67</v>
      </c>
      <c r="E140" s="1" t="s">
        <v>68</v>
      </c>
      <c r="F140" s="1" t="s">
        <v>69</v>
      </c>
      <c r="G140" s="1" t="s">
        <v>46</v>
      </c>
      <c r="H140" s="1" t="s">
        <v>47</v>
      </c>
      <c r="I140" s="1">
        <v>1163</v>
      </c>
      <c r="J140" s="1">
        <v>33073</v>
      </c>
      <c r="K140" s="1">
        <v>1</v>
      </c>
      <c r="L140" s="1">
        <v>77</v>
      </c>
      <c r="M140" s="1">
        <v>1856</v>
      </c>
      <c r="N140" s="1" t="s">
        <v>48</v>
      </c>
      <c r="O140" s="1">
        <v>194541</v>
      </c>
      <c r="P140" s="1">
        <v>93</v>
      </c>
      <c r="Q140" s="1" t="s">
        <v>111</v>
      </c>
      <c r="R140" s="1" t="s">
        <v>50</v>
      </c>
      <c r="S140" s="1">
        <v>0</v>
      </c>
      <c r="T140" s="1">
        <v>0</v>
      </c>
      <c r="U140" s="1">
        <v>444.91399999999999</v>
      </c>
      <c r="V140" s="1">
        <v>25.006</v>
      </c>
      <c r="W140" s="1">
        <v>0.55000000000000004</v>
      </c>
      <c r="X140" s="1">
        <v>0.32300000000000001</v>
      </c>
      <c r="Y140" s="1">
        <v>25.329000000000001</v>
      </c>
      <c r="Z140" s="1">
        <v>0.16900000000000001</v>
      </c>
      <c r="AA140" s="1">
        <v>0.6</v>
      </c>
      <c r="AB140" s="1">
        <v>-0.1</v>
      </c>
      <c r="AC140" s="1">
        <v>-0.1</v>
      </c>
      <c r="AD140" s="1">
        <v>0.32300000000000001</v>
      </c>
      <c r="AE140" s="1">
        <v>0.111</v>
      </c>
      <c r="AF140" s="1">
        <v>3.6999999999999998E-2</v>
      </c>
      <c r="AG140" s="1">
        <v>0.6</v>
      </c>
      <c r="AI140" s="1">
        <v>0</v>
      </c>
      <c r="AJ140" s="1">
        <v>0</v>
      </c>
      <c r="AK140" s="1">
        <v>0</v>
      </c>
      <c r="AL140" s="1">
        <v>1</v>
      </c>
      <c r="AM140" s="1">
        <v>86400</v>
      </c>
      <c r="AN140" s="1">
        <v>77560</v>
      </c>
      <c r="AO140" s="1">
        <v>8840</v>
      </c>
      <c r="AP140" s="1">
        <v>50408</v>
      </c>
      <c r="AQ140" s="1">
        <v>26.147441836754549</v>
      </c>
    </row>
    <row r="141" spans="1:43" x14ac:dyDescent="0.45">
      <c r="A141" s="1">
        <v>140</v>
      </c>
      <c r="B141" s="1">
        <v>142</v>
      </c>
      <c r="C141" s="1">
        <v>78</v>
      </c>
      <c r="D141" s="1" t="s">
        <v>67</v>
      </c>
      <c r="E141" s="1" t="s">
        <v>68</v>
      </c>
      <c r="F141" s="1" t="s">
        <v>69</v>
      </c>
      <c r="G141" s="1" t="s">
        <v>46</v>
      </c>
      <c r="H141" s="1" t="s">
        <v>47</v>
      </c>
      <c r="I141" s="1">
        <v>1163</v>
      </c>
      <c r="J141" s="1">
        <v>33073</v>
      </c>
      <c r="K141" s="1">
        <v>1</v>
      </c>
      <c r="L141" s="1">
        <v>77</v>
      </c>
      <c r="M141" s="1">
        <v>1857</v>
      </c>
      <c r="N141" s="1" t="s">
        <v>48</v>
      </c>
      <c r="O141" s="1">
        <v>194543</v>
      </c>
      <c r="P141" s="1">
        <v>93</v>
      </c>
      <c r="Q141" s="1" t="s">
        <v>111</v>
      </c>
      <c r="R141" s="1" t="s">
        <v>50</v>
      </c>
      <c r="S141" s="1">
        <v>0</v>
      </c>
      <c r="T141" s="1">
        <v>0</v>
      </c>
      <c r="U141" s="1">
        <v>99.31</v>
      </c>
      <c r="V141" s="1">
        <v>24.934000000000001</v>
      </c>
      <c r="W141" s="1">
        <v>0.56000000000000005</v>
      </c>
      <c r="X141" s="1">
        <v>0.39500000000000002</v>
      </c>
      <c r="Y141" s="1">
        <v>25.329000000000001</v>
      </c>
      <c r="Z141" s="1">
        <v>0.123</v>
      </c>
      <c r="AA141" s="1">
        <v>0.5</v>
      </c>
      <c r="AB141" s="1">
        <v>0.5</v>
      </c>
      <c r="AC141" s="1">
        <v>0.5</v>
      </c>
      <c r="AD141" s="1">
        <v>0.39500000000000002</v>
      </c>
      <c r="AE141" s="1">
        <v>8.1000000000000003E-2</v>
      </c>
      <c r="AF141" s="1">
        <v>3.5999999999999997E-2</v>
      </c>
      <c r="AG141" s="1">
        <v>0.5</v>
      </c>
      <c r="AI141" s="1">
        <v>0</v>
      </c>
      <c r="AJ141" s="1">
        <v>0</v>
      </c>
      <c r="AK141" s="1">
        <v>0</v>
      </c>
      <c r="AL141" s="1">
        <v>1</v>
      </c>
      <c r="AM141" s="1">
        <v>86400</v>
      </c>
      <c r="AN141" s="1">
        <v>79644</v>
      </c>
      <c r="AO141" s="1">
        <v>6756</v>
      </c>
      <c r="AP141" s="1">
        <v>50238</v>
      </c>
      <c r="AQ141" s="1">
        <v>9.402992152571759</v>
      </c>
    </row>
    <row r="142" spans="1:43" x14ac:dyDescent="0.45">
      <c r="A142" s="1">
        <v>141</v>
      </c>
      <c r="B142" s="1">
        <v>142</v>
      </c>
      <c r="C142" s="1">
        <v>78</v>
      </c>
      <c r="D142" s="1" t="s">
        <v>67</v>
      </c>
      <c r="E142" s="1" t="s">
        <v>68</v>
      </c>
      <c r="F142" s="1" t="s">
        <v>69</v>
      </c>
      <c r="G142" s="1" t="s">
        <v>46</v>
      </c>
      <c r="H142" s="1" t="s">
        <v>47</v>
      </c>
      <c r="I142" s="1">
        <v>1163</v>
      </c>
      <c r="J142" s="1">
        <v>33073</v>
      </c>
      <c r="K142" s="1">
        <v>1</v>
      </c>
      <c r="L142" s="1">
        <v>77</v>
      </c>
      <c r="M142" s="1">
        <v>1858</v>
      </c>
      <c r="N142" s="1" t="s">
        <v>48</v>
      </c>
      <c r="O142" s="1">
        <v>194544</v>
      </c>
      <c r="P142" s="1">
        <v>93</v>
      </c>
      <c r="Q142" s="1" t="s">
        <v>111</v>
      </c>
      <c r="R142" s="1" t="s">
        <v>50</v>
      </c>
      <c r="S142" s="1">
        <v>0</v>
      </c>
      <c r="T142" s="1">
        <v>0</v>
      </c>
      <c r="U142" s="1">
        <v>98.995000000000005</v>
      </c>
      <c r="V142" s="1">
        <v>24.971</v>
      </c>
      <c r="W142" s="1">
        <v>0.56000000000000005</v>
      </c>
      <c r="X142" s="1">
        <v>0.35799999999999998</v>
      </c>
      <c r="Y142" s="1">
        <v>25.329000000000001</v>
      </c>
      <c r="Z142" s="1">
        <v>0.11700000000000001</v>
      </c>
      <c r="AA142" s="1">
        <v>0.2</v>
      </c>
      <c r="AB142" s="1">
        <v>0.2</v>
      </c>
      <c r="AC142" s="1">
        <v>0.2</v>
      </c>
      <c r="AD142" s="1">
        <v>0.35799999999999998</v>
      </c>
      <c r="AE142" s="1">
        <v>7.6999999999999999E-2</v>
      </c>
      <c r="AF142" s="1">
        <v>0.03</v>
      </c>
      <c r="AG142" s="1">
        <v>0.2</v>
      </c>
      <c r="AI142" s="1">
        <v>0</v>
      </c>
      <c r="AJ142" s="1">
        <v>0</v>
      </c>
      <c r="AK142" s="1">
        <v>0</v>
      </c>
      <c r="AL142" s="1">
        <v>1</v>
      </c>
      <c r="AM142" s="1">
        <v>86400</v>
      </c>
      <c r="AN142" s="1">
        <v>78801</v>
      </c>
      <c r="AO142" s="1">
        <v>7599</v>
      </c>
      <c r="AP142" s="1">
        <v>50286</v>
      </c>
      <c r="AQ142" s="1">
        <v>17.426884546178929</v>
      </c>
    </row>
    <row r="143" spans="1:43" x14ac:dyDescent="0.45">
      <c r="A143" s="1">
        <v>142</v>
      </c>
      <c r="B143" s="1">
        <v>142</v>
      </c>
      <c r="C143" s="1">
        <v>78</v>
      </c>
      <c r="D143" s="1" t="s">
        <v>67</v>
      </c>
      <c r="E143" s="1" t="s">
        <v>68</v>
      </c>
      <c r="F143" s="1" t="s">
        <v>69</v>
      </c>
      <c r="G143" s="1" t="s">
        <v>46</v>
      </c>
      <c r="H143" s="1" t="s">
        <v>47</v>
      </c>
      <c r="I143" s="1">
        <v>1163</v>
      </c>
      <c r="J143" s="1">
        <v>33073</v>
      </c>
      <c r="K143" s="1">
        <v>1</v>
      </c>
      <c r="L143" s="1">
        <v>77</v>
      </c>
      <c r="M143" s="1">
        <v>1859</v>
      </c>
      <c r="N143" s="1" t="s">
        <v>48</v>
      </c>
      <c r="O143" s="1">
        <v>194545</v>
      </c>
      <c r="P143" s="1">
        <v>93</v>
      </c>
      <c r="Q143" s="1" t="s">
        <v>111</v>
      </c>
      <c r="R143" s="1" t="s">
        <v>50</v>
      </c>
      <c r="S143" s="1">
        <v>0</v>
      </c>
      <c r="T143" s="1">
        <v>0</v>
      </c>
      <c r="U143" s="1">
        <v>108.714</v>
      </c>
      <c r="V143" s="1">
        <v>24.908000000000001</v>
      </c>
      <c r="W143" s="1">
        <v>0.56999999999999995</v>
      </c>
      <c r="X143" s="1">
        <v>0.42099999999999999</v>
      </c>
      <c r="Y143" s="1">
        <v>25.329000000000001</v>
      </c>
      <c r="Z143" s="1">
        <v>7.2999999999999995E-2</v>
      </c>
      <c r="AA143" s="1">
        <v>1</v>
      </c>
      <c r="AB143" s="1">
        <v>1</v>
      </c>
      <c r="AC143" s="1">
        <v>1</v>
      </c>
      <c r="AD143" s="1">
        <v>0.42099999999999999</v>
      </c>
      <c r="AE143" s="1">
        <v>4.9000000000000002E-2</v>
      </c>
      <c r="AF143" s="1">
        <v>2.3E-2</v>
      </c>
      <c r="AG143" s="1">
        <v>1</v>
      </c>
      <c r="AI143" s="1">
        <v>0</v>
      </c>
      <c r="AJ143" s="1">
        <v>0</v>
      </c>
      <c r="AK143" s="1">
        <v>0</v>
      </c>
      <c r="AL143" s="1">
        <v>1</v>
      </c>
      <c r="AM143" s="1">
        <v>86400</v>
      </c>
      <c r="AN143" s="1">
        <v>80187</v>
      </c>
      <c r="AO143" s="1">
        <v>6213</v>
      </c>
      <c r="AP143" s="1">
        <v>50266</v>
      </c>
      <c r="AQ143" s="1">
        <v>1.659668804184055</v>
      </c>
    </row>
    <row r="144" spans="1:43" x14ac:dyDescent="0.45">
      <c r="A144" s="1">
        <v>143</v>
      </c>
      <c r="B144" s="1">
        <v>142</v>
      </c>
      <c r="C144" s="1">
        <v>78</v>
      </c>
      <c r="D144" s="1" t="s">
        <v>67</v>
      </c>
      <c r="E144" s="1" t="s">
        <v>68</v>
      </c>
      <c r="F144" s="1" t="s">
        <v>69</v>
      </c>
      <c r="G144" s="1" t="s">
        <v>46</v>
      </c>
      <c r="H144" s="1" t="s">
        <v>47</v>
      </c>
      <c r="I144" s="1">
        <v>1163</v>
      </c>
      <c r="J144" s="1">
        <v>33073</v>
      </c>
      <c r="K144" s="1">
        <v>1</v>
      </c>
      <c r="L144" s="1">
        <v>77</v>
      </c>
      <c r="M144" s="1">
        <v>1860</v>
      </c>
      <c r="N144" s="1" t="s">
        <v>48</v>
      </c>
      <c r="O144" s="1">
        <v>194546</v>
      </c>
      <c r="P144" s="1">
        <v>93</v>
      </c>
      <c r="Q144" s="1" t="s">
        <v>111</v>
      </c>
      <c r="R144" s="1" t="s">
        <v>50</v>
      </c>
      <c r="S144" s="1">
        <v>0</v>
      </c>
      <c r="T144" s="1">
        <v>0</v>
      </c>
      <c r="U144" s="1">
        <v>327.06</v>
      </c>
      <c r="V144" s="1">
        <v>24.867999999999999</v>
      </c>
      <c r="W144" s="1">
        <v>0.56999999999999995</v>
      </c>
      <c r="X144" s="1">
        <v>0.46200000000000002</v>
      </c>
      <c r="Y144" s="1">
        <v>25.33</v>
      </c>
      <c r="Z144" s="1">
        <v>0.13600000000000001</v>
      </c>
      <c r="AA144" s="1">
        <v>0.2</v>
      </c>
      <c r="AB144" s="1">
        <v>0.3</v>
      </c>
      <c r="AC144" s="1">
        <v>0.3</v>
      </c>
      <c r="AD144" s="1">
        <v>0.46200000000000002</v>
      </c>
      <c r="AE144" s="1">
        <v>9.5000000000000001E-2</v>
      </c>
      <c r="AF144" s="1">
        <v>4.8000000000000001E-2</v>
      </c>
      <c r="AG144" s="1">
        <v>0.2</v>
      </c>
      <c r="AI144" s="1">
        <v>0</v>
      </c>
      <c r="AJ144" s="1">
        <v>0</v>
      </c>
      <c r="AK144" s="1">
        <v>0</v>
      </c>
      <c r="AL144" s="1">
        <v>1</v>
      </c>
      <c r="AM144" s="1">
        <v>86400</v>
      </c>
      <c r="AN144" s="1">
        <v>81089</v>
      </c>
      <c r="AO144" s="1">
        <v>5311</v>
      </c>
      <c r="AP144" s="1">
        <v>50348</v>
      </c>
      <c r="AQ144" s="1">
        <v>0.62107041281627839</v>
      </c>
    </row>
    <row r="145" spans="1:43" x14ac:dyDescent="0.45">
      <c r="A145" s="1">
        <v>144</v>
      </c>
      <c r="B145" s="1">
        <v>142</v>
      </c>
      <c r="C145" s="1">
        <v>78</v>
      </c>
      <c r="D145" s="1" t="s">
        <v>67</v>
      </c>
      <c r="E145" s="1" t="s">
        <v>68</v>
      </c>
      <c r="F145" s="1" t="s">
        <v>69</v>
      </c>
      <c r="G145" s="1" t="s">
        <v>46</v>
      </c>
      <c r="H145" s="1" t="s">
        <v>47</v>
      </c>
      <c r="I145" s="1">
        <v>1163</v>
      </c>
      <c r="J145" s="1">
        <v>33073</v>
      </c>
      <c r="K145" s="1">
        <v>1</v>
      </c>
      <c r="L145" s="1">
        <v>77</v>
      </c>
      <c r="M145" s="1">
        <v>1861</v>
      </c>
      <c r="N145" s="1" t="s">
        <v>48</v>
      </c>
      <c r="O145" s="1">
        <v>194547</v>
      </c>
      <c r="P145" s="1">
        <v>93</v>
      </c>
      <c r="Q145" s="1" t="s">
        <v>111</v>
      </c>
      <c r="R145" s="1" t="s">
        <v>50</v>
      </c>
      <c r="S145" s="1">
        <v>0</v>
      </c>
      <c r="T145" s="1">
        <v>0</v>
      </c>
      <c r="U145" s="1">
        <v>353.36399999999998</v>
      </c>
      <c r="V145" s="1">
        <v>25.148</v>
      </c>
      <c r="W145" s="1">
        <v>0.53</v>
      </c>
      <c r="X145" s="1">
        <v>0.184</v>
      </c>
      <c r="Y145" s="1">
        <v>25.332000000000001</v>
      </c>
      <c r="Z145" s="1">
        <v>0.19900000000000001</v>
      </c>
      <c r="AA145" s="1">
        <v>2.2999999999999998</v>
      </c>
      <c r="AB145" s="1">
        <v>2.2000000000000002</v>
      </c>
      <c r="AC145" s="1">
        <v>2.2000000000000002</v>
      </c>
      <c r="AD145" s="1">
        <v>0.184</v>
      </c>
      <c r="AE145" s="1">
        <v>0.14299999999999999</v>
      </c>
      <c r="AF145" s="1">
        <v>2.7E-2</v>
      </c>
      <c r="AG145" s="1">
        <v>2.2999999999999998</v>
      </c>
      <c r="AI145" s="1">
        <v>0</v>
      </c>
      <c r="AJ145" s="1">
        <v>0</v>
      </c>
      <c r="AK145" s="1">
        <v>0</v>
      </c>
      <c r="AL145" s="1">
        <v>1</v>
      </c>
      <c r="AM145" s="1">
        <v>51097</v>
      </c>
      <c r="AN145" s="1">
        <v>7809</v>
      </c>
      <c r="AO145" s="1">
        <v>43288</v>
      </c>
      <c r="AP145" s="1">
        <v>50296</v>
      </c>
      <c r="AQ145" s="1">
        <v>23.041712715813588</v>
      </c>
    </row>
    <row r="146" spans="1:43" x14ac:dyDescent="0.45">
      <c r="A146" s="1">
        <v>145</v>
      </c>
      <c r="B146" s="1">
        <v>142</v>
      </c>
      <c r="C146" s="1">
        <v>78</v>
      </c>
      <c r="D146" s="1" t="s">
        <v>67</v>
      </c>
      <c r="E146" s="1" t="s">
        <v>68</v>
      </c>
      <c r="F146" s="1" t="s">
        <v>69</v>
      </c>
      <c r="G146" s="1" t="s">
        <v>46</v>
      </c>
      <c r="H146" s="1" t="s">
        <v>47</v>
      </c>
      <c r="I146" s="1">
        <v>1163</v>
      </c>
      <c r="J146" s="1">
        <v>33073</v>
      </c>
      <c r="K146" s="1">
        <v>1</v>
      </c>
      <c r="L146" s="1">
        <v>77</v>
      </c>
      <c r="M146" s="1">
        <v>1862</v>
      </c>
      <c r="N146" s="1" t="s">
        <v>48</v>
      </c>
      <c r="O146" s="1">
        <v>194548</v>
      </c>
      <c r="P146" s="1">
        <v>93</v>
      </c>
      <c r="Q146" s="1" t="s">
        <v>111</v>
      </c>
      <c r="R146" s="1" t="s">
        <v>50</v>
      </c>
      <c r="S146" s="1">
        <v>0</v>
      </c>
      <c r="T146" s="1">
        <v>0</v>
      </c>
      <c r="U146" s="1">
        <v>95.963999999999999</v>
      </c>
      <c r="V146" s="1">
        <v>25.006</v>
      </c>
      <c r="W146" s="1">
        <v>0.55000000000000004</v>
      </c>
      <c r="X146" s="1">
        <v>0.32300000000000001</v>
      </c>
      <c r="Y146" s="1">
        <v>25.329000000000001</v>
      </c>
      <c r="Z146" s="1">
        <v>0.105</v>
      </c>
      <c r="AA146" s="1">
        <v>1.8</v>
      </c>
      <c r="AB146" s="1">
        <v>1.8</v>
      </c>
      <c r="AC146" s="1">
        <v>1.8</v>
      </c>
      <c r="AD146" s="1">
        <v>0.32300000000000001</v>
      </c>
      <c r="AE146" s="1">
        <v>7.0000000000000007E-2</v>
      </c>
      <c r="AF146" s="1">
        <v>2.4E-2</v>
      </c>
      <c r="AG146" s="1">
        <v>1.8</v>
      </c>
      <c r="AI146" s="1">
        <v>0</v>
      </c>
      <c r="AJ146" s="1">
        <v>0</v>
      </c>
      <c r="AK146" s="1">
        <v>0</v>
      </c>
      <c r="AL146" s="1">
        <v>1</v>
      </c>
      <c r="AM146" s="1">
        <v>86400</v>
      </c>
      <c r="AN146" s="1">
        <v>77545</v>
      </c>
      <c r="AO146" s="1">
        <v>8855</v>
      </c>
      <c r="AP146" s="1">
        <v>50227</v>
      </c>
      <c r="AQ146" s="1">
        <v>21.030445631260442</v>
      </c>
    </row>
    <row r="147" spans="1:43" x14ac:dyDescent="0.45">
      <c r="A147" s="1">
        <v>146</v>
      </c>
      <c r="B147" s="1">
        <v>142</v>
      </c>
      <c r="C147" s="1">
        <v>78</v>
      </c>
      <c r="D147" s="1" t="s">
        <v>67</v>
      </c>
      <c r="E147" s="1" t="s">
        <v>68</v>
      </c>
      <c r="F147" s="1" t="s">
        <v>69</v>
      </c>
      <c r="G147" s="1" t="s">
        <v>46</v>
      </c>
      <c r="H147" s="1" t="s">
        <v>47</v>
      </c>
      <c r="I147" s="1">
        <v>1163</v>
      </c>
      <c r="J147" s="1">
        <v>33073</v>
      </c>
      <c r="K147" s="1">
        <v>1</v>
      </c>
      <c r="L147" s="1">
        <v>77</v>
      </c>
      <c r="M147" s="1">
        <v>1863</v>
      </c>
      <c r="N147" s="1" t="s">
        <v>48</v>
      </c>
      <c r="O147" s="1">
        <v>194549</v>
      </c>
      <c r="P147" s="1">
        <v>93</v>
      </c>
      <c r="Q147" s="1" t="s">
        <v>111</v>
      </c>
      <c r="R147" s="1" t="s">
        <v>50</v>
      </c>
      <c r="S147" s="1">
        <v>0</v>
      </c>
      <c r="T147" s="1">
        <v>0</v>
      </c>
      <c r="U147" s="1">
        <v>199.88499999999999</v>
      </c>
      <c r="V147" s="1">
        <v>24.984000000000002</v>
      </c>
      <c r="W147" s="1">
        <v>0.56000000000000005</v>
      </c>
      <c r="X147" s="1">
        <v>0.34399999999999997</v>
      </c>
      <c r="Y147" s="1">
        <v>25.327999999999999</v>
      </c>
      <c r="Z147" s="1">
        <v>0.16</v>
      </c>
      <c r="AA147" s="1">
        <v>1.9</v>
      </c>
      <c r="AB147" s="1">
        <v>1.9</v>
      </c>
      <c r="AC147" s="1">
        <v>1.9</v>
      </c>
      <c r="AD147" s="1">
        <v>0.34399999999999997</v>
      </c>
      <c r="AE147" s="1">
        <v>0.105</v>
      </c>
      <c r="AF147" s="1">
        <v>3.7999999999999999E-2</v>
      </c>
      <c r="AG147" s="1">
        <v>1.9</v>
      </c>
      <c r="AI147" s="1">
        <v>0</v>
      </c>
      <c r="AJ147" s="1">
        <v>0</v>
      </c>
      <c r="AK147" s="1">
        <v>0</v>
      </c>
      <c r="AL147" s="1">
        <v>1</v>
      </c>
      <c r="AM147" s="1">
        <v>86400</v>
      </c>
      <c r="AN147" s="1">
        <v>78380</v>
      </c>
      <c r="AO147" s="1">
        <v>8020</v>
      </c>
      <c r="AP147" s="1">
        <v>50347</v>
      </c>
      <c r="AQ147" s="1">
        <v>1.6542382139206111</v>
      </c>
    </row>
    <row r="148" spans="1:43" x14ac:dyDescent="0.45">
      <c r="A148" s="1">
        <v>147</v>
      </c>
      <c r="B148" s="1">
        <v>142</v>
      </c>
      <c r="C148" s="1">
        <v>78</v>
      </c>
      <c r="D148" s="1" t="s">
        <v>67</v>
      </c>
      <c r="E148" s="1" t="s">
        <v>68</v>
      </c>
      <c r="F148" s="1" t="s">
        <v>69</v>
      </c>
      <c r="G148" s="1" t="s">
        <v>46</v>
      </c>
      <c r="H148" s="1" t="s">
        <v>47</v>
      </c>
      <c r="I148" s="1">
        <v>1163</v>
      </c>
      <c r="J148" s="1">
        <v>33073</v>
      </c>
      <c r="K148" s="1">
        <v>1</v>
      </c>
      <c r="L148" s="1">
        <v>77</v>
      </c>
      <c r="M148" s="1">
        <v>1865</v>
      </c>
      <c r="N148" s="1" t="s">
        <v>48</v>
      </c>
      <c r="O148" s="1">
        <v>194554</v>
      </c>
      <c r="P148" s="1">
        <v>93</v>
      </c>
      <c r="Q148" s="1" t="s">
        <v>111</v>
      </c>
      <c r="R148" s="1" t="s">
        <v>50</v>
      </c>
      <c r="S148" s="1">
        <v>0</v>
      </c>
      <c r="T148" s="1">
        <v>0</v>
      </c>
      <c r="U148" s="1">
        <v>58.304000000000002</v>
      </c>
      <c r="V148" s="1">
        <v>25.05</v>
      </c>
      <c r="W148" s="1">
        <v>0.54</v>
      </c>
      <c r="X148" s="1">
        <v>0.27800000000000002</v>
      </c>
      <c r="Y148" s="1">
        <v>25.329000000000001</v>
      </c>
      <c r="Z148" s="1">
        <v>0.108</v>
      </c>
      <c r="AA148" s="1">
        <v>0.6</v>
      </c>
      <c r="AB148" s="1">
        <v>0.8</v>
      </c>
      <c r="AC148" s="1">
        <v>0.8</v>
      </c>
      <c r="AD148" s="1">
        <v>0.27800000000000002</v>
      </c>
      <c r="AE148" s="1">
        <v>9.7000000000000003E-2</v>
      </c>
      <c r="AF148" s="1">
        <v>2.7E-2</v>
      </c>
      <c r="AG148" s="1">
        <v>0.6</v>
      </c>
      <c r="AI148" s="1">
        <v>0</v>
      </c>
      <c r="AJ148" s="1">
        <v>0</v>
      </c>
      <c r="AK148" s="1">
        <v>0</v>
      </c>
      <c r="AL148" s="1">
        <v>1</v>
      </c>
      <c r="AM148" s="1">
        <v>86400</v>
      </c>
      <c r="AN148" s="1">
        <v>75545</v>
      </c>
      <c r="AO148" s="1">
        <v>10855</v>
      </c>
      <c r="AP148" s="1">
        <v>50339</v>
      </c>
      <c r="AQ148" s="1">
        <v>17.99697230014019</v>
      </c>
    </row>
    <row r="149" spans="1:43" x14ac:dyDescent="0.45">
      <c r="A149" s="1">
        <v>148</v>
      </c>
      <c r="B149" s="1">
        <v>142</v>
      </c>
      <c r="C149" s="1">
        <v>78</v>
      </c>
      <c r="D149" s="1" t="s">
        <v>67</v>
      </c>
      <c r="E149" s="1" t="s">
        <v>68</v>
      </c>
      <c r="F149" s="1" t="s">
        <v>69</v>
      </c>
      <c r="G149" s="1" t="s">
        <v>46</v>
      </c>
      <c r="H149" s="1" t="s">
        <v>47</v>
      </c>
      <c r="I149" s="1">
        <v>1163</v>
      </c>
      <c r="J149" s="1">
        <v>33073</v>
      </c>
      <c r="K149" s="1">
        <v>1</v>
      </c>
      <c r="L149" s="1">
        <v>77</v>
      </c>
      <c r="M149" s="1">
        <v>1866</v>
      </c>
      <c r="N149" s="1" t="s">
        <v>48</v>
      </c>
      <c r="O149" s="1">
        <v>194568</v>
      </c>
      <c r="P149" s="1">
        <v>93</v>
      </c>
      <c r="Q149" s="1" t="s">
        <v>111</v>
      </c>
      <c r="R149" s="1" t="s">
        <v>50</v>
      </c>
      <c r="S149" s="1">
        <v>0</v>
      </c>
      <c r="T149" s="1">
        <v>0</v>
      </c>
      <c r="U149" s="1">
        <v>71.478999999999999</v>
      </c>
      <c r="V149" s="1">
        <v>25.076000000000001</v>
      </c>
      <c r="W149" s="1">
        <v>0.54</v>
      </c>
      <c r="X149" s="1">
        <v>0.22900000000000001</v>
      </c>
      <c r="Y149" s="1">
        <v>25.303999999999998</v>
      </c>
      <c r="Z149" s="1">
        <v>0.85599999999999998</v>
      </c>
      <c r="AA149" s="1">
        <v>1.6</v>
      </c>
      <c r="AB149" s="1">
        <v>2.1</v>
      </c>
      <c r="AC149" s="1">
        <v>2.1</v>
      </c>
      <c r="AD149" s="1">
        <v>0.22900000000000001</v>
      </c>
      <c r="AE149" s="1">
        <v>0.46700000000000003</v>
      </c>
      <c r="AF149" s="1">
        <v>0.109</v>
      </c>
      <c r="AG149" s="1">
        <v>1.6</v>
      </c>
      <c r="AI149" s="1">
        <v>0</v>
      </c>
      <c r="AJ149" s="1">
        <v>0</v>
      </c>
      <c r="AK149" s="1">
        <v>0</v>
      </c>
      <c r="AL149" s="1">
        <v>1</v>
      </c>
      <c r="AM149" s="1">
        <v>86400</v>
      </c>
      <c r="AN149" s="1">
        <v>76843</v>
      </c>
      <c r="AO149" s="1">
        <v>9536</v>
      </c>
      <c r="AP149" s="1">
        <v>50364</v>
      </c>
      <c r="AQ149" s="1">
        <v>12.87607308566977</v>
      </c>
    </row>
    <row r="150" spans="1:43" x14ac:dyDescent="0.45">
      <c r="A150" s="1">
        <v>149</v>
      </c>
      <c r="B150" s="1">
        <v>142</v>
      </c>
      <c r="C150" s="1">
        <v>78</v>
      </c>
      <c r="D150" s="1" t="s">
        <v>67</v>
      </c>
      <c r="E150" s="1" t="s">
        <v>68</v>
      </c>
      <c r="F150" s="1" t="s">
        <v>69</v>
      </c>
      <c r="G150" s="1" t="s">
        <v>46</v>
      </c>
      <c r="H150" s="1" t="s">
        <v>47</v>
      </c>
      <c r="I150" s="1">
        <v>1163</v>
      </c>
      <c r="J150" s="1">
        <v>33073</v>
      </c>
      <c r="K150" s="1">
        <v>1</v>
      </c>
      <c r="L150" s="1">
        <v>77</v>
      </c>
      <c r="M150" s="1">
        <v>1867</v>
      </c>
      <c r="N150" s="1" t="s">
        <v>48</v>
      </c>
      <c r="O150" s="1">
        <v>194569</v>
      </c>
      <c r="P150" s="1">
        <v>93</v>
      </c>
      <c r="Q150" s="1" t="s">
        <v>111</v>
      </c>
      <c r="R150" s="1" t="s">
        <v>50</v>
      </c>
      <c r="S150" s="1">
        <v>0</v>
      </c>
      <c r="T150" s="1">
        <v>0</v>
      </c>
      <c r="U150" s="1">
        <v>97.01</v>
      </c>
      <c r="V150" s="1">
        <v>25.157</v>
      </c>
      <c r="W150" s="1">
        <v>0.52</v>
      </c>
      <c r="X150" s="1">
        <v>0.156</v>
      </c>
      <c r="Y150" s="1">
        <v>25.312999999999999</v>
      </c>
      <c r="Z150" s="1">
        <v>0.36599999999999999</v>
      </c>
      <c r="AA150" s="1">
        <v>1.4</v>
      </c>
      <c r="AB150" s="1">
        <v>-1.8</v>
      </c>
      <c r="AC150" s="1">
        <v>-1.8</v>
      </c>
      <c r="AD150" s="1">
        <v>0.156</v>
      </c>
      <c r="AE150" s="1">
        <v>6.5000000000000002E-2</v>
      </c>
      <c r="AF150" s="1">
        <v>2.5000000000000001E-2</v>
      </c>
      <c r="AG150" s="1">
        <v>1.4</v>
      </c>
      <c r="AI150" s="1">
        <v>0</v>
      </c>
      <c r="AJ150" s="1">
        <v>0</v>
      </c>
      <c r="AK150" s="1">
        <v>0</v>
      </c>
      <c r="AL150" s="1">
        <v>1</v>
      </c>
      <c r="AM150" s="1">
        <v>50905</v>
      </c>
      <c r="AN150" s="1">
        <v>7356</v>
      </c>
      <c r="AO150" s="1">
        <v>43549</v>
      </c>
      <c r="AP150" s="1">
        <v>50260</v>
      </c>
      <c r="AQ150" s="1">
        <v>17.425376818478529</v>
      </c>
    </row>
    <row r="151" spans="1:43" x14ac:dyDescent="0.45">
      <c r="A151" s="1">
        <v>150</v>
      </c>
      <c r="B151" s="1">
        <v>142</v>
      </c>
      <c r="C151" s="1">
        <v>78</v>
      </c>
      <c r="D151" s="1" t="s">
        <v>67</v>
      </c>
      <c r="E151" s="1" t="s">
        <v>68</v>
      </c>
      <c r="F151" s="1" t="s">
        <v>69</v>
      </c>
      <c r="G151" s="1" t="s">
        <v>46</v>
      </c>
      <c r="H151" s="1" t="s">
        <v>47</v>
      </c>
      <c r="I151" s="1">
        <v>1163</v>
      </c>
      <c r="J151" s="1">
        <v>33073</v>
      </c>
      <c r="K151" s="1">
        <v>1</v>
      </c>
      <c r="L151" s="1">
        <v>77</v>
      </c>
      <c r="M151" s="1">
        <v>1868</v>
      </c>
      <c r="N151" s="1" t="s">
        <v>48</v>
      </c>
      <c r="O151" s="1">
        <v>194573</v>
      </c>
      <c r="P151" s="1">
        <v>93</v>
      </c>
      <c r="Q151" s="1" t="s">
        <v>111</v>
      </c>
      <c r="R151" s="1" t="s">
        <v>50</v>
      </c>
      <c r="S151" s="1">
        <v>0</v>
      </c>
      <c r="T151" s="1">
        <v>0</v>
      </c>
      <c r="U151" s="1">
        <v>165.15899999999999</v>
      </c>
      <c r="V151" s="1">
        <v>25.164000000000001</v>
      </c>
      <c r="W151" s="1">
        <v>0.53</v>
      </c>
      <c r="X151" s="1">
        <v>0.158</v>
      </c>
      <c r="Y151" s="1">
        <v>25.321999999999999</v>
      </c>
      <c r="Z151" s="1">
        <v>0.28199999999999997</v>
      </c>
      <c r="AA151" s="1">
        <v>1.3</v>
      </c>
      <c r="AB151" s="1">
        <v>1.8</v>
      </c>
      <c r="AC151" s="1">
        <v>1.8</v>
      </c>
      <c r="AD151" s="1">
        <v>0.158</v>
      </c>
      <c r="AE151" s="1">
        <v>0.25700000000000001</v>
      </c>
      <c r="AF151" s="1">
        <v>4.1000000000000002E-2</v>
      </c>
      <c r="AG151" s="1">
        <v>1.3</v>
      </c>
      <c r="AI151" s="1">
        <v>0</v>
      </c>
      <c r="AJ151" s="1">
        <v>0</v>
      </c>
      <c r="AK151" s="1">
        <v>0</v>
      </c>
      <c r="AL151" s="1">
        <v>1</v>
      </c>
      <c r="AM151" s="1">
        <v>50915</v>
      </c>
      <c r="AN151" s="1">
        <v>7402</v>
      </c>
      <c r="AO151" s="1">
        <v>43513</v>
      </c>
      <c r="AP151" s="1">
        <v>50288</v>
      </c>
      <c r="AQ151" s="1">
        <v>0.17497394775129299</v>
      </c>
    </row>
    <row r="152" spans="1:43" x14ac:dyDescent="0.45">
      <c r="A152" s="1">
        <v>151</v>
      </c>
      <c r="B152" s="1">
        <v>142</v>
      </c>
      <c r="C152" s="1">
        <v>78</v>
      </c>
      <c r="D152" s="1" t="s">
        <v>67</v>
      </c>
      <c r="E152" s="1" t="s">
        <v>68</v>
      </c>
      <c r="F152" s="1" t="s">
        <v>69</v>
      </c>
      <c r="G152" s="1" t="s">
        <v>46</v>
      </c>
      <c r="H152" s="1" t="s">
        <v>47</v>
      </c>
      <c r="I152" s="1">
        <v>1163</v>
      </c>
      <c r="J152" s="1">
        <v>33073</v>
      </c>
      <c r="K152" s="1">
        <v>1</v>
      </c>
      <c r="L152" s="1">
        <v>77</v>
      </c>
      <c r="M152" s="1">
        <v>1971</v>
      </c>
      <c r="N152" s="1" t="s">
        <v>48</v>
      </c>
      <c r="O152" s="1">
        <v>197553</v>
      </c>
      <c r="P152" s="1">
        <v>93</v>
      </c>
      <c r="Q152" s="1" t="s">
        <v>111</v>
      </c>
      <c r="R152" s="1" t="s">
        <v>50</v>
      </c>
      <c r="S152" s="1">
        <v>0</v>
      </c>
      <c r="T152" s="1">
        <v>0</v>
      </c>
      <c r="U152" s="1">
        <v>197.435</v>
      </c>
      <c r="V152" s="1">
        <v>25.481999999999999</v>
      </c>
      <c r="W152" s="1">
        <v>0.52</v>
      </c>
      <c r="X152" s="1">
        <v>0.1</v>
      </c>
      <c r="Y152" s="1">
        <v>25.582000000000001</v>
      </c>
      <c r="Z152" s="1">
        <v>4.7E-2</v>
      </c>
      <c r="AA152" s="1">
        <v>-0.4</v>
      </c>
      <c r="AB152" s="1">
        <v>-0.4</v>
      </c>
      <c r="AC152" s="1">
        <v>-0.4</v>
      </c>
      <c r="AD152" s="1">
        <v>0.1</v>
      </c>
      <c r="AE152" s="1">
        <v>4.7E-2</v>
      </c>
      <c r="AF152" s="1">
        <v>5.0000000000000001E-3</v>
      </c>
      <c r="AG152" s="1">
        <v>-0.4</v>
      </c>
      <c r="AI152" s="1">
        <v>0</v>
      </c>
      <c r="AJ152" s="1">
        <v>0</v>
      </c>
      <c r="AK152" s="1">
        <v>0</v>
      </c>
      <c r="AL152" s="1">
        <v>1</v>
      </c>
      <c r="AM152" s="1">
        <v>51181</v>
      </c>
      <c r="AN152" s="1">
        <v>7736</v>
      </c>
      <c r="AO152" s="1">
        <v>43445</v>
      </c>
      <c r="AP152" s="1">
        <v>47711</v>
      </c>
      <c r="AQ152" s="1">
        <v>10.312824526206111</v>
      </c>
    </row>
    <row r="153" spans="1:43" x14ac:dyDescent="0.45">
      <c r="A153" s="1">
        <v>152</v>
      </c>
      <c r="B153" s="1">
        <v>142</v>
      </c>
      <c r="C153" s="1">
        <v>78</v>
      </c>
      <c r="D153" s="1" t="s">
        <v>67</v>
      </c>
      <c r="E153" s="1" t="s">
        <v>68</v>
      </c>
      <c r="F153" s="1" t="s">
        <v>69</v>
      </c>
      <c r="G153" s="1" t="s">
        <v>46</v>
      </c>
      <c r="H153" s="1" t="s">
        <v>47</v>
      </c>
      <c r="I153" s="1">
        <v>1163</v>
      </c>
      <c r="J153" s="1">
        <v>33073</v>
      </c>
      <c r="K153" s="1">
        <v>1</v>
      </c>
      <c r="L153" s="1">
        <v>77</v>
      </c>
      <c r="M153" s="1">
        <v>1972</v>
      </c>
      <c r="N153" s="1" t="s">
        <v>48</v>
      </c>
      <c r="O153" s="1">
        <v>197554</v>
      </c>
      <c r="P153" s="1">
        <v>93</v>
      </c>
      <c r="Q153" s="1" t="s">
        <v>111</v>
      </c>
      <c r="R153" s="1" t="s">
        <v>50</v>
      </c>
      <c r="S153" s="1">
        <v>0</v>
      </c>
      <c r="T153" s="1">
        <v>0</v>
      </c>
      <c r="U153" s="1">
        <v>145.07400000000001</v>
      </c>
      <c r="V153" s="1">
        <v>25.436</v>
      </c>
      <c r="W153" s="1">
        <v>0.52</v>
      </c>
      <c r="X153" s="1">
        <v>0.14599999999999999</v>
      </c>
      <c r="Y153" s="1">
        <v>25.582000000000001</v>
      </c>
      <c r="Z153" s="1">
        <v>4.8000000000000001E-2</v>
      </c>
      <c r="AA153" s="1">
        <v>-0.3</v>
      </c>
      <c r="AB153" s="1">
        <v>-0.3</v>
      </c>
      <c r="AC153" s="1">
        <v>-0.3</v>
      </c>
      <c r="AD153" s="1">
        <v>0.14599999999999999</v>
      </c>
      <c r="AE153" s="1">
        <v>4.8000000000000001E-2</v>
      </c>
      <c r="AF153" s="1">
        <v>7.0000000000000001E-3</v>
      </c>
      <c r="AG153" s="1">
        <v>-0.3</v>
      </c>
      <c r="AI153" s="1">
        <v>0</v>
      </c>
      <c r="AJ153" s="1">
        <v>0</v>
      </c>
      <c r="AK153" s="1">
        <v>0</v>
      </c>
      <c r="AL153" s="1">
        <v>1</v>
      </c>
      <c r="AM153" s="1">
        <v>57661</v>
      </c>
      <c r="AN153" s="1">
        <v>17992</v>
      </c>
      <c r="AO153" s="1">
        <v>39669</v>
      </c>
      <c r="AP153" s="1">
        <v>47866</v>
      </c>
      <c r="AQ153" s="1">
        <v>0.29438601974343598</v>
      </c>
    </row>
    <row r="154" spans="1:43" x14ac:dyDescent="0.45">
      <c r="A154" s="1">
        <v>153</v>
      </c>
      <c r="B154" s="1">
        <v>142</v>
      </c>
      <c r="C154" s="1">
        <v>78</v>
      </c>
      <c r="D154" s="1" t="s">
        <v>67</v>
      </c>
      <c r="E154" s="1" t="s">
        <v>68</v>
      </c>
      <c r="F154" s="1" t="s">
        <v>69</v>
      </c>
      <c r="G154" s="1" t="s">
        <v>46</v>
      </c>
      <c r="H154" s="1" t="s">
        <v>47</v>
      </c>
      <c r="I154" s="1">
        <v>1163</v>
      </c>
      <c r="J154" s="1">
        <v>33073</v>
      </c>
      <c r="K154" s="1">
        <v>1</v>
      </c>
      <c r="L154" s="1">
        <v>77</v>
      </c>
      <c r="M154" s="1">
        <v>1974</v>
      </c>
      <c r="N154" s="1" t="s">
        <v>48</v>
      </c>
      <c r="O154" s="1">
        <v>197557</v>
      </c>
      <c r="P154" s="1">
        <v>93</v>
      </c>
      <c r="Q154" s="1" t="s">
        <v>111</v>
      </c>
      <c r="R154" s="1" t="s">
        <v>50</v>
      </c>
      <c r="S154" s="1">
        <v>0</v>
      </c>
      <c r="T154" s="1">
        <v>0</v>
      </c>
      <c r="U154" s="1">
        <v>142.69200000000001</v>
      </c>
      <c r="V154" s="1">
        <v>25.48</v>
      </c>
      <c r="W154" s="1">
        <v>0.52</v>
      </c>
      <c r="X154" s="1">
        <v>0.108</v>
      </c>
      <c r="Y154" s="1">
        <v>25.588000000000001</v>
      </c>
      <c r="Z154" s="1">
        <v>0.158</v>
      </c>
      <c r="AA154" s="1">
        <v>0.2</v>
      </c>
      <c r="AB154" s="1">
        <v>-0.2</v>
      </c>
      <c r="AC154" s="1">
        <v>-0.2</v>
      </c>
      <c r="AD154" s="1">
        <v>0.108</v>
      </c>
      <c r="AE154" s="1">
        <v>0.10199999999999999</v>
      </c>
      <c r="AF154" s="1">
        <v>1.2E-2</v>
      </c>
      <c r="AG154" s="1">
        <v>0.2</v>
      </c>
      <c r="AI154" s="1">
        <v>0</v>
      </c>
      <c r="AJ154" s="1">
        <v>0</v>
      </c>
      <c r="AK154" s="1">
        <v>0</v>
      </c>
      <c r="AL154" s="1">
        <v>1</v>
      </c>
      <c r="AM154" s="1">
        <v>65494</v>
      </c>
      <c r="AN154" s="1">
        <v>36637</v>
      </c>
      <c r="AO154" s="1">
        <v>28858</v>
      </c>
      <c r="AP154" s="1">
        <v>47169</v>
      </c>
      <c r="AQ154" s="1">
        <v>1.489470414585343</v>
      </c>
    </row>
    <row r="155" spans="1:43" x14ac:dyDescent="0.45">
      <c r="A155" s="1">
        <v>154</v>
      </c>
      <c r="B155" s="1">
        <v>143</v>
      </c>
      <c r="C155" s="1">
        <v>64</v>
      </c>
      <c r="D155" s="1" t="s">
        <v>99</v>
      </c>
      <c r="E155" s="1" t="s">
        <v>100</v>
      </c>
      <c r="F155" s="1" t="s">
        <v>101</v>
      </c>
      <c r="G155" s="1" t="s">
        <v>46</v>
      </c>
      <c r="H155" s="1" t="s">
        <v>47</v>
      </c>
      <c r="I155" s="1">
        <v>1411</v>
      </c>
      <c r="J155" s="1">
        <v>38055</v>
      </c>
      <c r="K155" s="1">
        <v>1</v>
      </c>
      <c r="L155" s="1">
        <v>63</v>
      </c>
      <c r="M155" s="1">
        <v>2087</v>
      </c>
      <c r="N155" s="1" t="s">
        <v>48</v>
      </c>
      <c r="O155" s="1">
        <v>198793</v>
      </c>
      <c r="P155" s="1">
        <v>93</v>
      </c>
      <c r="Q155" s="1" t="s">
        <v>111</v>
      </c>
      <c r="R155" s="1" t="s">
        <v>50</v>
      </c>
      <c r="S155" s="1">
        <v>0</v>
      </c>
      <c r="T155" s="1">
        <v>0</v>
      </c>
      <c r="U155" s="1">
        <v>734.44899999999996</v>
      </c>
      <c r="V155" s="1">
        <v>21.827999999999999</v>
      </c>
      <c r="W155" s="1">
        <v>1.61</v>
      </c>
      <c r="X155" s="1">
        <v>4.024</v>
      </c>
      <c r="Y155" s="1">
        <v>25.852</v>
      </c>
      <c r="Z155" s="1">
        <v>3.2000000000000001E-2</v>
      </c>
      <c r="AA155" s="1">
        <v>-0.6</v>
      </c>
      <c r="AB155" s="1">
        <v>-1.1000000000000001</v>
      </c>
      <c r="AC155" s="1">
        <v>-1.1000000000000001</v>
      </c>
      <c r="AD155" s="1">
        <v>4.024</v>
      </c>
      <c r="AE155" s="1">
        <v>1E-3</v>
      </c>
      <c r="AF155" s="1">
        <v>6.0000000000000001E-3</v>
      </c>
      <c r="AI155" s="1">
        <v>0</v>
      </c>
      <c r="AJ155" s="1">
        <v>0</v>
      </c>
      <c r="AK155" s="1">
        <v>0</v>
      </c>
      <c r="AL155" s="1">
        <v>1</v>
      </c>
      <c r="AM155" s="1">
        <v>86400</v>
      </c>
      <c r="AN155" s="1">
        <v>76749</v>
      </c>
      <c r="AO155" s="1">
        <v>9651</v>
      </c>
      <c r="AP155" s="1">
        <v>86179</v>
      </c>
      <c r="AQ155" s="1">
        <v>34.789345584757001</v>
      </c>
    </row>
    <row r="156" spans="1:43" x14ac:dyDescent="0.45">
      <c r="A156" s="1">
        <v>155</v>
      </c>
      <c r="B156" s="1">
        <v>143</v>
      </c>
      <c r="C156" s="1">
        <v>64</v>
      </c>
      <c r="D156" s="1" t="s">
        <v>99</v>
      </c>
      <c r="E156" s="1" t="s">
        <v>100</v>
      </c>
      <c r="F156" s="1" t="s">
        <v>101</v>
      </c>
      <c r="G156" s="1" t="s">
        <v>46</v>
      </c>
      <c r="H156" s="1" t="s">
        <v>47</v>
      </c>
      <c r="I156" s="1">
        <v>1411</v>
      </c>
      <c r="J156" s="1">
        <v>38055</v>
      </c>
      <c r="K156" s="1">
        <v>1</v>
      </c>
      <c r="L156" s="1">
        <v>63</v>
      </c>
      <c r="M156" s="1">
        <v>2090</v>
      </c>
      <c r="N156" s="1" t="s">
        <v>48</v>
      </c>
      <c r="O156" s="1">
        <v>198806</v>
      </c>
      <c r="P156" s="1">
        <v>93</v>
      </c>
      <c r="Q156" s="1" t="s">
        <v>111</v>
      </c>
      <c r="R156" s="1" t="s">
        <v>50</v>
      </c>
      <c r="S156" s="1">
        <v>0</v>
      </c>
      <c r="T156" s="1">
        <v>0</v>
      </c>
      <c r="U156" s="1">
        <v>365.387</v>
      </c>
      <c r="V156" s="1">
        <v>21.681000000000001</v>
      </c>
      <c r="W156" s="1">
        <v>1.64</v>
      </c>
      <c r="X156" s="1">
        <v>4.1710000000000003</v>
      </c>
      <c r="Y156" s="1">
        <v>25.852</v>
      </c>
      <c r="Z156" s="1">
        <v>8.5000000000000006E-2</v>
      </c>
      <c r="AA156" s="1">
        <v>-0.1</v>
      </c>
      <c r="AB156" s="1">
        <v>1.6</v>
      </c>
      <c r="AC156" s="1">
        <v>1.6</v>
      </c>
      <c r="AD156" s="1">
        <v>4.1710000000000003</v>
      </c>
      <c r="AE156" s="1">
        <v>0</v>
      </c>
      <c r="AF156" s="1">
        <v>6.0000000000000001E-3</v>
      </c>
      <c r="AI156" s="1">
        <v>0</v>
      </c>
      <c r="AJ156" s="1">
        <v>0</v>
      </c>
      <c r="AK156" s="1">
        <v>0</v>
      </c>
      <c r="AL156" s="1">
        <v>1</v>
      </c>
      <c r="AM156" s="1">
        <v>86400</v>
      </c>
      <c r="AN156" s="1">
        <v>81041</v>
      </c>
      <c r="AO156" s="1">
        <v>5359</v>
      </c>
      <c r="AP156" s="1">
        <v>86211</v>
      </c>
      <c r="AQ156" s="1">
        <v>3.6435071118563251</v>
      </c>
    </row>
    <row r="157" spans="1:43" x14ac:dyDescent="0.45">
      <c r="A157" s="1">
        <v>156</v>
      </c>
      <c r="B157" s="1">
        <v>143</v>
      </c>
      <c r="C157" s="1">
        <v>64</v>
      </c>
      <c r="D157" s="1" t="s">
        <v>99</v>
      </c>
      <c r="E157" s="1" t="s">
        <v>100</v>
      </c>
      <c r="F157" s="1" t="s">
        <v>101</v>
      </c>
      <c r="G157" s="1" t="s">
        <v>46</v>
      </c>
      <c r="H157" s="1" t="s">
        <v>47</v>
      </c>
      <c r="I157" s="1">
        <v>1411</v>
      </c>
      <c r="J157" s="1">
        <v>38055</v>
      </c>
      <c r="K157" s="1">
        <v>1</v>
      </c>
      <c r="L157" s="1">
        <v>63</v>
      </c>
      <c r="M157" s="1">
        <v>2091</v>
      </c>
      <c r="N157" s="1" t="s">
        <v>48</v>
      </c>
      <c r="O157" s="1">
        <v>198808</v>
      </c>
      <c r="P157" s="1">
        <v>93</v>
      </c>
      <c r="Q157" s="1" t="s">
        <v>111</v>
      </c>
      <c r="R157" s="1" t="s">
        <v>50</v>
      </c>
      <c r="S157" s="1">
        <v>0</v>
      </c>
      <c r="T157" s="1">
        <v>0</v>
      </c>
      <c r="U157" s="1">
        <v>222.95500000000001</v>
      </c>
      <c r="V157" s="1">
        <v>21.597000000000001</v>
      </c>
      <c r="W157" s="1">
        <v>1.65</v>
      </c>
      <c r="X157" s="1">
        <v>4.2549999999999999</v>
      </c>
      <c r="Y157" s="1">
        <v>25.852</v>
      </c>
      <c r="Z157" s="1">
        <v>0.104</v>
      </c>
      <c r="AA157" s="1">
        <v>-0.4</v>
      </c>
      <c r="AB157" s="1">
        <v>1.1000000000000001</v>
      </c>
      <c r="AC157" s="1">
        <v>1.1000000000000001</v>
      </c>
      <c r="AD157" s="1">
        <v>4.2549999999999999</v>
      </c>
      <c r="AE157" s="1">
        <v>4.0000000000000001E-3</v>
      </c>
      <c r="AF157" s="1">
        <v>0.11600000000000001</v>
      </c>
      <c r="AG157" s="1">
        <v>-0.4</v>
      </c>
      <c r="AI157" s="1">
        <v>0</v>
      </c>
      <c r="AJ157" s="1">
        <v>0</v>
      </c>
      <c r="AK157" s="1">
        <v>0</v>
      </c>
      <c r="AL157" s="1">
        <v>1</v>
      </c>
      <c r="AM157" s="1">
        <v>86400</v>
      </c>
      <c r="AN157" s="1">
        <v>81571</v>
      </c>
      <c r="AO157" s="1">
        <v>4829</v>
      </c>
      <c r="AP157" s="1">
        <v>86294</v>
      </c>
      <c r="AQ157" s="1">
        <v>11.654956863190669</v>
      </c>
    </row>
    <row r="158" spans="1:43" x14ac:dyDescent="0.45">
      <c r="A158" s="1">
        <v>157</v>
      </c>
      <c r="B158" s="1">
        <v>143</v>
      </c>
      <c r="C158" s="1">
        <v>64</v>
      </c>
      <c r="D158" s="1" t="s">
        <v>99</v>
      </c>
      <c r="E158" s="1" t="s">
        <v>100</v>
      </c>
      <c r="F158" s="1" t="s">
        <v>101</v>
      </c>
      <c r="G158" s="1" t="s">
        <v>46</v>
      </c>
      <c r="H158" s="1" t="s">
        <v>47</v>
      </c>
      <c r="I158" s="1">
        <v>1411</v>
      </c>
      <c r="J158" s="1">
        <v>38055</v>
      </c>
      <c r="K158" s="1">
        <v>1</v>
      </c>
      <c r="L158" s="1">
        <v>63</v>
      </c>
      <c r="M158" s="1">
        <v>2092</v>
      </c>
      <c r="N158" s="1" t="s">
        <v>48</v>
      </c>
      <c r="O158" s="1">
        <v>198816</v>
      </c>
      <c r="P158" s="1">
        <v>93</v>
      </c>
      <c r="Q158" s="1" t="s">
        <v>111</v>
      </c>
      <c r="R158" s="1" t="s">
        <v>50</v>
      </c>
      <c r="S158" s="1">
        <v>0</v>
      </c>
      <c r="T158" s="1">
        <v>0</v>
      </c>
      <c r="U158" s="1">
        <v>120.09</v>
      </c>
      <c r="V158" s="1">
        <v>21.809000000000001</v>
      </c>
      <c r="W158" s="1">
        <v>1.62</v>
      </c>
      <c r="X158" s="1">
        <v>4.0419999999999998</v>
      </c>
      <c r="Y158" s="1">
        <v>25.852</v>
      </c>
      <c r="Z158" s="1">
        <v>2.7E-2</v>
      </c>
      <c r="AA158" s="1">
        <v>-1.3</v>
      </c>
      <c r="AB158" s="1">
        <v>2.1</v>
      </c>
      <c r="AC158" s="1">
        <v>2.1</v>
      </c>
      <c r="AD158" s="1">
        <v>4.0419999999999998</v>
      </c>
      <c r="AE158" s="1">
        <v>0</v>
      </c>
      <c r="AF158" s="1">
        <v>6.0000000000000001E-3</v>
      </c>
      <c r="AI158" s="1">
        <v>0</v>
      </c>
      <c r="AJ158" s="1">
        <v>0</v>
      </c>
      <c r="AK158" s="1">
        <v>0</v>
      </c>
      <c r="AL158" s="1">
        <v>1</v>
      </c>
      <c r="AM158" s="1">
        <v>86400</v>
      </c>
      <c r="AN158" s="1">
        <v>77549</v>
      </c>
      <c r="AO158" s="1">
        <v>8851</v>
      </c>
      <c r="AP158" s="1">
        <v>86241</v>
      </c>
      <c r="AQ158" s="1">
        <v>12.706252394481499</v>
      </c>
    </row>
    <row r="159" spans="1:43" x14ac:dyDescent="0.45">
      <c r="A159" s="1">
        <v>158</v>
      </c>
      <c r="B159" s="1">
        <v>143</v>
      </c>
      <c r="C159" s="1">
        <v>64</v>
      </c>
      <c r="D159" s="1" t="s">
        <v>99</v>
      </c>
      <c r="E159" s="1" t="s">
        <v>100</v>
      </c>
      <c r="F159" s="1" t="s">
        <v>101</v>
      </c>
      <c r="G159" s="1" t="s">
        <v>46</v>
      </c>
      <c r="H159" s="1" t="s">
        <v>47</v>
      </c>
      <c r="I159" s="1">
        <v>1411</v>
      </c>
      <c r="J159" s="1">
        <v>38055</v>
      </c>
      <c r="K159" s="1">
        <v>1</v>
      </c>
      <c r="L159" s="1">
        <v>63</v>
      </c>
      <c r="M159" s="1">
        <v>2093</v>
      </c>
      <c r="N159" s="1" t="s">
        <v>48</v>
      </c>
      <c r="O159" s="1">
        <v>198817</v>
      </c>
      <c r="P159" s="1">
        <v>93</v>
      </c>
      <c r="Q159" s="1" t="s">
        <v>111</v>
      </c>
      <c r="R159" s="1" t="s">
        <v>50</v>
      </c>
      <c r="S159" s="1">
        <v>0</v>
      </c>
      <c r="T159" s="1">
        <v>0</v>
      </c>
      <c r="U159" s="1">
        <v>120.09</v>
      </c>
      <c r="V159" s="1">
        <v>21.742999999999999</v>
      </c>
      <c r="W159" s="1">
        <v>1.63</v>
      </c>
      <c r="X159" s="1">
        <v>4.109</v>
      </c>
      <c r="Y159" s="1">
        <v>25.852</v>
      </c>
      <c r="Z159" s="1">
        <v>2.9000000000000001E-2</v>
      </c>
      <c r="AA159" s="1">
        <v>-1.8</v>
      </c>
      <c r="AB159" s="1">
        <v>2.1</v>
      </c>
      <c r="AC159" s="1">
        <v>2.1</v>
      </c>
      <c r="AD159" s="1">
        <v>4.109</v>
      </c>
      <c r="AE159" s="1">
        <v>0</v>
      </c>
      <c r="AF159" s="1">
        <v>6.0000000000000001E-3</v>
      </c>
      <c r="AI159" s="1">
        <v>0</v>
      </c>
      <c r="AJ159" s="1">
        <v>0</v>
      </c>
      <c r="AK159" s="1">
        <v>0</v>
      </c>
      <c r="AL159" s="1">
        <v>1</v>
      </c>
      <c r="AM159" s="1">
        <v>86400</v>
      </c>
      <c r="AN159" s="1">
        <v>79725</v>
      </c>
      <c r="AO159" s="1">
        <v>6675</v>
      </c>
      <c r="AP159" s="1">
        <v>86200</v>
      </c>
      <c r="AQ159" s="1">
        <v>13.2008896502241</v>
      </c>
    </row>
    <row r="160" spans="1:43" x14ac:dyDescent="0.45">
      <c r="A160" s="1">
        <v>159</v>
      </c>
      <c r="B160" s="1">
        <v>143</v>
      </c>
      <c r="C160" s="1">
        <v>64</v>
      </c>
      <c r="D160" s="1" t="s">
        <v>99</v>
      </c>
      <c r="E160" s="1" t="s">
        <v>100</v>
      </c>
      <c r="F160" s="1" t="s">
        <v>101</v>
      </c>
      <c r="G160" s="1" t="s">
        <v>46</v>
      </c>
      <c r="H160" s="1" t="s">
        <v>47</v>
      </c>
      <c r="I160" s="1">
        <v>1411</v>
      </c>
      <c r="J160" s="1">
        <v>38055</v>
      </c>
      <c r="K160" s="1">
        <v>1</v>
      </c>
      <c r="L160" s="1">
        <v>63</v>
      </c>
      <c r="M160" s="1">
        <v>2094</v>
      </c>
      <c r="N160" s="1" t="s">
        <v>48</v>
      </c>
      <c r="O160" s="1">
        <v>198818</v>
      </c>
      <c r="P160" s="1">
        <v>93</v>
      </c>
      <c r="Q160" s="1" t="s">
        <v>111</v>
      </c>
      <c r="R160" s="1" t="s">
        <v>50</v>
      </c>
      <c r="S160" s="1">
        <v>0</v>
      </c>
      <c r="T160" s="1">
        <v>0</v>
      </c>
      <c r="U160" s="1">
        <v>217.74799999999999</v>
      </c>
      <c r="V160" s="1">
        <v>21.881</v>
      </c>
      <c r="W160" s="1">
        <v>1.61</v>
      </c>
      <c r="X160" s="1">
        <v>3.97</v>
      </c>
      <c r="Y160" s="1">
        <v>25.852</v>
      </c>
      <c r="Z160" s="1">
        <v>2.5999999999999999E-2</v>
      </c>
      <c r="AA160" s="1">
        <v>-2</v>
      </c>
      <c r="AB160" s="1">
        <v>1.7</v>
      </c>
      <c r="AC160" s="1">
        <v>1.7</v>
      </c>
      <c r="AD160" s="1">
        <v>3.97</v>
      </c>
      <c r="AE160" s="1">
        <v>0</v>
      </c>
      <c r="AF160" s="1">
        <v>6.0000000000000001E-3</v>
      </c>
      <c r="AI160" s="1">
        <v>0</v>
      </c>
      <c r="AJ160" s="1">
        <v>0</v>
      </c>
      <c r="AK160" s="1">
        <v>0</v>
      </c>
      <c r="AL160" s="1">
        <v>1</v>
      </c>
      <c r="AM160" s="1">
        <v>86400</v>
      </c>
      <c r="AN160" s="1">
        <v>74134</v>
      </c>
      <c r="AO160" s="1">
        <v>12266</v>
      </c>
      <c r="AP160" s="1">
        <v>86239</v>
      </c>
      <c r="AQ160" s="1">
        <v>2.1189163386238858</v>
      </c>
    </row>
    <row r="161" spans="1:43" x14ac:dyDescent="0.45">
      <c r="A161" s="1">
        <v>160</v>
      </c>
      <c r="B161" s="1">
        <v>143</v>
      </c>
      <c r="C161" s="1">
        <v>64</v>
      </c>
      <c r="D161" s="1" t="s">
        <v>99</v>
      </c>
      <c r="E161" s="1" t="s">
        <v>100</v>
      </c>
      <c r="F161" s="1" t="s">
        <v>101</v>
      </c>
      <c r="G161" s="1" t="s">
        <v>46</v>
      </c>
      <c r="H161" s="1" t="s">
        <v>47</v>
      </c>
      <c r="I161" s="1">
        <v>1411</v>
      </c>
      <c r="J161" s="1">
        <v>38055</v>
      </c>
      <c r="K161" s="1">
        <v>1</v>
      </c>
      <c r="L161" s="1">
        <v>63</v>
      </c>
      <c r="M161" s="1">
        <v>2095</v>
      </c>
      <c r="N161" s="1" t="s">
        <v>48</v>
      </c>
      <c r="O161" s="1">
        <v>198819</v>
      </c>
      <c r="P161" s="1">
        <v>93</v>
      </c>
      <c r="Q161" s="1" t="s">
        <v>111</v>
      </c>
      <c r="R161" s="1" t="s">
        <v>50</v>
      </c>
      <c r="S161" s="1">
        <v>0</v>
      </c>
      <c r="T161" s="1">
        <v>0</v>
      </c>
      <c r="U161" s="1">
        <v>726.38900000000001</v>
      </c>
      <c r="V161" s="1">
        <v>21.905000000000001</v>
      </c>
      <c r="W161" s="1">
        <v>1.6</v>
      </c>
      <c r="X161" s="1">
        <v>3.9460000000000002</v>
      </c>
      <c r="Y161" s="1">
        <v>25.852</v>
      </c>
      <c r="Z161" s="1">
        <v>1.2E-2</v>
      </c>
      <c r="AA161" s="1">
        <v>-1.2</v>
      </c>
      <c r="AB161" s="1">
        <v>-3</v>
      </c>
      <c r="AC161" s="1">
        <v>-3</v>
      </c>
      <c r="AD161" s="1">
        <v>3.9460000000000002</v>
      </c>
      <c r="AE161" s="1">
        <v>1E-3</v>
      </c>
      <c r="AF161" s="1">
        <v>6.0000000000000001E-3</v>
      </c>
      <c r="AI161" s="1">
        <v>0</v>
      </c>
      <c r="AJ161" s="1">
        <v>0</v>
      </c>
      <c r="AK161" s="1">
        <v>0</v>
      </c>
      <c r="AL161" s="1">
        <v>1</v>
      </c>
      <c r="AM161" s="1">
        <v>86400</v>
      </c>
      <c r="AN161" s="1">
        <v>72678</v>
      </c>
      <c r="AO161" s="1">
        <v>13722</v>
      </c>
      <c r="AP161" s="1">
        <v>86305</v>
      </c>
      <c r="AQ161" s="1">
        <v>15.517125055435439</v>
      </c>
    </row>
    <row r="162" spans="1:43" x14ac:dyDescent="0.45">
      <c r="A162" s="1">
        <v>161</v>
      </c>
      <c r="B162" s="1">
        <v>143</v>
      </c>
      <c r="C162" s="1">
        <v>64</v>
      </c>
      <c r="D162" s="1" t="s">
        <v>99</v>
      </c>
      <c r="E162" s="1" t="s">
        <v>100</v>
      </c>
      <c r="F162" s="1" t="s">
        <v>101</v>
      </c>
      <c r="G162" s="1" t="s">
        <v>46</v>
      </c>
      <c r="H162" s="1" t="s">
        <v>47</v>
      </c>
      <c r="I162" s="1">
        <v>1411</v>
      </c>
      <c r="J162" s="1">
        <v>38055</v>
      </c>
      <c r="K162" s="1">
        <v>1</v>
      </c>
      <c r="L162" s="1">
        <v>63</v>
      </c>
      <c r="M162" s="1">
        <v>2098</v>
      </c>
      <c r="N162" s="1" t="s">
        <v>48</v>
      </c>
      <c r="O162" s="1">
        <v>198822</v>
      </c>
      <c r="P162" s="1">
        <v>93</v>
      </c>
      <c r="Q162" s="1" t="s">
        <v>111</v>
      </c>
      <c r="R162" s="1" t="s">
        <v>50</v>
      </c>
      <c r="S162" s="1">
        <v>0</v>
      </c>
      <c r="T162" s="1">
        <v>0</v>
      </c>
      <c r="U162" s="1">
        <v>452.39499999999998</v>
      </c>
      <c r="V162" s="1">
        <v>21.888000000000002</v>
      </c>
      <c r="W162" s="1">
        <v>1.6</v>
      </c>
      <c r="X162" s="1">
        <v>3.964</v>
      </c>
      <c r="Y162" s="1">
        <v>25.852</v>
      </c>
      <c r="Z162" s="1">
        <v>3.4000000000000002E-2</v>
      </c>
      <c r="AA162" s="1">
        <v>-1.6</v>
      </c>
      <c r="AB162" s="1">
        <v>-1.7</v>
      </c>
      <c r="AC162" s="1">
        <v>-1.7</v>
      </c>
      <c r="AD162" s="1">
        <v>3.964</v>
      </c>
      <c r="AE162" s="1">
        <v>1E-3</v>
      </c>
      <c r="AF162" s="1">
        <v>1.2E-2</v>
      </c>
      <c r="AI162" s="1">
        <v>0</v>
      </c>
      <c r="AJ162" s="1">
        <v>0</v>
      </c>
      <c r="AK162" s="1">
        <v>0</v>
      </c>
      <c r="AL162" s="1">
        <v>1</v>
      </c>
      <c r="AM162" s="1">
        <v>86400</v>
      </c>
      <c r="AN162" s="1">
        <v>73748</v>
      </c>
      <c r="AO162" s="1">
        <v>12652</v>
      </c>
      <c r="AP162" s="1">
        <v>86223</v>
      </c>
      <c r="AQ162" s="1">
        <v>2.3511520457252209</v>
      </c>
    </row>
    <row r="163" spans="1:43" x14ac:dyDescent="0.45">
      <c r="A163" s="1">
        <v>162</v>
      </c>
      <c r="B163" s="1">
        <v>143</v>
      </c>
      <c r="C163" s="1">
        <v>64</v>
      </c>
      <c r="D163" s="1" t="s">
        <v>99</v>
      </c>
      <c r="E163" s="1" t="s">
        <v>100</v>
      </c>
      <c r="F163" s="1" t="s">
        <v>101</v>
      </c>
      <c r="G163" s="1" t="s">
        <v>46</v>
      </c>
      <c r="H163" s="1" t="s">
        <v>47</v>
      </c>
      <c r="I163" s="1">
        <v>1411</v>
      </c>
      <c r="J163" s="1">
        <v>38055</v>
      </c>
      <c r="K163" s="1">
        <v>1</v>
      </c>
      <c r="L163" s="1">
        <v>63</v>
      </c>
      <c r="M163" s="1">
        <v>2099</v>
      </c>
      <c r="N163" s="1" t="s">
        <v>48</v>
      </c>
      <c r="O163" s="1">
        <v>198823</v>
      </c>
      <c r="P163" s="1">
        <v>93</v>
      </c>
      <c r="Q163" s="1" t="s">
        <v>111</v>
      </c>
      <c r="R163" s="1" t="s">
        <v>50</v>
      </c>
      <c r="S163" s="1">
        <v>0</v>
      </c>
      <c r="T163" s="1">
        <v>0</v>
      </c>
      <c r="U163" s="1">
        <v>457.721</v>
      </c>
      <c r="V163" s="1">
        <v>21.972000000000001</v>
      </c>
      <c r="W163" s="1">
        <v>1.59</v>
      </c>
      <c r="X163" s="1">
        <v>3.88</v>
      </c>
      <c r="Y163" s="1">
        <v>25.852</v>
      </c>
      <c r="Z163" s="1">
        <v>1.7999999999999999E-2</v>
      </c>
      <c r="AA163" s="1">
        <v>0.5</v>
      </c>
      <c r="AB163" s="1">
        <v>-1</v>
      </c>
      <c r="AC163" s="1">
        <v>-1</v>
      </c>
      <c r="AD163" s="1">
        <v>3.88</v>
      </c>
      <c r="AE163" s="1">
        <v>0</v>
      </c>
      <c r="AF163" s="1">
        <v>7.0000000000000001E-3</v>
      </c>
      <c r="AI163" s="1">
        <v>0</v>
      </c>
      <c r="AJ163" s="1">
        <v>0</v>
      </c>
      <c r="AK163" s="1">
        <v>0</v>
      </c>
      <c r="AL163" s="1">
        <v>1</v>
      </c>
      <c r="AM163" s="1">
        <v>86400</v>
      </c>
      <c r="AN163" s="1">
        <v>68482</v>
      </c>
      <c r="AO163" s="1">
        <v>17918</v>
      </c>
      <c r="AP163" s="1">
        <v>86370</v>
      </c>
      <c r="AQ163" s="1">
        <v>35.312191187687972</v>
      </c>
    </row>
    <row r="164" spans="1:43" x14ac:dyDescent="0.45">
      <c r="A164" s="1">
        <v>163</v>
      </c>
      <c r="B164" s="1">
        <v>143</v>
      </c>
      <c r="C164" s="1">
        <v>64</v>
      </c>
      <c r="D164" s="1" t="s">
        <v>99</v>
      </c>
      <c r="E164" s="1" t="s">
        <v>100</v>
      </c>
      <c r="F164" s="1" t="s">
        <v>101</v>
      </c>
      <c r="G164" s="1" t="s">
        <v>46</v>
      </c>
      <c r="H164" s="1" t="s">
        <v>47</v>
      </c>
      <c r="I164" s="1">
        <v>1411</v>
      </c>
      <c r="J164" s="1">
        <v>38055</v>
      </c>
      <c r="K164" s="1">
        <v>1</v>
      </c>
      <c r="L164" s="1">
        <v>63</v>
      </c>
      <c r="M164" s="1">
        <v>2100</v>
      </c>
      <c r="N164" s="1" t="s">
        <v>48</v>
      </c>
      <c r="O164" s="1">
        <v>198824</v>
      </c>
      <c r="P164" s="1">
        <v>93</v>
      </c>
      <c r="Q164" s="1" t="s">
        <v>111</v>
      </c>
      <c r="R164" s="1" t="s">
        <v>50</v>
      </c>
      <c r="S164" s="1">
        <v>0</v>
      </c>
      <c r="T164" s="1">
        <v>0</v>
      </c>
      <c r="U164" s="1">
        <v>446.22899999999998</v>
      </c>
      <c r="V164" s="1">
        <v>21.9</v>
      </c>
      <c r="W164" s="1">
        <v>1.6</v>
      </c>
      <c r="X164" s="1">
        <v>3.9510000000000001</v>
      </c>
      <c r="Y164" s="1">
        <v>25.852</v>
      </c>
      <c r="Z164" s="1">
        <v>2.5000000000000001E-2</v>
      </c>
      <c r="AA164" s="1">
        <v>-1.7</v>
      </c>
      <c r="AB164" s="1">
        <v>-2.2999999999999998</v>
      </c>
      <c r="AC164" s="1">
        <v>-2.2999999999999998</v>
      </c>
      <c r="AD164" s="1">
        <v>3.9510000000000001</v>
      </c>
      <c r="AE164" s="1">
        <v>1E-3</v>
      </c>
      <c r="AF164" s="1">
        <v>1.4E-2</v>
      </c>
      <c r="AI164" s="1">
        <v>0</v>
      </c>
      <c r="AJ164" s="1">
        <v>0</v>
      </c>
      <c r="AK164" s="1">
        <v>0</v>
      </c>
      <c r="AL164" s="1">
        <v>1</v>
      </c>
      <c r="AM164" s="1">
        <v>86400</v>
      </c>
      <c r="AN164" s="1">
        <v>72976</v>
      </c>
      <c r="AO164" s="1">
        <v>13424</v>
      </c>
      <c r="AP164" s="1">
        <v>86180</v>
      </c>
      <c r="AQ164" s="1">
        <v>8.3137607800890159</v>
      </c>
    </row>
    <row r="165" spans="1:43" x14ac:dyDescent="0.45">
      <c r="A165" s="1">
        <v>164</v>
      </c>
      <c r="B165" s="1">
        <v>143</v>
      </c>
      <c r="C165" s="1">
        <v>64</v>
      </c>
      <c r="D165" s="1" t="s">
        <v>99</v>
      </c>
      <c r="E165" s="1" t="s">
        <v>100</v>
      </c>
      <c r="F165" s="1" t="s">
        <v>101</v>
      </c>
      <c r="G165" s="1" t="s">
        <v>46</v>
      </c>
      <c r="H165" s="1" t="s">
        <v>47</v>
      </c>
      <c r="I165" s="1">
        <v>1411</v>
      </c>
      <c r="J165" s="1">
        <v>38055</v>
      </c>
      <c r="K165" s="1">
        <v>1</v>
      </c>
      <c r="L165" s="1">
        <v>63</v>
      </c>
      <c r="M165" s="1">
        <v>2101</v>
      </c>
      <c r="N165" s="1" t="s">
        <v>48</v>
      </c>
      <c r="O165" s="1">
        <v>198825</v>
      </c>
      <c r="P165" s="1">
        <v>93</v>
      </c>
      <c r="Q165" s="1" t="s">
        <v>111</v>
      </c>
      <c r="R165" s="1" t="s">
        <v>50</v>
      </c>
      <c r="S165" s="1">
        <v>0</v>
      </c>
      <c r="T165" s="1">
        <v>0</v>
      </c>
      <c r="U165" s="1">
        <v>420.69600000000003</v>
      </c>
      <c r="V165" s="1">
        <v>21.959</v>
      </c>
      <c r="W165" s="1">
        <v>1.59</v>
      </c>
      <c r="X165" s="1">
        <v>3.8929999999999998</v>
      </c>
      <c r="Y165" s="1">
        <v>25.852</v>
      </c>
      <c r="Z165" s="1">
        <v>0.02</v>
      </c>
      <c r="AA165" s="1">
        <v>-0.4</v>
      </c>
      <c r="AB165" s="1">
        <v>-2.7</v>
      </c>
      <c r="AC165" s="1">
        <v>-2.7</v>
      </c>
      <c r="AD165" s="1">
        <v>3.8929999999999998</v>
      </c>
      <c r="AE165" s="1">
        <v>0</v>
      </c>
      <c r="AF165" s="1">
        <v>1.2E-2</v>
      </c>
      <c r="AI165" s="1">
        <v>0</v>
      </c>
      <c r="AJ165" s="1">
        <v>0</v>
      </c>
      <c r="AK165" s="1">
        <v>0</v>
      </c>
      <c r="AL165" s="1">
        <v>1</v>
      </c>
      <c r="AM165" s="1">
        <v>86400</v>
      </c>
      <c r="AN165" s="1">
        <v>69341</v>
      </c>
      <c r="AO165" s="1">
        <v>17059</v>
      </c>
      <c r="AP165" s="1">
        <v>86148</v>
      </c>
      <c r="AQ165" s="1">
        <v>29.450804754772161</v>
      </c>
    </row>
    <row r="166" spans="1:43" x14ac:dyDescent="0.45">
      <c r="A166" s="1">
        <v>165</v>
      </c>
      <c r="B166" s="1">
        <v>143</v>
      </c>
      <c r="C166" s="1">
        <v>64</v>
      </c>
      <c r="D166" s="1" t="s">
        <v>99</v>
      </c>
      <c r="E166" s="1" t="s">
        <v>100</v>
      </c>
      <c r="F166" s="1" t="s">
        <v>101</v>
      </c>
      <c r="G166" s="1" t="s">
        <v>46</v>
      </c>
      <c r="H166" s="1" t="s">
        <v>47</v>
      </c>
      <c r="I166" s="1">
        <v>1411</v>
      </c>
      <c r="J166" s="1">
        <v>38055</v>
      </c>
      <c r="K166" s="1">
        <v>1</v>
      </c>
      <c r="L166" s="1">
        <v>63</v>
      </c>
      <c r="M166" s="1">
        <v>2102</v>
      </c>
      <c r="N166" s="1" t="s">
        <v>48</v>
      </c>
      <c r="O166" s="1">
        <v>198827</v>
      </c>
      <c r="P166" s="1">
        <v>93</v>
      </c>
      <c r="Q166" s="1" t="s">
        <v>111</v>
      </c>
      <c r="R166" s="1" t="s">
        <v>50</v>
      </c>
      <c r="S166" s="1">
        <v>0</v>
      </c>
      <c r="T166" s="1">
        <v>0</v>
      </c>
      <c r="U166" s="1">
        <v>182.84700000000001</v>
      </c>
      <c r="V166" s="1">
        <v>21.972999999999999</v>
      </c>
      <c r="W166" s="1">
        <v>1.59</v>
      </c>
      <c r="X166" s="1">
        <v>3.8780000000000001</v>
      </c>
      <c r="Y166" s="1">
        <v>25.852</v>
      </c>
      <c r="Z166" s="1">
        <v>2.3E-2</v>
      </c>
      <c r="AA166" s="1">
        <v>-1.7</v>
      </c>
      <c r="AB166" s="1">
        <v>-2.7</v>
      </c>
      <c r="AC166" s="1">
        <v>-2.7</v>
      </c>
      <c r="AD166" s="1">
        <v>3.8780000000000001</v>
      </c>
      <c r="AE166" s="1">
        <v>0</v>
      </c>
      <c r="AF166" s="1">
        <v>2E-3</v>
      </c>
      <c r="AI166" s="1">
        <v>0</v>
      </c>
      <c r="AJ166" s="1">
        <v>0</v>
      </c>
      <c r="AK166" s="1">
        <v>0</v>
      </c>
      <c r="AL166" s="1">
        <v>1</v>
      </c>
      <c r="AM166" s="1">
        <v>86400</v>
      </c>
      <c r="AN166" s="1">
        <v>68377</v>
      </c>
      <c r="AO166" s="1">
        <v>18023</v>
      </c>
      <c r="AP166" s="1">
        <v>86243</v>
      </c>
      <c r="AQ166" s="1">
        <v>13.316750333865579</v>
      </c>
    </row>
    <row r="167" spans="1:43" x14ac:dyDescent="0.45">
      <c r="A167" s="1">
        <v>166</v>
      </c>
      <c r="B167" s="1">
        <v>143</v>
      </c>
      <c r="C167" s="1">
        <v>64</v>
      </c>
      <c r="D167" s="1" t="s">
        <v>99</v>
      </c>
      <c r="E167" s="1" t="s">
        <v>100</v>
      </c>
      <c r="F167" s="1" t="s">
        <v>101</v>
      </c>
      <c r="G167" s="1" t="s">
        <v>46</v>
      </c>
      <c r="H167" s="1" t="s">
        <v>47</v>
      </c>
      <c r="I167" s="1">
        <v>1411</v>
      </c>
      <c r="J167" s="1">
        <v>38055</v>
      </c>
      <c r="K167" s="1">
        <v>1</v>
      </c>
      <c r="L167" s="1">
        <v>63</v>
      </c>
      <c r="M167" s="1">
        <v>2103</v>
      </c>
      <c r="N167" s="1" t="s">
        <v>48</v>
      </c>
      <c r="O167" s="1">
        <v>198828</v>
      </c>
      <c r="P167" s="1">
        <v>93</v>
      </c>
      <c r="Q167" s="1" t="s">
        <v>111</v>
      </c>
      <c r="R167" s="1" t="s">
        <v>50</v>
      </c>
      <c r="S167" s="1">
        <v>0</v>
      </c>
      <c r="T167" s="1">
        <v>0</v>
      </c>
      <c r="U167" s="1">
        <v>91.424000000000007</v>
      </c>
      <c r="V167" s="1">
        <v>22.026</v>
      </c>
      <c r="W167" s="1">
        <v>1.58</v>
      </c>
      <c r="X167" s="1">
        <v>3.8260000000000001</v>
      </c>
      <c r="Y167" s="1">
        <v>25.852</v>
      </c>
      <c r="Z167" s="1">
        <v>2.1000000000000001E-2</v>
      </c>
      <c r="AA167" s="1">
        <v>-2.2000000000000002</v>
      </c>
      <c r="AB167" s="1">
        <v>-2.7</v>
      </c>
      <c r="AC167" s="1">
        <v>-2.7</v>
      </c>
      <c r="AD167" s="1">
        <v>3.8260000000000001</v>
      </c>
      <c r="AE167" s="1">
        <v>0</v>
      </c>
      <c r="AF167" s="1">
        <v>2E-3</v>
      </c>
      <c r="AI167" s="1">
        <v>0</v>
      </c>
      <c r="AJ167" s="1">
        <v>0</v>
      </c>
      <c r="AK167" s="1">
        <v>0</v>
      </c>
      <c r="AL167" s="1">
        <v>1</v>
      </c>
      <c r="AM167" s="1">
        <v>86400</v>
      </c>
      <c r="AN167" s="1">
        <v>65272</v>
      </c>
      <c r="AO167" s="1">
        <v>21128</v>
      </c>
      <c r="AP167" s="1">
        <v>86248</v>
      </c>
      <c r="AQ167" s="1">
        <v>6.674381404519357</v>
      </c>
    </row>
    <row r="168" spans="1:43" x14ac:dyDescent="0.45">
      <c r="A168" s="1">
        <v>167</v>
      </c>
      <c r="B168" s="1">
        <v>143</v>
      </c>
      <c r="C168" s="1">
        <v>64</v>
      </c>
      <c r="D168" s="1" t="s">
        <v>99</v>
      </c>
      <c r="E168" s="1" t="s">
        <v>100</v>
      </c>
      <c r="F168" s="1" t="s">
        <v>101</v>
      </c>
      <c r="G168" s="1" t="s">
        <v>46</v>
      </c>
      <c r="H168" s="1" t="s">
        <v>47</v>
      </c>
      <c r="I168" s="1">
        <v>1411</v>
      </c>
      <c r="J168" s="1">
        <v>38055</v>
      </c>
      <c r="K168" s="1">
        <v>1</v>
      </c>
      <c r="L168" s="1">
        <v>63</v>
      </c>
      <c r="M168" s="1">
        <v>2105</v>
      </c>
      <c r="N168" s="1" t="s">
        <v>48</v>
      </c>
      <c r="O168" s="1">
        <v>198830</v>
      </c>
      <c r="P168" s="1">
        <v>93</v>
      </c>
      <c r="Q168" s="1" t="s">
        <v>111</v>
      </c>
      <c r="R168" s="1" t="s">
        <v>50</v>
      </c>
      <c r="S168" s="1">
        <v>0</v>
      </c>
      <c r="T168" s="1">
        <v>0</v>
      </c>
      <c r="U168" s="1">
        <v>91.95</v>
      </c>
      <c r="V168" s="1">
        <v>22.048999999999999</v>
      </c>
      <c r="W168" s="1">
        <v>1.58</v>
      </c>
      <c r="X168" s="1">
        <v>3.8029999999999999</v>
      </c>
      <c r="Y168" s="1">
        <v>25.852</v>
      </c>
      <c r="Z168" s="1">
        <v>1.7999999999999999E-2</v>
      </c>
      <c r="AA168" s="1">
        <v>-3.1</v>
      </c>
      <c r="AB168" s="1">
        <v>-1.9</v>
      </c>
      <c r="AC168" s="1">
        <v>-1.9</v>
      </c>
      <c r="AD168" s="1">
        <v>3.8029999999999999</v>
      </c>
      <c r="AE168" s="1">
        <v>1E-3</v>
      </c>
      <c r="AF168" s="1">
        <v>1.6E-2</v>
      </c>
      <c r="AI168" s="1">
        <v>0</v>
      </c>
      <c r="AJ168" s="1">
        <v>0</v>
      </c>
      <c r="AK168" s="1">
        <v>0</v>
      </c>
      <c r="AL168" s="1">
        <v>1</v>
      </c>
      <c r="AM168" s="1">
        <v>86400</v>
      </c>
      <c r="AN168" s="1">
        <v>63939</v>
      </c>
      <c r="AO168" s="1">
        <v>22461</v>
      </c>
      <c r="AP168" s="1">
        <v>86266</v>
      </c>
      <c r="AQ168" s="1">
        <v>9.6539209687867764</v>
      </c>
    </row>
    <row r="169" spans="1:43" x14ac:dyDescent="0.45">
      <c r="A169" s="1">
        <v>168</v>
      </c>
      <c r="B169" s="1">
        <v>143</v>
      </c>
      <c r="C169" s="1">
        <v>64</v>
      </c>
      <c r="D169" s="1" t="s">
        <v>99</v>
      </c>
      <c r="E169" s="1" t="s">
        <v>100</v>
      </c>
      <c r="F169" s="1" t="s">
        <v>101</v>
      </c>
      <c r="G169" s="1" t="s">
        <v>46</v>
      </c>
      <c r="H169" s="1" t="s">
        <v>47</v>
      </c>
      <c r="I169" s="1">
        <v>1411</v>
      </c>
      <c r="J169" s="1">
        <v>38055</v>
      </c>
      <c r="K169" s="1">
        <v>1</v>
      </c>
      <c r="L169" s="1">
        <v>63</v>
      </c>
      <c r="M169" s="1">
        <v>2106</v>
      </c>
      <c r="N169" s="1" t="s">
        <v>48</v>
      </c>
      <c r="O169" s="1">
        <v>198831</v>
      </c>
      <c r="P169" s="1">
        <v>93</v>
      </c>
      <c r="Q169" s="1" t="s">
        <v>111</v>
      </c>
      <c r="R169" s="1" t="s">
        <v>50</v>
      </c>
      <c r="S169" s="1">
        <v>0</v>
      </c>
      <c r="T169" s="1">
        <v>0</v>
      </c>
      <c r="U169" s="1">
        <v>52.819000000000003</v>
      </c>
      <c r="V169" s="1">
        <v>22.129000000000001</v>
      </c>
      <c r="W169" s="1">
        <v>1.57</v>
      </c>
      <c r="X169" s="1">
        <v>3.7229999999999999</v>
      </c>
      <c r="Y169" s="1">
        <v>25.852</v>
      </c>
      <c r="Z169" s="1">
        <v>3.6999999999999998E-2</v>
      </c>
      <c r="AA169" s="1">
        <v>-2.2000000000000002</v>
      </c>
      <c r="AB169" s="1">
        <v>-2.7</v>
      </c>
      <c r="AC169" s="1">
        <v>-2.7</v>
      </c>
      <c r="AD169" s="1">
        <v>3.7229999999999999</v>
      </c>
      <c r="AE169" s="1">
        <v>1E-3</v>
      </c>
      <c r="AF169" s="1">
        <v>2.1000000000000001E-2</v>
      </c>
      <c r="AI169" s="1">
        <v>0</v>
      </c>
      <c r="AJ169" s="1">
        <v>0</v>
      </c>
      <c r="AK169" s="1">
        <v>0</v>
      </c>
      <c r="AL169" s="1">
        <v>1</v>
      </c>
      <c r="AM169" s="1">
        <v>86400</v>
      </c>
      <c r="AN169" s="1">
        <v>59784</v>
      </c>
      <c r="AO169" s="1">
        <v>26616</v>
      </c>
      <c r="AP169" s="1">
        <v>86362</v>
      </c>
      <c r="AQ169" s="1">
        <v>2.634079656688562</v>
      </c>
    </row>
    <row r="170" spans="1:43" x14ac:dyDescent="0.45">
      <c r="A170" s="1">
        <v>169</v>
      </c>
      <c r="B170" s="1">
        <v>143</v>
      </c>
      <c r="C170" s="1">
        <v>64</v>
      </c>
      <c r="D170" s="1" t="s">
        <v>99</v>
      </c>
      <c r="E170" s="1" t="s">
        <v>100</v>
      </c>
      <c r="F170" s="1" t="s">
        <v>101</v>
      </c>
      <c r="G170" s="1" t="s">
        <v>46</v>
      </c>
      <c r="H170" s="1" t="s">
        <v>47</v>
      </c>
      <c r="I170" s="1">
        <v>1411</v>
      </c>
      <c r="J170" s="1">
        <v>38055</v>
      </c>
      <c r="K170" s="1">
        <v>1</v>
      </c>
      <c r="L170" s="1">
        <v>63</v>
      </c>
      <c r="M170" s="1">
        <v>2107</v>
      </c>
      <c r="N170" s="1" t="s">
        <v>48</v>
      </c>
      <c r="O170" s="1">
        <v>198878</v>
      </c>
      <c r="P170" s="1">
        <v>93</v>
      </c>
      <c r="Q170" s="1" t="s">
        <v>111</v>
      </c>
      <c r="R170" s="1" t="s">
        <v>50</v>
      </c>
      <c r="S170" s="1">
        <v>0</v>
      </c>
      <c r="T170" s="1">
        <v>0</v>
      </c>
      <c r="U170" s="1">
        <v>73.399000000000001</v>
      </c>
      <c r="V170" s="1">
        <v>22.128</v>
      </c>
      <c r="W170" s="1">
        <v>1.57</v>
      </c>
      <c r="X170" s="1">
        <v>3.7240000000000002</v>
      </c>
      <c r="Y170" s="1">
        <v>25.852</v>
      </c>
      <c r="Z170" s="1">
        <v>5.5E-2</v>
      </c>
      <c r="AA170" s="1">
        <v>-2.9</v>
      </c>
      <c r="AB170" s="1">
        <v>1.9</v>
      </c>
      <c r="AC170" s="1">
        <v>1.9</v>
      </c>
      <c r="AD170" s="1">
        <v>3.7240000000000002</v>
      </c>
      <c r="AE170" s="1">
        <v>6.0000000000000001E-3</v>
      </c>
      <c r="AF170" s="1">
        <v>7.0999999999999994E-2</v>
      </c>
      <c r="AI170" s="1">
        <v>0</v>
      </c>
      <c r="AJ170" s="1">
        <v>0</v>
      </c>
      <c r="AK170" s="1">
        <v>0</v>
      </c>
      <c r="AL170" s="1">
        <v>1</v>
      </c>
      <c r="AM170" s="1">
        <v>86400</v>
      </c>
      <c r="AN170" s="1">
        <v>59843</v>
      </c>
      <c r="AO170" s="1">
        <v>26557</v>
      </c>
      <c r="AP170" s="1">
        <v>86258</v>
      </c>
      <c r="AQ170" s="1">
        <v>7.1279075815975794</v>
      </c>
    </row>
    <row r="171" spans="1:43" x14ac:dyDescent="0.45">
      <c r="A171" s="1">
        <v>170</v>
      </c>
      <c r="B171" s="1">
        <v>143</v>
      </c>
      <c r="C171" s="1">
        <v>64</v>
      </c>
      <c r="D171" s="1" t="s">
        <v>99</v>
      </c>
      <c r="E171" s="1" t="s">
        <v>100</v>
      </c>
      <c r="F171" s="1" t="s">
        <v>101</v>
      </c>
      <c r="G171" s="1" t="s">
        <v>46</v>
      </c>
      <c r="H171" s="1" t="s">
        <v>47</v>
      </c>
      <c r="I171" s="1">
        <v>1411</v>
      </c>
      <c r="J171" s="1">
        <v>38055</v>
      </c>
      <c r="K171" s="1">
        <v>1</v>
      </c>
      <c r="L171" s="1">
        <v>63</v>
      </c>
      <c r="M171" s="1">
        <v>2108</v>
      </c>
      <c r="N171" s="1" t="s">
        <v>48</v>
      </c>
      <c r="O171" s="1">
        <v>198880</v>
      </c>
      <c r="P171" s="1">
        <v>93</v>
      </c>
      <c r="Q171" s="1" t="s">
        <v>111</v>
      </c>
      <c r="R171" s="1" t="s">
        <v>50</v>
      </c>
      <c r="S171" s="1">
        <v>0</v>
      </c>
      <c r="T171" s="1">
        <v>0</v>
      </c>
      <c r="U171" s="1">
        <v>136.09700000000001</v>
      </c>
      <c r="V171" s="1">
        <v>21.954999999999998</v>
      </c>
      <c r="W171" s="1">
        <v>1.59</v>
      </c>
      <c r="X171" s="1">
        <v>3.8969999999999998</v>
      </c>
      <c r="Y171" s="1">
        <v>25.852</v>
      </c>
      <c r="Z171" s="1">
        <v>3.7999999999999999E-2</v>
      </c>
      <c r="AA171" s="1">
        <v>-1.8</v>
      </c>
      <c r="AB171" s="1">
        <v>1.9</v>
      </c>
      <c r="AC171" s="1">
        <v>1.9</v>
      </c>
      <c r="AD171" s="1">
        <v>3.8969999999999998</v>
      </c>
      <c r="AE171" s="1">
        <v>0</v>
      </c>
      <c r="AF171" s="1">
        <v>4.0000000000000001E-3</v>
      </c>
      <c r="AI171" s="1">
        <v>0</v>
      </c>
      <c r="AJ171" s="1">
        <v>0</v>
      </c>
      <c r="AK171" s="1">
        <v>0</v>
      </c>
      <c r="AL171" s="1">
        <v>1</v>
      </c>
      <c r="AM171" s="1">
        <v>86400</v>
      </c>
      <c r="AN171" s="1">
        <v>69646</v>
      </c>
      <c r="AO171" s="1">
        <v>16754</v>
      </c>
      <c r="AP171" s="1">
        <v>86310</v>
      </c>
      <c r="AQ171" s="1">
        <v>7.2449964355107257</v>
      </c>
    </row>
    <row r="172" spans="1:43" x14ac:dyDescent="0.45">
      <c r="A172" s="1">
        <v>171</v>
      </c>
      <c r="B172" s="1">
        <v>168</v>
      </c>
      <c r="C172" s="1">
        <v>76</v>
      </c>
      <c r="D172" s="1" t="s">
        <v>118</v>
      </c>
      <c r="E172" s="1" t="s">
        <v>119</v>
      </c>
      <c r="F172" s="1" t="s">
        <v>120</v>
      </c>
      <c r="G172" s="1" t="s">
        <v>46</v>
      </c>
      <c r="H172" s="1" t="s">
        <v>47</v>
      </c>
      <c r="I172" s="1">
        <v>679</v>
      </c>
      <c r="J172" s="1">
        <v>24380</v>
      </c>
      <c r="K172" s="1">
        <v>1</v>
      </c>
      <c r="L172" s="1">
        <v>75</v>
      </c>
      <c r="M172" s="1">
        <v>1758</v>
      </c>
      <c r="N172" s="1" t="s">
        <v>48</v>
      </c>
      <c r="O172" s="1">
        <v>194050</v>
      </c>
      <c r="P172" s="1">
        <v>93</v>
      </c>
      <c r="Q172" s="1" t="s">
        <v>111</v>
      </c>
      <c r="R172" s="1" t="s">
        <v>50</v>
      </c>
      <c r="S172" s="1">
        <v>0</v>
      </c>
      <c r="T172" s="1">
        <v>0</v>
      </c>
      <c r="U172" s="1">
        <v>681.69200000000001</v>
      </c>
      <c r="V172" s="1">
        <v>25.199000000000002</v>
      </c>
      <c r="W172" s="1">
        <v>0.52</v>
      </c>
      <c r="X172" s="1">
        <v>0.13500000000000001</v>
      </c>
      <c r="Y172" s="1">
        <v>25.335000000000001</v>
      </c>
      <c r="Z172" s="1">
        <v>6.4000000000000001E-2</v>
      </c>
      <c r="AA172" s="1">
        <v>-0.8</v>
      </c>
      <c r="AB172" s="1">
        <v>-0.9</v>
      </c>
      <c r="AC172" s="1">
        <v>-0.9</v>
      </c>
      <c r="AD172" s="1">
        <v>0.13500000000000001</v>
      </c>
      <c r="AE172" s="1">
        <v>5.2999999999999999E-2</v>
      </c>
      <c r="AF172" s="1">
        <v>7.0000000000000001E-3</v>
      </c>
      <c r="AG172" s="1">
        <v>-0.8</v>
      </c>
      <c r="AI172" s="1">
        <v>0</v>
      </c>
      <c r="AJ172" s="1">
        <v>0</v>
      </c>
      <c r="AK172" s="1">
        <v>0</v>
      </c>
      <c r="AL172" s="1">
        <v>1</v>
      </c>
      <c r="AM172" s="1">
        <v>54429</v>
      </c>
      <c r="AN172" s="1">
        <v>14276</v>
      </c>
      <c r="AO172" s="1">
        <v>40153</v>
      </c>
      <c r="AP172" s="1">
        <v>49409</v>
      </c>
      <c r="AQ172" s="1">
        <v>0.28784801782867719</v>
      </c>
    </row>
    <row r="173" spans="1:43" x14ac:dyDescent="0.45">
      <c r="A173" s="1">
        <v>172</v>
      </c>
      <c r="B173" s="1">
        <v>170</v>
      </c>
      <c r="C173" s="1">
        <v>89</v>
      </c>
      <c r="D173" s="1" t="s">
        <v>121</v>
      </c>
      <c r="E173" s="1" t="s">
        <v>122</v>
      </c>
      <c r="F173" s="1" t="s">
        <v>123</v>
      </c>
      <c r="G173" s="1" t="s">
        <v>54</v>
      </c>
      <c r="H173" s="1" t="s">
        <v>47</v>
      </c>
      <c r="I173" s="1">
        <v>766</v>
      </c>
      <c r="J173" s="1">
        <v>21382</v>
      </c>
      <c r="K173" s="1">
        <v>1</v>
      </c>
      <c r="L173" s="1">
        <v>88</v>
      </c>
      <c r="M173" s="1">
        <v>1871</v>
      </c>
      <c r="N173" s="1" t="s">
        <v>48</v>
      </c>
      <c r="O173" s="1">
        <v>195155</v>
      </c>
      <c r="P173" s="1">
        <v>93</v>
      </c>
      <c r="Q173" s="1" t="s">
        <v>111</v>
      </c>
      <c r="R173" s="1" t="s">
        <v>50</v>
      </c>
      <c r="S173" s="1">
        <v>0</v>
      </c>
      <c r="T173" s="1">
        <v>0</v>
      </c>
      <c r="U173" s="1">
        <v>53.843000000000004</v>
      </c>
      <c r="V173" s="1">
        <v>20.477</v>
      </c>
      <c r="W173" s="1">
        <v>1.75</v>
      </c>
      <c r="X173" s="1">
        <v>4.2889999999999997</v>
      </c>
      <c r="Y173" s="1">
        <v>24.765999999999998</v>
      </c>
      <c r="Z173" s="1">
        <v>0.23400000000000001</v>
      </c>
      <c r="AA173" s="1">
        <v>0.6</v>
      </c>
      <c r="AB173" s="1">
        <v>0.6</v>
      </c>
      <c r="AC173" s="1">
        <v>0.6</v>
      </c>
      <c r="AD173" s="1">
        <v>4.2869999999999999</v>
      </c>
      <c r="AE173" s="1">
        <v>0.23200000000000001</v>
      </c>
      <c r="AF173" s="1">
        <v>0.999</v>
      </c>
      <c r="AG173" s="1">
        <v>0.6</v>
      </c>
      <c r="AI173" s="1">
        <v>0</v>
      </c>
      <c r="AJ173" s="1">
        <v>0</v>
      </c>
      <c r="AK173" s="1">
        <v>0</v>
      </c>
      <c r="AL173" s="1">
        <v>1</v>
      </c>
      <c r="AM173" s="1">
        <v>86400</v>
      </c>
      <c r="AN173" s="1">
        <v>77669</v>
      </c>
      <c r="AO173" s="1">
        <v>8731</v>
      </c>
      <c r="AP173" s="1">
        <v>50575</v>
      </c>
      <c r="AQ173" s="1">
        <v>5.6937170470055518</v>
      </c>
    </row>
    <row r="174" spans="1:43" x14ac:dyDescent="0.45">
      <c r="A174" s="1">
        <v>173</v>
      </c>
      <c r="B174" s="1">
        <v>170</v>
      </c>
      <c r="C174" s="1">
        <v>89</v>
      </c>
      <c r="D174" s="1" t="s">
        <v>121</v>
      </c>
      <c r="E174" s="1" t="s">
        <v>122</v>
      </c>
      <c r="F174" s="1" t="s">
        <v>123</v>
      </c>
      <c r="G174" s="1" t="s">
        <v>54</v>
      </c>
      <c r="H174" s="1" t="s">
        <v>47</v>
      </c>
      <c r="I174" s="1">
        <v>766</v>
      </c>
      <c r="J174" s="1">
        <v>21382</v>
      </c>
      <c r="K174" s="1">
        <v>1</v>
      </c>
      <c r="L174" s="1">
        <v>88</v>
      </c>
      <c r="M174" s="1">
        <v>1879</v>
      </c>
      <c r="N174" s="1" t="s">
        <v>48</v>
      </c>
      <c r="O174" s="1">
        <v>195163</v>
      </c>
      <c r="P174" s="1">
        <v>93</v>
      </c>
      <c r="Q174" s="1" t="s">
        <v>111</v>
      </c>
      <c r="R174" s="1" t="s">
        <v>50</v>
      </c>
      <c r="S174" s="1">
        <v>0</v>
      </c>
      <c r="T174" s="1">
        <v>0</v>
      </c>
      <c r="U174" s="1">
        <v>77.653000000000006</v>
      </c>
      <c r="V174" s="1">
        <v>21.117000000000001</v>
      </c>
      <c r="W174" s="1">
        <v>1.56</v>
      </c>
      <c r="X174" s="1">
        <v>3.653</v>
      </c>
      <c r="Y174" s="1">
        <v>24.771000000000001</v>
      </c>
      <c r="Z174" s="1">
        <v>0.54100000000000004</v>
      </c>
      <c r="AA174" s="1">
        <v>1.7</v>
      </c>
      <c r="AB174" s="1">
        <v>2</v>
      </c>
      <c r="AC174" s="1">
        <v>1.4</v>
      </c>
      <c r="AD174" s="1">
        <v>3.6419999999999999</v>
      </c>
      <c r="AE174" s="1">
        <v>2.5000000000000001E-2</v>
      </c>
      <c r="AF174" s="1">
        <v>0.11700000000000001</v>
      </c>
      <c r="AG174" s="1">
        <v>1.7</v>
      </c>
      <c r="AI174" s="1">
        <v>0</v>
      </c>
      <c r="AJ174" s="1">
        <v>0</v>
      </c>
      <c r="AK174" s="1">
        <v>0</v>
      </c>
      <c r="AL174" s="1">
        <v>1</v>
      </c>
      <c r="AM174" s="1">
        <v>76582</v>
      </c>
      <c r="AN174" s="1">
        <v>50606</v>
      </c>
      <c r="AO174" s="1">
        <v>25942</v>
      </c>
      <c r="AP174" s="1">
        <v>50632</v>
      </c>
      <c r="AQ174" s="1">
        <v>7.1683937504640411</v>
      </c>
    </row>
    <row r="175" spans="1:43" x14ac:dyDescent="0.45">
      <c r="A175" s="1">
        <v>174</v>
      </c>
      <c r="B175" s="1">
        <v>170</v>
      </c>
      <c r="C175" s="1">
        <v>89</v>
      </c>
      <c r="D175" s="1" t="s">
        <v>121</v>
      </c>
      <c r="E175" s="1" t="s">
        <v>122</v>
      </c>
      <c r="F175" s="1" t="s">
        <v>123</v>
      </c>
      <c r="G175" s="1" t="s">
        <v>54</v>
      </c>
      <c r="H175" s="1" t="s">
        <v>47</v>
      </c>
      <c r="I175" s="1">
        <v>766</v>
      </c>
      <c r="J175" s="1">
        <v>21382</v>
      </c>
      <c r="K175" s="1">
        <v>1</v>
      </c>
      <c r="L175" s="1">
        <v>88</v>
      </c>
      <c r="M175" s="1">
        <v>1881</v>
      </c>
      <c r="N175" s="1" t="s">
        <v>48</v>
      </c>
      <c r="O175" s="1">
        <v>195165</v>
      </c>
      <c r="P175" s="1">
        <v>93</v>
      </c>
      <c r="Q175" s="1" t="s">
        <v>111</v>
      </c>
      <c r="R175" s="1" t="s">
        <v>50</v>
      </c>
      <c r="S175" s="1">
        <v>0</v>
      </c>
      <c r="T175" s="1">
        <v>0</v>
      </c>
      <c r="U175" s="1">
        <v>82.712999999999994</v>
      </c>
      <c r="V175" s="1">
        <v>21.097999999999999</v>
      </c>
      <c r="W175" s="1">
        <v>1.58</v>
      </c>
      <c r="X175" s="1">
        <v>3.6739999999999999</v>
      </c>
      <c r="Y175" s="1">
        <v>24.773</v>
      </c>
      <c r="Z175" s="1">
        <v>0.72699999999999998</v>
      </c>
      <c r="AA175" s="1">
        <v>1.4</v>
      </c>
      <c r="AB175" s="1">
        <v>2.1</v>
      </c>
      <c r="AC175" s="1">
        <v>2.1</v>
      </c>
      <c r="AD175" s="1">
        <v>3.665</v>
      </c>
      <c r="AE175" s="1">
        <v>5.8000000000000003E-2</v>
      </c>
      <c r="AF175" s="1">
        <v>0.21199999999999999</v>
      </c>
      <c r="AG175" s="1">
        <v>1.4</v>
      </c>
      <c r="AI175" s="1">
        <v>0</v>
      </c>
      <c r="AJ175" s="1">
        <v>0</v>
      </c>
      <c r="AK175" s="1">
        <v>0</v>
      </c>
      <c r="AL175" s="1">
        <v>1</v>
      </c>
      <c r="AM175" s="1">
        <v>77915</v>
      </c>
      <c r="AN175" s="1">
        <v>59295</v>
      </c>
      <c r="AO175" s="1">
        <v>18552</v>
      </c>
      <c r="AP175" s="1">
        <v>50617</v>
      </c>
      <c r="AQ175" s="1">
        <v>6.6330805374352551</v>
      </c>
    </row>
    <row r="176" spans="1:43" x14ac:dyDescent="0.45">
      <c r="A176" s="1">
        <v>175</v>
      </c>
      <c r="B176" s="1">
        <v>170</v>
      </c>
      <c r="C176" s="1">
        <v>89</v>
      </c>
      <c r="D176" s="1" t="s">
        <v>121</v>
      </c>
      <c r="E176" s="1" t="s">
        <v>122</v>
      </c>
      <c r="F176" s="1" t="s">
        <v>123</v>
      </c>
      <c r="G176" s="1" t="s">
        <v>54</v>
      </c>
      <c r="H176" s="1" t="s">
        <v>47</v>
      </c>
      <c r="I176" s="1">
        <v>766</v>
      </c>
      <c r="J176" s="1">
        <v>21382</v>
      </c>
      <c r="K176" s="1">
        <v>1</v>
      </c>
      <c r="L176" s="1">
        <v>88</v>
      </c>
      <c r="M176" s="1">
        <v>1882</v>
      </c>
      <c r="N176" s="1" t="s">
        <v>48</v>
      </c>
      <c r="O176" s="1">
        <v>195168</v>
      </c>
      <c r="P176" s="1">
        <v>93</v>
      </c>
      <c r="Q176" s="1" t="s">
        <v>111</v>
      </c>
      <c r="R176" s="1" t="s">
        <v>50</v>
      </c>
      <c r="S176" s="1">
        <v>0</v>
      </c>
      <c r="T176" s="1">
        <v>0</v>
      </c>
      <c r="U176" s="1">
        <v>136.03899999999999</v>
      </c>
      <c r="V176" s="1">
        <v>21.044</v>
      </c>
      <c r="W176" s="1">
        <v>1.59</v>
      </c>
      <c r="X176" s="1">
        <v>3.7229999999999999</v>
      </c>
      <c r="Y176" s="1">
        <v>24.768000000000001</v>
      </c>
      <c r="Z176" s="1">
        <v>0.42399999999999999</v>
      </c>
      <c r="AA176" s="1">
        <v>0.4</v>
      </c>
      <c r="AB176" s="1">
        <v>0.4</v>
      </c>
      <c r="AC176" s="1">
        <v>0.4</v>
      </c>
      <c r="AD176" s="1">
        <v>3.7189999999999999</v>
      </c>
      <c r="AE176" s="1">
        <v>5.3999999999999999E-2</v>
      </c>
      <c r="AF176" s="1">
        <v>0.20599999999999999</v>
      </c>
      <c r="AG176" s="1">
        <v>0.4</v>
      </c>
      <c r="AI176" s="1">
        <v>0</v>
      </c>
      <c r="AJ176" s="1">
        <v>0</v>
      </c>
      <c r="AK176" s="1">
        <v>0</v>
      </c>
      <c r="AL176" s="1">
        <v>1</v>
      </c>
      <c r="AM176" s="1">
        <v>86400</v>
      </c>
      <c r="AN176" s="1">
        <v>73500</v>
      </c>
      <c r="AO176" s="1">
        <v>12900</v>
      </c>
      <c r="AP176" s="1">
        <v>50629</v>
      </c>
      <c r="AQ176" s="1">
        <v>21.579620393168941</v>
      </c>
    </row>
    <row r="177" spans="1:43" x14ac:dyDescent="0.45">
      <c r="A177" s="1">
        <v>176</v>
      </c>
      <c r="B177" s="1">
        <v>170</v>
      </c>
      <c r="C177" s="1">
        <v>89</v>
      </c>
      <c r="D177" s="1" t="s">
        <v>121</v>
      </c>
      <c r="E177" s="1" t="s">
        <v>122</v>
      </c>
      <c r="F177" s="1" t="s">
        <v>123</v>
      </c>
      <c r="G177" s="1" t="s">
        <v>54</v>
      </c>
      <c r="H177" s="1" t="s">
        <v>47</v>
      </c>
      <c r="I177" s="1">
        <v>766</v>
      </c>
      <c r="J177" s="1">
        <v>21382</v>
      </c>
      <c r="K177" s="1">
        <v>1</v>
      </c>
      <c r="L177" s="1">
        <v>88</v>
      </c>
      <c r="M177" s="1">
        <v>1883</v>
      </c>
      <c r="N177" s="1" t="s">
        <v>48</v>
      </c>
      <c r="O177" s="1">
        <v>195169</v>
      </c>
      <c r="P177" s="1">
        <v>93</v>
      </c>
      <c r="Q177" s="1" t="s">
        <v>111</v>
      </c>
      <c r="R177" s="1" t="s">
        <v>50</v>
      </c>
      <c r="S177" s="1">
        <v>0</v>
      </c>
      <c r="T177" s="1">
        <v>0</v>
      </c>
      <c r="U177" s="1">
        <v>82.075999999999993</v>
      </c>
      <c r="V177" s="1">
        <v>20.9</v>
      </c>
      <c r="W177" s="1">
        <v>1.61</v>
      </c>
      <c r="X177" s="1">
        <v>3.867</v>
      </c>
      <c r="Y177" s="1">
        <v>24.768000000000001</v>
      </c>
      <c r="Z177" s="1">
        <v>0.33400000000000002</v>
      </c>
      <c r="AA177" s="1">
        <v>0.7</v>
      </c>
      <c r="AB177" s="1">
        <v>0.5</v>
      </c>
      <c r="AC177" s="1">
        <v>0.6</v>
      </c>
      <c r="AD177" s="1">
        <v>3.8639999999999999</v>
      </c>
      <c r="AE177" s="1">
        <v>5.1999999999999998E-2</v>
      </c>
      <c r="AF177" s="1">
        <v>0.20200000000000001</v>
      </c>
      <c r="AG177" s="1">
        <v>0.7</v>
      </c>
      <c r="AI177" s="1">
        <v>0</v>
      </c>
      <c r="AJ177" s="1">
        <v>0</v>
      </c>
      <c r="AK177" s="1">
        <v>0</v>
      </c>
      <c r="AL177" s="1">
        <v>1</v>
      </c>
      <c r="AM177" s="1">
        <v>86400</v>
      </c>
      <c r="AN177" s="1">
        <v>81342</v>
      </c>
      <c r="AO177" s="1">
        <v>5058</v>
      </c>
      <c r="AP177" s="1">
        <v>50640</v>
      </c>
      <c r="AQ177" s="1">
        <v>0.18602093680121329</v>
      </c>
    </row>
    <row r="178" spans="1:43" x14ac:dyDescent="0.45">
      <c r="A178" s="1">
        <v>177</v>
      </c>
      <c r="B178" s="1">
        <v>170</v>
      </c>
      <c r="C178" s="1">
        <v>89</v>
      </c>
      <c r="D178" s="1" t="s">
        <v>121</v>
      </c>
      <c r="E178" s="1" t="s">
        <v>122</v>
      </c>
      <c r="F178" s="1" t="s">
        <v>123</v>
      </c>
      <c r="G178" s="1" t="s">
        <v>54</v>
      </c>
      <c r="H178" s="1" t="s">
        <v>47</v>
      </c>
      <c r="I178" s="1">
        <v>766</v>
      </c>
      <c r="J178" s="1">
        <v>21382</v>
      </c>
      <c r="K178" s="1">
        <v>1</v>
      </c>
      <c r="L178" s="1">
        <v>88</v>
      </c>
      <c r="M178" s="1">
        <v>1884</v>
      </c>
      <c r="N178" s="1" t="s">
        <v>48</v>
      </c>
      <c r="O178" s="1">
        <v>195170</v>
      </c>
      <c r="P178" s="1">
        <v>93</v>
      </c>
      <c r="Q178" s="1" t="s">
        <v>111</v>
      </c>
      <c r="R178" s="1" t="s">
        <v>50</v>
      </c>
      <c r="S178" s="1">
        <v>0</v>
      </c>
      <c r="T178" s="1">
        <v>0</v>
      </c>
      <c r="U178" s="1">
        <v>66.691999999999993</v>
      </c>
      <c r="V178" s="1">
        <v>21.17</v>
      </c>
      <c r="W178" s="1">
        <v>1.56</v>
      </c>
      <c r="X178" s="1">
        <v>3.5990000000000002</v>
      </c>
      <c r="Y178" s="1">
        <v>24.768999999999998</v>
      </c>
      <c r="Z178" s="1">
        <v>0.28999999999999998</v>
      </c>
      <c r="AA178" s="1">
        <v>0.5</v>
      </c>
      <c r="AB178" s="1">
        <v>0.5</v>
      </c>
      <c r="AC178" s="1">
        <v>0.4</v>
      </c>
      <c r="AD178" s="1">
        <v>3.597</v>
      </c>
      <c r="AE178" s="1">
        <v>4.5999999999999999E-2</v>
      </c>
      <c r="AF178" s="1">
        <v>0.16400000000000001</v>
      </c>
      <c r="AG178" s="1">
        <v>0.5</v>
      </c>
      <c r="AI178" s="1">
        <v>0</v>
      </c>
      <c r="AJ178" s="1">
        <v>0</v>
      </c>
      <c r="AK178" s="1">
        <v>0</v>
      </c>
      <c r="AL178" s="1">
        <v>1</v>
      </c>
      <c r="AM178" s="1">
        <v>75869</v>
      </c>
      <c r="AN178" s="1">
        <v>39543</v>
      </c>
      <c r="AO178" s="1">
        <v>36313</v>
      </c>
      <c r="AP178" s="1">
        <v>50617</v>
      </c>
      <c r="AQ178" s="1">
        <v>13.34484878906739</v>
      </c>
    </row>
    <row r="179" spans="1:43" x14ac:dyDescent="0.45">
      <c r="A179" s="1">
        <v>178</v>
      </c>
      <c r="B179" s="1">
        <v>170</v>
      </c>
      <c r="C179" s="1">
        <v>89</v>
      </c>
      <c r="D179" s="1" t="s">
        <v>121</v>
      </c>
      <c r="E179" s="1" t="s">
        <v>122</v>
      </c>
      <c r="F179" s="1" t="s">
        <v>123</v>
      </c>
      <c r="G179" s="1" t="s">
        <v>54</v>
      </c>
      <c r="H179" s="1" t="s">
        <v>47</v>
      </c>
      <c r="I179" s="1">
        <v>766</v>
      </c>
      <c r="J179" s="1">
        <v>21382</v>
      </c>
      <c r="K179" s="1">
        <v>1</v>
      </c>
      <c r="L179" s="1">
        <v>88</v>
      </c>
      <c r="M179" s="1">
        <v>1887</v>
      </c>
      <c r="N179" s="1" t="s">
        <v>48</v>
      </c>
      <c r="O179" s="1">
        <v>195173</v>
      </c>
      <c r="P179" s="1">
        <v>93</v>
      </c>
      <c r="Q179" s="1" t="s">
        <v>111</v>
      </c>
      <c r="R179" s="1" t="s">
        <v>50</v>
      </c>
      <c r="S179" s="1">
        <v>0</v>
      </c>
      <c r="T179" s="1">
        <v>0</v>
      </c>
      <c r="U179" s="1">
        <v>154.75700000000001</v>
      </c>
      <c r="V179" s="1">
        <v>21.016999999999999</v>
      </c>
      <c r="W179" s="1">
        <v>1.59</v>
      </c>
      <c r="X179" s="1">
        <v>3.7519999999999998</v>
      </c>
      <c r="Y179" s="1">
        <v>24.768999999999998</v>
      </c>
      <c r="Z179" s="1">
        <v>0.34100000000000003</v>
      </c>
      <c r="AA179" s="1">
        <v>-1.3</v>
      </c>
      <c r="AB179" s="1">
        <v>-1.2</v>
      </c>
      <c r="AC179" s="1">
        <v>-1.2</v>
      </c>
      <c r="AD179" s="1">
        <v>3.75</v>
      </c>
      <c r="AE179" s="1">
        <v>4.7E-2</v>
      </c>
      <c r="AF179" s="1">
        <v>0.184</v>
      </c>
      <c r="AG179" s="1">
        <v>-1.3</v>
      </c>
      <c r="AI179" s="1">
        <v>0</v>
      </c>
      <c r="AJ179" s="1">
        <v>0</v>
      </c>
      <c r="AK179" s="1">
        <v>0</v>
      </c>
      <c r="AL179" s="1">
        <v>1</v>
      </c>
      <c r="AM179" s="1">
        <v>86400</v>
      </c>
      <c r="AN179" s="1">
        <v>80945</v>
      </c>
      <c r="AO179" s="1">
        <v>5296</v>
      </c>
      <c r="AP179" s="1">
        <v>50629</v>
      </c>
      <c r="AQ179" s="1">
        <v>9.1612240139907583E-2</v>
      </c>
    </row>
    <row r="180" spans="1:43" x14ac:dyDescent="0.45">
      <c r="A180" s="1">
        <v>179</v>
      </c>
      <c r="B180" s="1">
        <v>170</v>
      </c>
      <c r="C180" s="1">
        <v>89</v>
      </c>
      <c r="D180" s="1" t="s">
        <v>121</v>
      </c>
      <c r="E180" s="1" t="s">
        <v>122</v>
      </c>
      <c r="F180" s="1" t="s">
        <v>123</v>
      </c>
      <c r="G180" s="1" t="s">
        <v>54</v>
      </c>
      <c r="H180" s="1" t="s">
        <v>47</v>
      </c>
      <c r="I180" s="1">
        <v>766</v>
      </c>
      <c r="J180" s="1">
        <v>21382</v>
      </c>
      <c r="K180" s="1">
        <v>1</v>
      </c>
      <c r="L180" s="1">
        <v>88</v>
      </c>
      <c r="M180" s="1">
        <v>1888</v>
      </c>
      <c r="N180" s="1" t="s">
        <v>48</v>
      </c>
      <c r="O180" s="1">
        <v>195174</v>
      </c>
      <c r="P180" s="1">
        <v>93</v>
      </c>
      <c r="Q180" s="1" t="s">
        <v>111</v>
      </c>
      <c r="R180" s="1" t="s">
        <v>50</v>
      </c>
      <c r="S180" s="1">
        <v>0</v>
      </c>
      <c r="T180" s="1">
        <v>0</v>
      </c>
      <c r="U180" s="1">
        <v>202.34399999999999</v>
      </c>
      <c r="V180" s="1">
        <v>21.012</v>
      </c>
      <c r="W180" s="1">
        <v>1.58</v>
      </c>
      <c r="X180" s="1">
        <v>3.7559999999999998</v>
      </c>
      <c r="Y180" s="1">
        <v>24.766999999999999</v>
      </c>
      <c r="Z180" s="1">
        <v>0.63200000000000001</v>
      </c>
      <c r="AA180" s="1">
        <v>2.6</v>
      </c>
      <c r="AB180" s="1">
        <v>-2.8</v>
      </c>
      <c r="AC180" s="1">
        <v>-2.7</v>
      </c>
      <c r="AD180" s="1">
        <v>3.7519999999999998</v>
      </c>
      <c r="AE180" s="1">
        <v>2.8000000000000001E-2</v>
      </c>
      <c r="AF180" s="1">
        <v>0.25900000000000001</v>
      </c>
      <c r="AG180" s="1">
        <v>2.6</v>
      </c>
      <c r="AI180" s="1">
        <v>0</v>
      </c>
      <c r="AJ180" s="1">
        <v>0</v>
      </c>
      <c r="AK180" s="1">
        <v>0</v>
      </c>
      <c r="AL180" s="1">
        <v>1</v>
      </c>
      <c r="AM180" s="1">
        <v>86400</v>
      </c>
      <c r="AN180" s="1">
        <v>81368</v>
      </c>
      <c r="AO180" s="1">
        <v>5032</v>
      </c>
      <c r="AP180" s="1">
        <v>50630</v>
      </c>
      <c r="AQ180" s="1">
        <v>21.728686360130141</v>
      </c>
    </row>
    <row r="181" spans="1:43" x14ac:dyDescent="0.45">
      <c r="A181" s="1">
        <v>180</v>
      </c>
      <c r="B181" s="1">
        <v>181</v>
      </c>
      <c r="C181" s="1">
        <v>75</v>
      </c>
      <c r="D181" s="1" t="s">
        <v>64</v>
      </c>
      <c r="E181" s="1" t="s">
        <v>65</v>
      </c>
      <c r="F181" s="1" t="s">
        <v>66</v>
      </c>
      <c r="G181" s="1" t="s">
        <v>46</v>
      </c>
      <c r="H181" s="1" t="s">
        <v>47</v>
      </c>
      <c r="I181" s="1">
        <v>1170</v>
      </c>
      <c r="J181" s="1">
        <v>33499</v>
      </c>
      <c r="K181" s="1">
        <v>1</v>
      </c>
      <c r="L181" s="1">
        <v>74</v>
      </c>
      <c r="M181" s="1">
        <v>1738</v>
      </c>
      <c r="N181" s="1" t="s">
        <v>48</v>
      </c>
      <c r="O181" s="1">
        <v>193959</v>
      </c>
      <c r="P181" s="1">
        <v>93</v>
      </c>
      <c r="Q181" s="1" t="s">
        <v>111</v>
      </c>
      <c r="R181" s="1" t="s">
        <v>50</v>
      </c>
      <c r="S181" s="1">
        <v>0</v>
      </c>
      <c r="T181" s="1">
        <v>0</v>
      </c>
      <c r="U181" s="1">
        <v>510.173</v>
      </c>
      <c r="V181" s="1">
        <v>24.927</v>
      </c>
      <c r="W181" s="1">
        <v>0.56999999999999995</v>
      </c>
      <c r="X181" s="1">
        <v>0.42799999999999999</v>
      </c>
      <c r="Y181" s="1">
        <v>25.355</v>
      </c>
      <c r="Z181" s="1">
        <v>0.23200000000000001</v>
      </c>
      <c r="AA181" s="1">
        <v>-2.6</v>
      </c>
      <c r="AB181" s="1">
        <v>-2.5</v>
      </c>
      <c r="AC181" s="1">
        <v>-2.5</v>
      </c>
      <c r="AD181" s="1">
        <v>0.42799999999999999</v>
      </c>
      <c r="AE181" s="1">
        <v>0.112</v>
      </c>
      <c r="AF181" s="1">
        <v>5.7000000000000002E-2</v>
      </c>
      <c r="AG181" s="1">
        <v>-2.6</v>
      </c>
      <c r="AI181" s="1">
        <v>0</v>
      </c>
      <c r="AJ181" s="1">
        <v>0</v>
      </c>
      <c r="AK181" s="1">
        <v>0</v>
      </c>
      <c r="AL181" s="1">
        <v>1</v>
      </c>
      <c r="AM181" s="1">
        <v>86400</v>
      </c>
      <c r="AN181" s="1">
        <v>79845</v>
      </c>
      <c r="AO181" s="1">
        <v>6555</v>
      </c>
      <c r="AP181" s="1">
        <v>49552</v>
      </c>
      <c r="AQ181" s="1">
        <v>39.084261990656927</v>
      </c>
    </row>
    <row r="182" spans="1:43" x14ac:dyDescent="0.45">
      <c r="A182" s="1">
        <v>181</v>
      </c>
      <c r="B182" s="1">
        <v>181</v>
      </c>
      <c r="C182" s="1">
        <v>75</v>
      </c>
      <c r="D182" s="1" t="s">
        <v>64</v>
      </c>
      <c r="E182" s="1" t="s">
        <v>65</v>
      </c>
      <c r="F182" s="1" t="s">
        <v>66</v>
      </c>
      <c r="G182" s="1" t="s">
        <v>46</v>
      </c>
      <c r="H182" s="1" t="s">
        <v>47</v>
      </c>
      <c r="I182" s="1">
        <v>1170</v>
      </c>
      <c r="J182" s="1">
        <v>33499</v>
      </c>
      <c r="K182" s="1">
        <v>1</v>
      </c>
      <c r="L182" s="1">
        <v>74</v>
      </c>
      <c r="M182" s="1">
        <v>1739</v>
      </c>
      <c r="N182" s="1" t="s">
        <v>48</v>
      </c>
      <c r="O182" s="1">
        <v>193961</v>
      </c>
      <c r="P182" s="1">
        <v>93</v>
      </c>
      <c r="Q182" s="1" t="s">
        <v>111</v>
      </c>
      <c r="R182" s="1" t="s">
        <v>50</v>
      </c>
      <c r="S182" s="1">
        <v>0</v>
      </c>
      <c r="T182" s="1">
        <v>0</v>
      </c>
      <c r="U182" s="1">
        <v>510.173</v>
      </c>
      <c r="V182" s="1">
        <v>24.913</v>
      </c>
      <c r="W182" s="1">
        <v>0.56999999999999995</v>
      </c>
      <c r="X182" s="1">
        <v>0.442</v>
      </c>
      <c r="Y182" s="1">
        <v>25.355</v>
      </c>
      <c r="Z182" s="1">
        <v>0.253</v>
      </c>
      <c r="AA182" s="1">
        <v>2.2000000000000002</v>
      </c>
      <c r="AB182" s="1">
        <v>2.2000000000000002</v>
      </c>
      <c r="AC182" s="1">
        <v>2.2000000000000002</v>
      </c>
      <c r="AD182" s="1">
        <v>0.442</v>
      </c>
      <c r="AE182" s="1">
        <v>0.106</v>
      </c>
      <c r="AF182" s="1">
        <v>6.6000000000000003E-2</v>
      </c>
      <c r="AG182" s="1">
        <v>2.2000000000000002</v>
      </c>
      <c r="AI182" s="1">
        <v>0</v>
      </c>
      <c r="AJ182" s="1">
        <v>0</v>
      </c>
      <c r="AK182" s="1">
        <v>0</v>
      </c>
      <c r="AL182" s="1">
        <v>1</v>
      </c>
      <c r="AM182" s="1">
        <v>86400</v>
      </c>
      <c r="AN182" s="1">
        <v>80382</v>
      </c>
      <c r="AO182" s="1">
        <v>6018</v>
      </c>
      <c r="AP182" s="1">
        <v>50258</v>
      </c>
      <c r="AQ182" s="1">
        <v>47.839602141328243</v>
      </c>
    </row>
    <row r="183" spans="1:43" x14ac:dyDescent="0.45">
      <c r="A183" s="1">
        <v>182</v>
      </c>
      <c r="B183" s="1">
        <v>181</v>
      </c>
      <c r="C183" s="1">
        <v>75</v>
      </c>
      <c r="D183" s="1" t="s">
        <v>64</v>
      </c>
      <c r="E183" s="1" t="s">
        <v>65</v>
      </c>
      <c r="F183" s="1" t="s">
        <v>66</v>
      </c>
      <c r="G183" s="1" t="s">
        <v>46</v>
      </c>
      <c r="H183" s="1" t="s">
        <v>47</v>
      </c>
      <c r="I183" s="1">
        <v>1170</v>
      </c>
      <c r="J183" s="1">
        <v>33499</v>
      </c>
      <c r="K183" s="1">
        <v>1</v>
      </c>
      <c r="L183" s="1">
        <v>74</v>
      </c>
      <c r="M183" s="1">
        <v>1740</v>
      </c>
      <c r="N183" s="1" t="s">
        <v>48</v>
      </c>
      <c r="O183" s="1">
        <v>194009</v>
      </c>
      <c r="P183" s="1">
        <v>93</v>
      </c>
      <c r="Q183" s="1" t="s">
        <v>111</v>
      </c>
      <c r="R183" s="1" t="s">
        <v>50</v>
      </c>
      <c r="S183" s="1">
        <v>0</v>
      </c>
      <c r="T183" s="1">
        <v>0</v>
      </c>
      <c r="U183" s="1">
        <v>279.00900000000001</v>
      </c>
      <c r="V183" s="1">
        <v>25.175999999999998</v>
      </c>
      <c r="W183" s="1">
        <v>0.53</v>
      </c>
      <c r="X183" s="1">
        <v>0.17899999999999999</v>
      </c>
      <c r="Y183" s="1">
        <v>25.355</v>
      </c>
      <c r="Z183" s="1">
        <v>0.189</v>
      </c>
      <c r="AA183" s="1">
        <v>3</v>
      </c>
      <c r="AB183" s="1">
        <v>-1.9</v>
      </c>
      <c r="AC183" s="1">
        <v>-1.9</v>
      </c>
      <c r="AD183" s="1">
        <v>0.17899999999999999</v>
      </c>
      <c r="AE183" s="1">
        <v>2.7E-2</v>
      </c>
      <c r="AF183" s="1">
        <v>7.0000000000000001E-3</v>
      </c>
      <c r="AG183" s="1">
        <v>3</v>
      </c>
      <c r="AI183" s="1">
        <v>0</v>
      </c>
      <c r="AJ183" s="1">
        <v>0</v>
      </c>
      <c r="AK183" s="1">
        <v>0</v>
      </c>
      <c r="AL183" s="1">
        <v>1</v>
      </c>
      <c r="AM183" s="1">
        <v>51834</v>
      </c>
      <c r="AN183" s="1">
        <v>8367</v>
      </c>
      <c r="AO183" s="1">
        <v>43468</v>
      </c>
      <c r="AP183" s="1">
        <v>50270</v>
      </c>
      <c r="AQ183" s="1">
        <v>19.91914324497959</v>
      </c>
    </row>
    <row r="184" spans="1:43" x14ac:dyDescent="0.45">
      <c r="A184" s="1">
        <v>183</v>
      </c>
      <c r="B184" s="1">
        <v>181</v>
      </c>
      <c r="C184" s="1">
        <v>75</v>
      </c>
      <c r="D184" s="1" t="s">
        <v>64</v>
      </c>
      <c r="E184" s="1" t="s">
        <v>65</v>
      </c>
      <c r="F184" s="1" t="s">
        <v>66</v>
      </c>
      <c r="G184" s="1" t="s">
        <v>46</v>
      </c>
      <c r="H184" s="1" t="s">
        <v>47</v>
      </c>
      <c r="I184" s="1">
        <v>1170</v>
      </c>
      <c r="J184" s="1">
        <v>33499</v>
      </c>
      <c r="K184" s="1">
        <v>1</v>
      </c>
      <c r="L184" s="1">
        <v>74</v>
      </c>
      <c r="M184" s="1">
        <v>1743</v>
      </c>
      <c r="N184" s="1" t="s">
        <v>48</v>
      </c>
      <c r="O184" s="1">
        <v>194014</v>
      </c>
      <c r="P184" s="1">
        <v>93</v>
      </c>
      <c r="Q184" s="1" t="s">
        <v>111</v>
      </c>
      <c r="R184" s="1" t="s">
        <v>50</v>
      </c>
      <c r="S184" s="1">
        <v>0</v>
      </c>
      <c r="T184" s="1">
        <v>0</v>
      </c>
      <c r="U184" s="1">
        <v>551.16899999999998</v>
      </c>
      <c r="V184" s="1">
        <v>24.986999999999998</v>
      </c>
      <c r="W184" s="1">
        <v>0.56000000000000005</v>
      </c>
      <c r="X184" s="1">
        <v>0.36899999999999999</v>
      </c>
      <c r="Y184" s="1">
        <v>25.356000000000002</v>
      </c>
      <c r="Z184" s="1">
        <v>0.12</v>
      </c>
      <c r="AA184" s="1">
        <v>2.2000000000000002</v>
      </c>
      <c r="AB184" s="1">
        <v>1.1000000000000001</v>
      </c>
      <c r="AC184" s="1">
        <v>1.1000000000000001</v>
      </c>
      <c r="AD184" s="1">
        <v>0.36899999999999999</v>
      </c>
      <c r="AE184" s="1">
        <v>3.3000000000000002E-2</v>
      </c>
      <c r="AF184" s="1">
        <v>2.7E-2</v>
      </c>
      <c r="AG184" s="1">
        <v>2.2000000000000002</v>
      </c>
      <c r="AI184" s="1">
        <v>0</v>
      </c>
      <c r="AJ184" s="1">
        <v>0</v>
      </c>
      <c r="AK184" s="1">
        <v>0</v>
      </c>
      <c r="AL184" s="1">
        <v>1</v>
      </c>
      <c r="AM184" s="1">
        <v>86400</v>
      </c>
      <c r="AN184" s="1">
        <v>80132</v>
      </c>
      <c r="AO184" s="1">
        <v>6268</v>
      </c>
      <c r="AP184" s="1">
        <v>50272</v>
      </c>
      <c r="AQ184" s="1">
        <v>1.590368793303959</v>
      </c>
    </row>
    <row r="185" spans="1:43" x14ac:dyDescent="0.45">
      <c r="A185" s="1">
        <v>184</v>
      </c>
      <c r="B185" s="1">
        <v>181</v>
      </c>
      <c r="C185" s="1">
        <v>75</v>
      </c>
      <c r="D185" s="1" t="s">
        <v>64</v>
      </c>
      <c r="E185" s="1" t="s">
        <v>65</v>
      </c>
      <c r="F185" s="1" t="s">
        <v>66</v>
      </c>
      <c r="G185" s="1" t="s">
        <v>46</v>
      </c>
      <c r="H185" s="1" t="s">
        <v>47</v>
      </c>
      <c r="I185" s="1">
        <v>1170</v>
      </c>
      <c r="J185" s="1">
        <v>33499</v>
      </c>
      <c r="K185" s="1">
        <v>1</v>
      </c>
      <c r="L185" s="1">
        <v>74</v>
      </c>
      <c r="M185" s="1">
        <v>1744</v>
      </c>
      <c r="N185" s="1" t="s">
        <v>48</v>
      </c>
      <c r="O185" s="1">
        <v>194015</v>
      </c>
      <c r="P185" s="1">
        <v>93</v>
      </c>
      <c r="Q185" s="1" t="s">
        <v>111</v>
      </c>
      <c r="R185" s="1" t="s">
        <v>50</v>
      </c>
      <c r="S185" s="1">
        <v>0</v>
      </c>
      <c r="T185" s="1">
        <v>0</v>
      </c>
      <c r="U185" s="1">
        <v>864.10699999999997</v>
      </c>
      <c r="V185" s="1">
        <v>25.154</v>
      </c>
      <c r="W185" s="1">
        <v>0.53</v>
      </c>
      <c r="X185" s="1">
        <v>0.20200000000000001</v>
      </c>
      <c r="Y185" s="1">
        <v>25.356000000000002</v>
      </c>
      <c r="Z185" s="1">
        <v>0.107</v>
      </c>
      <c r="AA185" s="1">
        <v>1.6</v>
      </c>
      <c r="AB185" s="1">
        <v>1.1000000000000001</v>
      </c>
      <c r="AC185" s="1">
        <v>1.1000000000000001</v>
      </c>
      <c r="AD185" s="1">
        <v>0.20200000000000001</v>
      </c>
      <c r="AE185" s="1">
        <v>4.3999999999999997E-2</v>
      </c>
      <c r="AF185" s="1">
        <v>8.9999999999999993E-3</v>
      </c>
      <c r="AG185" s="1">
        <v>1.6</v>
      </c>
      <c r="AI185" s="1">
        <v>0</v>
      </c>
      <c r="AJ185" s="1">
        <v>0</v>
      </c>
      <c r="AK185" s="1">
        <v>0</v>
      </c>
      <c r="AL185" s="1">
        <v>1</v>
      </c>
      <c r="AM185" s="1">
        <v>52079</v>
      </c>
      <c r="AN185" s="1">
        <v>8753</v>
      </c>
      <c r="AO185" s="1">
        <v>43326</v>
      </c>
      <c r="AP185" s="1">
        <v>50389</v>
      </c>
      <c r="AQ185" s="1">
        <v>1.6721516986454721</v>
      </c>
    </row>
    <row r="186" spans="1:43" x14ac:dyDescent="0.45">
      <c r="A186" s="1">
        <v>185</v>
      </c>
      <c r="B186" s="1">
        <v>181</v>
      </c>
      <c r="C186" s="1">
        <v>75</v>
      </c>
      <c r="D186" s="1" t="s">
        <v>64</v>
      </c>
      <c r="E186" s="1" t="s">
        <v>65</v>
      </c>
      <c r="F186" s="1" t="s">
        <v>66</v>
      </c>
      <c r="G186" s="1" t="s">
        <v>46</v>
      </c>
      <c r="H186" s="1" t="s">
        <v>47</v>
      </c>
      <c r="I186" s="1">
        <v>1170</v>
      </c>
      <c r="J186" s="1">
        <v>33499</v>
      </c>
      <c r="K186" s="1">
        <v>1</v>
      </c>
      <c r="L186" s="1">
        <v>74</v>
      </c>
      <c r="M186" s="1">
        <v>1746</v>
      </c>
      <c r="N186" s="1" t="s">
        <v>48</v>
      </c>
      <c r="O186" s="1">
        <v>194017</v>
      </c>
      <c r="P186" s="1">
        <v>93</v>
      </c>
      <c r="Q186" s="1" t="s">
        <v>111</v>
      </c>
      <c r="R186" s="1" t="s">
        <v>50</v>
      </c>
      <c r="S186" s="1">
        <v>0</v>
      </c>
      <c r="T186" s="1">
        <v>0</v>
      </c>
      <c r="U186" s="1">
        <v>727.47</v>
      </c>
      <c r="V186" s="1">
        <v>25.146000000000001</v>
      </c>
      <c r="W186" s="1">
        <v>0.53</v>
      </c>
      <c r="X186" s="1">
        <v>0.20899999999999999</v>
      </c>
      <c r="Y186" s="1">
        <v>25.355</v>
      </c>
      <c r="Z186" s="1">
        <v>0.313</v>
      </c>
      <c r="AA186" s="1">
        <v>2</v>
      </c>
      <c r="AB186" s="1">
        <v>2.5</v>
      </c>
      <c r="AC186" s="1">
        <v>2.5</v>
      </c>
      <c r="AD186" s="1">
        <v>0.20899999999999999</v>
      </c>
      <c r="AE186" s="1">
        <v>0.105</v>
      </c>
      <c r="AF186" s="1">
        <v>2.1999999999999999E-2</v>
      </c>
      <c r="AG186" s="1">
        <v>2</v>
      </c>
      <c r="AI186" s="1">
        <v>0</v>
      </c>
      <c r="AJ186" s="1">
        <v>0</v>
      </c>
      <c r="AK186" s="1">
        <v>0</v>
      </c>
      <c r="AL186" s="1">
        <v>1</v>
      </c>
      <c r="AM186" s="1">
        <v>52066</v>
      </c>
      <c r="AN186" s="1">
        <v>8685</v>
      </c>
      <c r="AO186" s="1">
        <v>43381</v>
      </c>
      <c r="AP186" s="1">
        <v>50084</v>
      </c>
      <c r="AQ186" s="1">
        <v>35.644168290790113</v>
      </c>
    </row>
    <row r="187" spans="1:43" x14ac:dyDescent="0.45">
      <c r="A187" s="1">
        <v>186</v>
      </c>
      <c r="B187" s="1">
        <v>181</v>
      </c>
      <c r="C187" s="1">
        <v>75</v>
      </c>
      <c r="D187" s="1" t="s">
        <v>64</v>
      </c>
      <c r="E187" s="1" t="s">
        <v>65</v>
      </c>
      <c r="F187" s="1" t="s">
        <v>66</v>
      </c>
      <c r="G187" s="1" t="s">
        <v>46</v>
      </c>
      <c r="H187" s="1" t="s">
        <v>47</v>
      </c>
      <c r="I187" s="1">
        <v>1170</v>
      </c>
      <c r="J187" s="1">
        <v>33499</v>
      </c>
      <c r="K187" s="1">
        <v>1</v>
      </c>
      <c r="L187" s="1">
        <v>74</v>
      </c>
      <c r="M187" s="1">
        <v>1747</v>
      </c>
      <c r="N187" s="1" t="s">
        <v>48</v>
      </c>
      <c r="O187" s="1">
        <v>194021</v>
      </c>
      <c r="P187" s="1">
        <v>93</v>
      </c>
      <c r="Q187" s="1" t="s">
        <v>111</v>
      </c>
      <c r="R187" s="1" t="s">
        <v>50</v>
      </c>
      <c r="S187" s="1">
        <v>0</v>
      </c>
      <c r="T187" s="1">
        <v>0</v>
      </c>
      <c r="U187" s="1">
        <v>595.303</v>
      </c>
      <c r="V187" s="1">
        <v>24.879000000000001</v>
      </c>
      <c r="W187" s="1">
        <v>0.57999999999999996</v>
      </c>
      <c r="X187" s="1">
        <v>0.47599999999999998</v>
      </c>
      <c r="Y187" s="1">
        <v>25.355</v>
      </c>
      <c r="Z187" s="1">
        <v>0.45</v>
      </c>
      <c r="AA187" s="1">
        <v>2.2999999999999998</v>
      </c>
      <c r="AB187" s="1">
        <v>2.1</v>
      </c>
      <c r="AC187" s="1">
        <v>2.1</v>
      </c>
      <c r="AD187" s="1">
        <v>0.47599999999999998</v>
      </c>
      <c r="AE187" s="1">
        <v>9.2999999999999999E-2</v>
      </c>
      <c r="AF187" s="1">
        <v>0.13200000000000001</v>
      </c>
      <c r="AG187" s="1">
        <v>2.2999999999999998</v>
      </c>
      <c r="AI187" s="1">
        <v>0</v>
      </c>
      <c r="AJ187" s="1">
        <v>0</v>
      </c>
      <c r="AK187" s="1">
        <v>0</v>
      </c>
      <c r="AL187" s="1">
        <v>1</v>
      </c>
      <c r="AM187" s="1">
        <v>86400</v>
      </c>
      <c r="AN187" s="1">
        <v>81448</v>
      </c>
      <c r="AO187" s="1">
        <v>4952</v>
      </c>
      <c r="AP187" s="1">
        <v>49733</v>
      </c>
      <c r="AQ187" s="1">
        <v>2.7063584476982121</v>
      </c>
    </row>
    <row r="188" spans="1:43" x14ac:dyDescent="0.45">
      <c r="A188" s="1">
        <v>187</v>
      </c>
      <c r="B188" s="1">
        <v>181</v>
      </c>
      <c r="C188" s="1">
        <v>75</v>
      </c>
      <c r="D188" s="1" t="s">
        <v>64</v>
      </c>
      <c r="E188" s="1" t="s">
        <v>65</v>
      </c>
      <c r="F188" s="1" t="s">
        <v>66</v>
      </c>
      <c r="G188" s="1" t="s">
        <v>46</v>
      </c>
      <c r="H188" s="1" t="s">
        <v>47</v>
      </c>
      <c r="I188" s="1">
        <v>1170</v>
      </c>
      <c r="J188" s="1">
        <v>33499</v>
      </c>
      <c r="K188" s="1">
        <v>1</v>
      </c>
      <c r="L188" s="1">
        <v>74</v>
      </c>
      <c r="M188" s="1">
        <v>1748</v>
      </c>
      <c r="N188" s="1" t="s">
        <v>48</v>
      </c>
      <c r="O188" s="1">
        <v>194022</v>
      </c>
      <c r="P188" s="1">
        <v>93</v>
      </c>
      <c r="Q188" s="1" t="s">
        <v>111</v>
      </c>
      <c r="R188" s="1" t="s">
        <v>50</v>
      </c>
      <c r="S188" s="1">
        <v>0</v>
      </c>
      <c r="T188" s="1">
        <v>0</v>
      </c>
      <c r="U188" s="1">
        <v>889.76199999999994</v>
      </c>
      <c r="V188" s="1">
        <v>24.957000000000001</v>
      </c>
      <c r="W188" s="1">
        <v>0.56000000000000005</v>
      </c>
      <c r="X188" s="1">
        <v>0.39700000000000002</v>
      </c>
      <c r="Y188" s="1">
        <v>25.353999999999999</v>
      </c>
      <c r="Z188" s="1">
        <v>0.245</v>
      </c>
      <c r="AA188" s="1">
        <v>-2.6</v>
      </c>
      <c r="AB188" s="1">
        <v>-2.7</v>
      </c>
      <c r="AC188" s="1">
        <v>-2.7</v>
      </c>
      <c r="AD188" s="1">
        <v>0.39700000000000002</v>
      </c>
      <c r="AE188" s="1">
        <v>0.122</v>
      </c>
      <c r="AF188" s="1">
        <v>5.1999999999999998E-2</v>
      </c>
      <c r="AG188" s="1">
        <v>-2.6</v>
      </c>
      <c r="AI188" s="1">
        <v>0</v>
      </c>
      <c r="AJ188" s="1">
        <v>0</v>
      </c>
      <c r="AK188" s="1">
        <v>0</v>
      </c>
      <c r="AL188" s="1">
        <v>1</v>
      </c>
      <c r="AM188" s="1">
        <v>86400</v>
      </c>
      <c r="AN188" s="1">
        <v>78013</v>
      </c>
      <c r="AO188" s="1">
        <v>8387</v>
      </c>
      <c r="AP188" s="1">
        <v>49926</v>
      </c>
      <c r="AQ188" s="1">
        <v>0.32259802925756131</v>
      </c>
    </row>
    <row r="189" spans="1:43" x14ac:dyDescent="0.45">
      <c r="A189" s="1">
        <v>188</v>
      </c>
      <c r="B189" s="1">
        <v>181</v>
      </c>
      <c r="C189" s="1">
        <v>75</v>
      </c>
      <c r="D189" s="1" t="s">
        <v>64</v>
      </c>
      <c r="E189" s="1" t="s">
        <v>65</v>
      </c>
      <c r="F189" s="1" t="s">
        <v>66</v>
      </c>
      <c r="G189" s="1" t="s">
        <v>46</v>
      </c>
      <c r="H189" s="1" t="s">
        <v>47</v>
      </c>
      <c r="I189" s="1">
        <v>1170</v>
      </c>
      <c r="J189" s="1">
        <v>33499</v>
      </c>
      <c r="K189" s="1">
        <v>1</v>
      </c>
      <c r="L189" s="1">
        <v>74</v>
      </c>
      <c r="M189" s="1">
        <v>1749</v>
      </c>
      <c r="N189" s="1" t="s">
        <v>48</v>
      </c>
      <c r="O189" s="1">
        <v>194023</v>
      </c>
      <c r="P189" s="1">
        <v>93</v>
      </c>
      <c r="Q189" s="1" t="s">
        <v>111</v>
      </c>
      <c r="R189" s="1" t="s">
        <v>50</v>
      </c>
      <c r="S189" s="1">
        <v>0</v>
      </c>
      <c r="T189" s="1">
        <v>0</v>
      </c>
      <c r="U189" s="1">
        <v>495.976</v>
      </c>
      <c r="V189" s="1">
        <v>24.9</v>
      </c>
      <c r="W189" s="1">
        <v>0.56999999999999995</v>
      </c>
      <c r="X189" s="1">
        <v>0.45400000000000001</v>
      </c>
      <c r="Y189" s="1">
        <v>25.353999999999999</v>
      </c>
      <c r="Z189" s="1">
        <v>0.21199999999999999</v>
      </c>
      <c r="AA189" s="1">
        <v>-2.7</v>
      </c>
      <c r="AB189" s="1">
        <v>-2.6</v>
      </c>
      <c r="AC189" s="1">
        <v>-2.7</v>
      </c>
      <c r="AD189" s="1">
        <v>0.45400000000000001</v>
      </c>
      <c r="AE189" s="1">
        <v>0.122</v>
      </c>
      <c r="AF189" s="1">
        <v>5.7000000000000002E-2</v>
      </c>
      <c r="AG189" s="1">
        <v>-2.7</v>
      </c>
      <c r="AI189" s="1">
        <v>0</v>
      </c>
      <c r="AJ189" s="1">
        <v>0</v>
      </c>
      <c r="AK189" s="1">
        <v>0</v>
      </c>
      <c r="AL189" s="1">
        <v>1</v>
      </c>
      <c r="AM189" s="1">
        <v>86400</v>
      </c>
      <c r="AN189" s="1">
        <v>80715</v>
      </c>
      <c r="AO189" s="1">
        <v>5685</v>
      </c>
      <c r="AP189" s="1">
        <v>49681</v>
      </c>
      <c r="AQ189" s="1">
        <v>26.101421947845822</v>
      </c>
    </row>
    <row r="190" spans="1:43" x14ac:dyDescent="0.45">
      <c r="A190" s="1">
        <v>189</v>
      </c>
      <c r="B190" s="1">
        <v>181</v>
      </c>
      <c r="C190" s="1">
        <v>75</v>
      </c>
      <c r="D190" s="1" t="s">
        <v>64</v>
      </c>
      <c r="E190" s="1" t="s">
        <v>65</v>
      </c>
      <c r="F190" s="1" t="s">
        <v>66</v>
      </c>
      <c r="G190" s="1" t="s">
        <v>46</v>
      </c>
      <c r="H190" s="1" t="s">
        <v>47</v>
      </c>
      <c r="I190" s="1">
        <v>1170</v>
      </c>
      <c r="J190" s="1">
        <v>33499</v>
      </c>
      <c r="K190" s="1">
        <v>1</v>
      </c>
      <c r="L190" s="1">
        <v>74</v>
      </c>
      <c r="M190" s="1">
        <v>1750</v>
      </c>
      <c r="N190" s="1" t="s">
        <v>48</v>
      </c>
      <c r="O190" s="1">
        <v>194024</v>
      </c>
      <c r="P190" s="1">
        <v>93</v>
      </c>
      <c r="Q190" s="1" t="s">
        <v>111</v>
      </c>
      <c r="R190" s="1" t="s">
        <v>50</v>
      </c>
      <c r="S190" s="1">
        <v>0</v>
      </c>
      <c r="T190" s="1">
        <v>0</v>
      </c>
      <c r="U190" s="1">
        <v>236.39</v>
      </c>
      <c r="V190" s="1">
        <v>24.927</v>
      </c>
      <c r="W190" s="1">
        <v>0.56999999999999995</v>
      </c>
      <c r="X190" s="1">
        <v>0.42799999999999999</v>
      </c>
      <c r="Y190" s="1">
        <v>25.355</v>
      </c>
      <c r="Z190" s="1">
        <v>0.2</v>
      </c>
      <c r="AA190" s="1">
        <v>-2.2999999999999998</v>
      </c>
      <c r="AB190" s="1">
        <v>-2.2999999999999998</v>
      </c>
      <c r="AC190" s="1">
        <v>-2.2999999999999998</v>
      </c>
      <c r="AD190" s="1">
        <v>0.42799999999999999</v>
      </c>
      <c r="AE190" s="1">
        <v>0.1</v>
      </c>
      <c r="AF190" s="1">
        <v>5.1999999999999998E-2</v>
      </c>
      <c r="AG190" s="1">
        <v>-2.2999999999999998</v>
      </c>
      <c r="AI190" s="1">
        <v>0</v>
      </c>
      <c r="AJ190" s="1">
        <v>0</v>
      </c>
      <c r="AK190" s="1">
        <v>0</v>
      </c>
      <c r="AL190" s="1">
        <v>1</v>
      </c>
      <c r="AM190" s="1">
        <v>86400</v>
      </c>
      <c r="AN190" s="1">
        <v>79625</v>
      </c>
      <c r="AO190" s="1">
        <v>6775</v>
      </c>
      <c r="AP190" s="1">
        <v>50411</v>
      </c>
      <c r="AQ190" s="1">
        <v>0.1408123542554123</v>
      </c>
    </row>
    <row r="191" spans="1:43" x14ac:dyDescent="0.45">
      <c r="A191" s="1">
        <v>190</v>
      </c>
      <c r="B191" s="1">
        <v>181</v>
      </c>
      <c r="C191" s="1">
        <v>75</v>
      </c>
      <c r="D191" s="1" t="s">
        <v>64</v>
      </c>
      <c r="E191" s="1" t="s">
        <v>65</v>
      </c>
      <c r="F191" s="1" t="s">
        <v>66</v>
      </c>
      <c r="G191" s="1" t="s">
        <v>46</v>
      </c>
      <c r="H191" s="1" t="s">
        <v>47</v>
      </c>
      <c r="I191" s="1">
        <v>1170</v>
      </c>
      <c r="J191" s="1">
        <v>33499</v>
      </c>
      <c r="K191" s="1">
        <v>1</v>
      </c>
      <c r="L191" s="1">
        <v>74</v>
      </c>
      <c r="M191" s="1">
        <v>1755</v>
      </c>
      <c r="N191" s="1" t="s">
        <v>48</v>
      </c>
      <c r="O191" s="1">
        <v>194036</v>
      </c>
      <c r="P191" s="1">
        <v>93</v>
      </c>
      <c r="Q191" s="1" t="s">
        <v>111</v>
      </c>
      <c r="R191" s="1" t="s">
        <v>50</v>
      </c>
      <c r="S191" s="1">
        <v>0</v>
      </c>
      <c r="T191" s="1">
        <v>0</v>
      </c>
      <c r="U191" s="1">
        <v>97.998000000000005</v>
      </c>
      <c r="V191" s="1">
        <v>25.119</v>
      </c>
      <c r="W191" s="1">
        <v>0.54</v>
      </c>
      <c r="X191" s="1">
        <v>0.23499999999999999</v>
      </c>
      <c r="Y191" s="1">
        <v>25.353999999999999</v>
      </c>
      <c r="Z191" s="1">
        <v>0.20499999999999999</v>
      </c>
      <c r="AA191" s="1">
        <v>-0.2</v>
      </c>
      <c r="AB191" s="1">
        <v>-0.9</v>
      </c>
      <c r="AC191" s="1">
        <v>-0.7</v>
      </c>
      <c r="AD191" s="1">
        <v>0.23499999999999999</v>
      </c>
      <c r="AE191" s="1">
        <v>0.06</v>
      </c>
      <c r="AF191" s="1">
        <v>2.5000000000000001E-2</v>
      </c>
      <c r="AI191" s="1">
        <v>0</v>
      </c>
      <c r="AJ191" s="1">
        <v>0</v>
      </c>
      <c r="AK191" s="1">
        <v>0</v>
      </c>
      <c r="AL191" s="1">
        <v>1</v>
      </c>
      <c r="AM191" s="1">
        <v>52139</v>
      </c>
      <c r="AN191" s="1">
        <v>8632</v>
      </c>
      <c r="AO191" s="1">
        <v>43507</v>
      </c>
      <c r="AP191" s="1">
        <v>50223</v>
      </c>
      <c r="AQ191" s="1">
        <v>18.226786881918109</v>
      </c>
    </row>
    <row r="192" spans="1:43" x14ac:dyDescent="0.45">
      <c r="A192" s="1">
        <v>191</v>
      </c>
      <c r="B192" s="1">
        <v>181</v>
      </c>
      <c r="C192" s="1">
        <v>75</v>
      </c>
      <c r="D192" s="1" t="s">
        <v>64</v>
      </c>
      <c r="E192" s="1" t="s">
        <v>65</v>
      </c>
      <c r="F192" s="1" t="s">
        <v>66</v>
      </c>
      <c r="G192" s="1" t="s">
        <v>46</v>
      </c>
      <c r="H192" s="1" t="s">
        <v>47</v>
      </c>
      <c r="I192" s="1">
        <v>1170</v>
      </c>
      <c r="J192" s="1">
        <v>33499</v>
      </c>
      <c r="K192" s="1">
        <v>1</v>
      </c>
      <c r="L192" s="1">
        <v>74</v>
      </c>
      <c r="M192" s="1">
        <v>1756</v>
      </c>
      <c r="N192" s="1" t="s">
        <v>48</v>
      </c>
      <c r="O192" s="1">
        <v>194037</v>
      </c>
      <c r="P192" s="1">
        <v>93</v>
      </c>
      <c r="Q192" s="1" t="s">
        <v>111</v>
      </c>
      <c r="R192" s="1" t="s">
        <v>50</v>
      </c>
      <c r="S192" s="1">
        <v>0</v>
      </c>
      <c r="T192" s="1">
        <v>0</v>
      </c>
      <c r="U192" s="1">
        <v>71.201999999999998</v>
      </c>
      <c r="V192" s="1">
        <v>24.815999999999999</v>
      </c>
      <c r="W192" s="1">
        <v>0.57999999999999996</v>
      </c>
      <c r="X192" s="1">
        <v>0.54</v>
      </c>
      <c r="Y192" s="1">
        <v>25.356000000000002</v>
      </c>
      <c r="Z192" s="1">
        <v>0.127</v>
      </c>
      <c r="AA192" s="1">
        <v>0.6</v>
      </c>
      <c r="AB192" s="1">
        <v>0.7</v>
      </c>
      <c r="AC192" s="1">
        <v>0.3</v>
      </c>
      <c r="AD192" s="1">
        <v>0.53800000000000003</v>
      </c>
      <c r="AE192" s="1">
        <v>3.2000000000000001E-2</v>
      </c>
      <c r="AF192" s="1">
        <v>4.2000000000000003E-2</v>
      </c>
      <c r="AG192" s="1">
        <v>0.6</v>
      </c>
      <c r="AI192" s="1">
        <v>0</v>
      </c>
      <c r="AJ192" s="1">
        <v>0</v>
      </c>
      <c r="AK192" s="1">
        <v>0</v>
      </c>
      <c r="AL192" s="1">
        <v>1</v>
      </c>
      <c r="AM192" s="1">
        <v>86400</v>
      </c>
      <c r="AN192" s="1">
        <v>81703</v>
      </c>
      <c r="AO192" s="1">
        <v>4697</v>
      </c>
      <c r="AP192" s="1">
        <v>50412</v>
      </c>
      <c r="AQ192" s="1">
        <v>12.96701355991765</v>
      </c>
    </row>
    <row r="193" spans="1:43" x14ac:dyDescent="0.45">
      <c r="A193" s="1">
        <v>192</v>
      </c>
      <c r="B193" s="1">
        <v>181</v>
      </c>
      <c r="C193" s="1">
        <v>75</v>
      </c>
      <c r="D193" s="1" t="s">
        <v>64</v>
      </c>
      <c r="E193" s="1" t="s">
        <v>65</v>
      </c>
      <c r="F193" s="1" t="s">
        <v>66</v>
      </c>
      <c r="G193" s="1" t="s">
        <v>46</v>
      </c>
      <c r="H193" s="1" t="s">
        <v>47</v>
      </c>
      <c r="I193" s="1">
        <v>1170</v>
      </c>
      <c r="J193" s="1">
        <v>33499</v>
      </c>
      <c r="K193" s="1">
        <v>1</v>
      </c>
      <c r="L193" s="1">
        <v>74</v>
      </c>
      <c r="M193" s="1">
        <v>1782</v>
      </c>
      <c r="N193" s="1" t="s">
        <v>48</v>
      </c>
      <c r="O193" s="1">
        <v>194098</v>
      </c>
      <c r="P193" s="1">
        <v>93</v>
      </c>
      <c r="Q193" s="1" t="s">
        <v>111</v>
      </c>
      <c r="R193" s="1" t="s">
        <v>50</v>
      </c>
      <c r="S193" s="1">
        <v>0</v>
      </c>
      <c r="T193" s="1">
        <v>0</v>
      </c>
      <c r="U193" s="1">
        <v>590.79899999999998</v>
      </c>
      <c r="V193" s="1">
        <v>25.291</v>
      </c>
      <c r="W193" s="1">
        <v>0.53</v>
      </c>
      <c r="X193" s="1">
        <v>0.20799999999999999</v>
      </c>
      <c r="Y193" s="1">
        <v>25.498000000000001</v>
      </c>
      <c r="Z193" s="1">
        <v>7.4999999999999997E-2</v>
      </c>
      <c r="AA193" s="1">
        <v>-3</v>
      </c>
      <c r="AB193" s="1">
        <v>-3</v>
      </c>
      <c r="AC193" s="1">
        <v>-3</v>
      </c>
      <c r="AD193" s="1">
        <v>0.20799999999999999</v>
      </c>
      <c r="AE193" s="1">
        <v>7.4999999999999997E-2</v>
      </c>
      <c r="AF193" s="1">
        <v>1.6E-2</v>
      </c>
      <c r="AG193" s="1">
        <v>-3</v>
      </c>
      <c r="AI193" s="1">
        <v>0</v>
      </c>
      <c r="AJ193" s="1">
        <v>0</v>
      </c>
      <c r="AK193" s="1">
        <v>0</v>
      </c>
      <c r="AL193" s="1">
        <v>1</v>
      </c>
      <c r="AM193" s="1">
        <v>86400</v>
      </c>
      <c r="AN193" s="1">
        <v>78310</v>
      </c>
      <c r="AO193" s="1">
        <v>8090</v>
      </c>
      <c r="AP193" s="1">
        <v>43455</v>
      </c>
      <c r="AQ193" s="1">
        <v>2.1861732595933532</v>
      </c>
    </row>
    <row r="194" spans="1:43" x14ac:dyDescent="0.45">
      <c r="A194" s="1">
        <v>193</v>
      </c>
      <c r="B194" s="1">
        <v>181</v>
      </c>
      <c r="C194" s="1">
        <v>75</v>
      </c>
      <c r="D194" s="1" t="s">
        <v>64</v>
      </c>
      <c r="E194" s="1" t="s">
        <v>65</v>
      </c>
      <c r="F194" s="1" t="s">
        <v>66</v>
      </c>
      <c r="G194" s="1" t="s">
        <v>46</v>
      </c>
      <c r="H194" s="1" t="s">
        <v>47</v>
      </c>
      <c r="I194" s="1">
        <v>1170</v>
      </c>
      <c r="J194" s="1">
        <v>33499</v>
      </c>
      <c r="K194" s="1">
        <v>1</v>
      </c>
      <c r="L194" s="1">
        <v>74</v>
      </c>
      <c r="M194" s="1">
        <v>1783</v>
      </c>
      <c r="N194" s="1" t="s">
        <v>48</v>
      </c>
      <c r="O194" s="1">
        <v>194101</v>
      </c>
      <c r="P194" s="1">
        <v>93</v>
      </c>
      <c r="Q194" s="1" t="s">
        <v>111</v>
      </c>
      <c r="R194" s="1" t="s">
        <v>50</v>
      </c>
      <c r="S194" s="1">
        <v>0</v>
      </c>
      <c r="T194" s="1">
        <v>0</v>
      </c>
      <c r="U194" s="1">
        <v>715.21299999999997</v>
      </c>
      <c r="V194" s="1">
        <v>25.327000000000002</v>
      </c>
      <c r="W194" s="1">
        <v>0.53</v>
      </c>
      <c r="X194" s="1">
        <v>0.182</v>
      </c>
      <c r="Y194" s="1">
        <v>25.51</v>
      </c>
      <c r="Z194" s="1">
        <v>0.122</v>
      </c>
      <c r="AA194" s="1">
        <v>3</v>
      </c>
      <c r="AB194" s="1">
        <v>3</v>
      </c>
      <c r="AC194" s="1">
        <v>3</v>
      </c>
      <c r="AD194" s="1">
        <v>0.182</v>
      </c>
      <c r="AE194" s="1">
        <v>0.122</v>
      </c>
      <c r="AF194" s="1">
        <v>2.1999999999999999E-2</v>
      </c>
      <c r="AG194" s="1">
        <v>3</v>
      </c>
      <c r="AI194" s="1">
        <v>0</v>
      </c>
      <c r="AJ194" s="1">
        <v>0</v>
      </c>
      <c r="AK194" s="1">
        <v>0</v>
      </c>
      <c r="AL194" s="1">
        <v>1</v>
      </c>
      <c r="AM194" s="1">
        <v>86400</v>
      </c>
      <c r="AN194" s="1">
        <v>79300</v>
      </c>
      <c r="AO194" s="1">
        <v>7100</v>
      </c>
      <c r="AP194" s="1">
        <v>47165</v>
      </c>
      <c r="AQ194" s="1">
        <v>1.705766435611443</v>
      </c>
    </row>
    <row r="195" spans="1:43" x14ac:dyDescent="0.45">
      <c r="A195" s="1">
        <v>194</v>
      </c>
      <c r="B195" s="1">
        <v>181</v>
      </c>
      <c r="C195" s="1">
        <v>75</v>
      </c>
      <c r="D195" s="1" t="s">
        <v>64</v>
      </c>
      <c r="E195" s="1" t="s">
        <v>65</v>
      </c>
      <c r="F195" s="1" t="s">
        <v>66</v>
      </c>
      <c r="G195" s="1" t="s">
        <v>46</v>
      </c>
      <c r="H195" s="1" t="s">
        <v>47</v>
      </c>
      <c r="I195" s="1">
        <v>1170</v>
      </c>
      <c r="J195" s="1">
        <v>33499</v>
      </c>
      <c r="K195" s="1">
        <v>1</v>
      </c>
      <c r="L195" s="1">
        <v>74</v>
      </c>
      <c r="M195" s="1">
        <v>2080</v>
      </c>
      <c r="N195" s="1" t="s">
        <v>48</v>
      </c>
      <c r="O195" s="1">
        <v>198606</v>
      </c>
      <c r="P195" s="1">
        <v>93</v>
      </c>
      <c r="Q195" s="1" t="s">
        <v>111</v>
      </c>
      <c r="R195" s="1" t="s">
        <v>50</v>
      </c>
      <c r="S195" s="1">
        <v>0</v>
      </c>
      <c r="T195" s="1">
        <v>0</v>
      </c>
      <c r="U195" s="1">
        <v>92.590999999999994</v>
      </c>
      <c r="V195" s="1">
        <v>25.254000000000001</v>
      </c>
      <c r="W195" s="1">
        <v>0.54</v>
      </c>
      <c r="X195" s="1">
        <v>0.28100000000000003</v>
      </c>
      <c r="Y195" s="1">
        <v>25.535</v>
      </c>
      <c r="Z195" s="1">
        <v>0.11</v>
      </c>
      <c r="AA195" s="1">
        <v>0.7</v>
      </c>
      <c r="AB195" s="1">
        <v>-1.8</v>
      </c>
      <c r="AC195" s="1">
        <v>-1.8</v>
      </c>
      <c r="AD195" s="1">
        <v>0.28100000000000003</v>
      </c>
      <c r="AE195" s="1">
        <v>6.3E-2</v>
      </c>
      <c r="AF195" s="1">
        <v>2.5000000000000001E-2</v>
      </c>
      <c r="AG195" s="1">
        <v>0.7</v>
      </c>
      <c r="AI195" s="1">
        <v>0</v>
      </c>
      <c r="AJ195" s="1">
        <v>0</v>
      </c>
      <c r="AK195" s="1">
        <v>0</v>
      </c>
      <c r="AL195" s="1">
        <v>1</v>
      </c>
      <c r="AM195" s="1">
        <v>86400</v>
      </c>
      <c r="AN195" s="1">
        <v>80966</v>
      </c>
      <c r="AO195" s="1">
        <v>5434</v>
      </c>
      <c r="AP195" s="1">
        <v>50341</v>
      </c>
      <c r="AQ195" s="1">
        <v>16.327837453438821</v>
      </c>
    </row>
    <row r="196" spans="1:43" x14ac:dyDescent="0.45">
      <c r="A196" s="1">
        <v>195</v>
      </c>
      <c r="B196" s="1">
        <v>181</v>
      </c>
      <c r="C196" s="1">
        <v>75</v>
      </c>
      <c r="D196" s="1" t="s">
        <v>64</v>
      </c>
      <c r="E196" s="1" t="s">
        <v>65</v>
      </c>
      <c r="F196" s="1" t="s">
        <v>66</v>
      </c>
      <c r="G196" s="1" t="s">
        <v>46</v>
      </c>
      <c r="H196" s="1" t="s">
        <v>47</v>
      </c>
      <c r="I196" s="1">
        <v>1170</v>
      </c>
      <c r="J196" s="1">
        <v>33499</v>
      </c>
      <c r="K196" s="1">
        <v>1</v>
      </c>
      <c r="L196" s="1">
        <v>74</v>
      </c>
      <c r="M196" s="1">
        <v>2081</v>
      </c>
      <c r="N196" s="1" t="s">
        <v>48</v>
      </c>
      <c r="O196" s="1">
        <v>198607</v>
      </c>
      <c r="P196" s="1">
        <v>93</v>
      </c>
      <c r="Q196" s="1" t="s">
        <v>111</v>
      </c>
      <c r="R196" s="1" t="s">
        <v>50</v>
      </c>
      <c r="S196" s="1">
        <v>0</v>
      </c>
      <c r="T196" s="1">
        <v>0</v>
      </c>
      <c r="U196" s="1">
        <v>71.430000000000007</v>
      </c>
      <c r="V196" s="1">
        <v>25.236000000000001</v>
      </c>
      <c r="W196" s="1">
        <v>0.55000000000000004</v>
      </c>
      <c r="X196" s="1">
        <v>0.29899999999999999</v>
      </c>
      <c r="Y196" s="1">
        <v>25.535</v>
      </c>
      <c r="Z196" s="1">
        <v>0.11799999999999999</v>
      </c>
      <c r="AA196" s="1">
        <v>-0.6</v>
      </c>
      <c r="AB196" s="1">
        <v>-2.1</v>
      </c>
      <c r="AC196" s="1">
        <v>-2.1</v>
      </c>
      <c r="AD196" s="1">
        <v>0.29899999999999999</v>
      </c>
      <c r="AE196" s="1">
        <v>4.9000000000000002E-2</v>
      </c>
      <c r="AF196" s="1">
        <v>0.02</v>
      </c>
      <c r="AG196" s="1">
        <v>-0.6</v>
      </c>
      <c r="AI196" s="1">
        <v>0</v>
      </c>
      <c r="AJ196" s="1">
        <v>0</v>
      </c>
      <c r="AK196" s="1">
        <v>0</v>
      </c>
      <c r="AL196" s="1">
        <v>1</v>
      </c>
      <c r="AM196" s="1">
        <v>86400</v>
      </c>
      <c r="AN196" s="1">
        <v>81431</v>
      </c>
      <c r="AO196" s="1">
        <v>4969</v>
      </c>
      <c r="AP196" s="1">
        <v>50212</v>
      </c>
      <c r="AQ196" s="1">
        <v>1.7753314003685849</v>
      </c>
    </row>
    <row r="197" spans="1:43" x14ac:dyDescent="0.45">
      <c r="A197" s="1">
        <v>196</v>
      </c>
      <c r="B197" s="1">
        <v>181</v>
      </c>
      <c r="C197" s="1">
        <v>75</v>
      </c>
      <c r="D197" s="1" t="s">
        <v>64</v>
      </c>
      <c r="E197" s="1" t="s">
        <v>65</v>
      </c>
      <c r="F197" s="1" t="s">
        <v>66</v>
      </c>
      <c r="G197" s="1" t="s">
        <v>46</v>
      </c>
      <c r="H197" s="1" t="s">
        <v>47</v>
      </c>
      <c r="I197" s="1">
        <v>1170</v>
      </c>
      <c r="J197" s="1">
        <v>33499</v>
      </c>
      <c r="K197" s="1">
        <v>1</v>
      </c>
      <c r="L197" s="1">
        <v>74</v>
      </c>
      <c r="M197" s="1">
        <v>2082</v>
      </c>
      <c r="N197" s="1" t="s">
        <v>48</v>
      </c>
      <c r="O197" s="1">
        <v>198608</v>
      </c>
      <c r="P197" s="1">
        <v>93</v>
      </c>
      <c r="Q197" s="1" t="s">
        <v>111</v>
      </c>
      <c r="R197" s="1" t="s">
        <v>50</v>
      </c>
      <c r="S197" s="1">
        <v>0</v>
      </c>
      <c r="T197" s="1">
        <v>0</v>
      </c>
      <c r="U197" s="1">
        <v>185.518</v>
      </c>
      <c r="V197" s="1">
        <v>25.303000000000001</v>
      </c>
      <c r="W197" s="1">
        <v>0.54</v>
      </c>
      <c r="X197" s="1">
        <v>0.23100000000000001</v>
      </c>
      <c r="Y197" s="1">
        <v>25.535</v>
      </c>
      <c r="Z197" s="1">
        <v>9.5000000000000001E-2</v>
      </c>
      <c r="AA197" s="1">
        <v>-2.7</v>
      </c>
      <c r="AB197" s="1">
        <v>-2.7</v>
      </c>
      <c r="AC197" s="1">
        <v>-2.7</v>
      </c>
      <c r="AD197" s="1">
        <v>0.23100000000000001</v>
      </c>
      <c r="AE197" s="1">
        <v>9.5000000000000001E-2</v>
      </c>
      <c r="AF197" s="1">
        <v>2.1999999999999999E-2</v>
      </c>
      <c r="AG197" s="1">
        <v>-2.7</v>
      </c>
      <c r="AI197" s="1">
        <v>0</v>
      </c>
      <c r="AJ197" s="1">
        <v>0</v>
      </c>
      <c r="AK197" s="1">
        <v>0</v>
      </c>
      <c r="AL197" s="1">
        <v>1</v>
      </c>
      <c r="AM197" s="1">
        <v>59393</v>
      </c>
      <c r="AN197" s="1">
        <v>16130</v>
      </c>
      <c r="AO197" s="1">
        <v>43262</v>
      </c>
      <c r="AP197" s="1">
        <v>50097</v>
      </c>
      <c r="AQ197" s="1">
        <v>0.55796808436506862</v>
      </c>
    </row>
    <row r="198" spans="1:43" x14ac:dyDescent="0.45">
      <c r="A198" s="1">
        <v>197</v>
      </c>
      <c r="B198" s="1">
        <v>181</v>
      </c>
      <c r="C198" s="1">
        <v>75</v>
      </c>
      <c r="D198" s="1" t="s">
        <v>64</v>
      </c>
      <c r="E198" s="1" t="s">
        <v>65</v>
      </c>
      <c r="F198" s="1" t="s">
        <v>66</v>
      </c>
      <c r="G198" s="1" t="s">
        <v>46</v>
      </c>
      <c r="H198" s="1" t="s">
        <v>47</v>
      </c>
      <c r="I198" s="1">
        <v>1170</v>
      </c>
      <c r="J198" s="1">
        <v>33499</v>
      </c>
      <c r="K198" s="1">
        <v>1</v>
      </c>
      <c r="L198" s="1">
        <v>74</v>
      </c>
      <c r="M198" s="1">
        <v>2085</v>
      </c>
      <c r="N198" s="1" t="s">
        <v>48</v>
      </c>
      <c r="O198" s="1">
        <v>198613</v>
      </c>
      <c r="P198" s="1">
        <v>93</v>
      </c>
      <c r="Q198" s="1" t="s">
        <v>111</v>
      </c>
      <c r="R198" s="1" t="s">
        <v>50</v>
      </c>
      <c r="S198" s="1">
        <v>0</v>
      </c>
      <c r="T198" s="1">
        <v>0</v>
      </c>
      <c r="U198" s="1">
        <v>131.41399999999999</v>
      </c>
      <c r="V198" s="1">
        <v>25.213000000000001</v>
      </c>
      <c r="W198" s="1">
        <v>0.53</v>
      </c>
      <c r="X198" s="1">
        <v>0.14599999999999999</v>
      </c>
      <c r="Y198" s="1">
        <v>25.359000000000002</v>
      </c>
      <c r="Z198" s="1">
        <v>0.23899999999999999</v>
      </c>
      <c r="AA198" s="1">
        <v>2.7</v>
      </c>
      <c r="AB198" s="1">
        <v>2.8</v>
      </c>
      <c r="AC198" s="1">
        <v>2.8</v>
      </c>
      <c r="AD198" s="1">
        <v>0.14599999999999999</v>
      </c>
      <c r="AE198" s="1">
        <v>0.223</v>
      </c>
      <c r="AF198" s="1">
        <v>3.3000000000000002E-2</v>
      </c>
      <c r="AG198" s="1">
        <v>2.7</v>
      </c>
      <c r="AI198" s="1">
        <v>0</v>
      </c>
      <c r="AJ198" s="1">
        <v>0</v>
      </c>
      <c r="AK198" s="1">
        <v>0</v>
      </c>
      <c r="AL198" s="1">
        <v>1</v>
      </c>
      <c r="AM198" s="1">
        <v>86400</v>
      </c>
      <c r="AN198" s="1">
        <v>80168</v>
      </c>
      <c r="AO198" s="1">
        <v>6232</v>
      </c>
      <c r="AP198" s="1">
        <v>50361</v>
      </c>
      <c r="AQ198" s="1">
        <v>0.4638677209018659</v>
      </c>
    </row>
    <row r="199" spans="1:43" x14ac:dyDescent="0.45">
      <c r="A199" s="1">
        <v>198</v>
      </c>
      <c r="B199" s="1">
        <v>181</v>
      </c>
      <c r="C199" s="1">
        <v>75</v>
      </c>
      <c r="D199" s="1" t="s">
        <v>64</v>
      </c>
      <c r="E199" s="1" t="s">
        <v>65</v>
      </c>
      <c r="F199" s="1" t="s">
        <v>66</v>
      </c>
      <c r="G199" s="1" t="s">
        <v>46</v>
      </c>
      <c r="H199" s="1" t="s">
        <v>47</v>
      </c>
      <c r="I199" s="1">
        <v>1170</v>
      </c>
      <c r="J199" s="1">
        <v>33499</v>
      </c>
      <c r="K199" s="1">
        <v>1</v>
      </c>
      <c r="L199" s="1">
        <v>74</v>
      </c>
      <c r="M199" s="1">
        <v>2086</v>
      </c>
      <c r="N199" s="1" t="s">
        <v>48</v>
      </c>
      <c r="O199" s="1">
        <v>198616</v>
      </c>
      <c r="P199" s="1">
        <v>93</v>
      </c>
      <c r="Q199" s="1" t="s">
        <v>111</v>
      </c>
      <c r="R199" s="1" t="s">
        <v>50</v>
      </c>
      <c r="S199" s="1">
        <v>0</v>
      </c>
      <c r="T199" s="1">
        <v>0</v>
      </c>
      <c r="U199" s="1">
        <v>155.554</v>
      </c>
      <c r="V199" s="1">
        <v>25.196999999999999</v>
      </c>
      <c r="W199" s="1">
        <v>0.54</v>
      </c>
      <c r="X199" s="1">
        <v>0.23799999999999999</v>
      </c>
      <c r="Y199" s="1">
        <v>25.434000000000001</v>
      </c>
      <c r="Z199" s="1">
        <v>0.04</v>
      </c>
      <c r="AA199" s="1">
        <v>-0.6</v>
      </c>
      <c r="AB199" s="1">
        <v>-0.6</v>
      </c>
      <c r="AC199" s="1">
        <v>-0.6</v>
      </c>
      <c r="AD199" s="1">
        <v>0.23799999999999999</v>
      </c>
      <c r="AE199" s="1">
        <v>0.04</v>
      </c>
      <c r="AF199" s="1">
        <v>0.01</v>
      </c>
      <c r="AG199" s="1">
        <v>-0.6</v>
      </c>
      <c r="AI199" s="1">
        <v>0</v>
      </c>
      <c r="AJ199" s="1">
        <v>0</v>
      </c>
      <c r="AK199" s="1">
        <v>0</v>
      </c>
      <c r="AL199" s="1">
        <v>1</v>
      </c>
      <c r="AM199" s="1">
        <v>86400</v>
      </c>
      <c r="AN199" s="1">
        <v>78120</v>
      </c>
      <c r="AO199" s="1">
        <v>8280</v>
      </c>
      <c r="AP199" s="1">
        <v>46817</v>
      </c>
      <c r="AQ199" s="1">
        <v>0.49721296494119721</v>
      </c>
    </row>
    <row r="200" spans="1:43" x14ac:dyDescent="0.45">
      <c r="A200" s="1">
        <v>199</v>
      </c>
      <c r="B200" s="1">
        <v>332</v>
      </c>
      <c r="C200" s="1">
        <v>25</v>
      </c>
      <c r="D200" s="1" t="s">
        <v>70</v>
      </c>
      <c r="E200" s="1" t="s">
        <v>71</v>
      </c>
      <c r="F200" s="1" t="s">
        <v>72</v>
      </c>
      <c r="G200" s="1" t="s">
        <v>46</v>
      </c>
      <c r="H200" s="1" t="s">
        <v>47</v>
      </c>
      <c r="I200" s="1">
        <v>664</v>
      </c>
      <c r="J200" s="1">
        <v>19970</v>
      </c>
      <c r="K200" s="1">
        <v>1</v>
      </c>
      <c r="L200" s="1">
        <v>24</v>
      </c>
      <c r="M200" s="1">
        <v>1696</v>
      </c>
      <c r="N200" s="1" t="s">
        <v>48</v>
      </c>
      <c r="O200" s="1">
        <v>183770</v>
      </c>
      <c r="P200" s="1">
        <v>93</v>
      </c>
      <c r="Q200" s="1" t="s">
        <v>111</v>
      </c>
      <c r="R200" s="1" t="s">
        <v>50</v>
      </c>
      <c r="S200" s="1">
        <v>0</v>
      </c>
      <c r="T200" s="1">
        <v>0</v>
      </c>
      <c r="U200" s="1">
        <v>134.53299999999999</v>
      </c>
      <c r="V200" s="1">
        <v>25.527000000000001</v>
      </c>
      <c r="W200" s="1">
        <v>1.3</v>
      </c>
      <c r="X200" s="1">
        <v>1.76</v>
      </c>
      <c r="Y200" s="1">
        <v>27.286999999999999</v>
      </c>
      <c r="Z200" s="1">
        <v>0.17100000000000001</v>
      </c>
      <c r="AA200" s="1">
        <v>2.7</v>
      </c>
      <c r="AB200" s="1">
        <v>2.7</v>
      </c>
      <c r="AC200" s="1">
        <v>2.7</v>
      </c>
      <c r="AD200" s="1">
        <v>1.76</v>
      </c>
      <c r="AE200" s="1">
        <v>0.17100000000000001</v>
      </c>
      <c r="AF200" s="1">
        <v>0.30199999999999999</v>
      </c>
      <c r="AG200" s="1">
        <v>2.7</v>
      </c>
      <c r="AI200" s="1">
        <v>0</v>
      </c>
      <c r="AJ200" s="1">
        <v>0</v>
      </c>
      <c r="AK200" s="1">
        <v>0</v>
      </c>
      <c r="AL200" s="1">
        <v>1</v>
      </c>
      <c r="AM200" s="1">
        <v>86400</v>
      </c>
      <c r="AN200" s="1">
        <v>80689</v>
      </c>
      <c r="AO200" s="1">
        <v>5711</v>
      </c>
      <c r="AP200" s="1">
        <v>43385</v>
      </c>
      <c r="AQ200" s="1">
        <v>14.97557869697212</v>
      </c>
    </row>
    <row r="201" spans="1:43" x14ac:dyDescent="0.45">
      <c r="A201" s="1">
        <v>200</v>
      </c>
      <c r="B201" s="1">
        <v>332</v>
      </c>
      <c r="C201" s="1">
        <v>25</v>
      </c>
      <c r="D201" s="1" t="s">
        <v>70</v>
      </c>
      <c r="E201" s="1" t="s">
        <v>71</v>
      </c>
      <c r="F201" s="1" t="s">
        <v>72</v>
      </c>
      <c r="G201" s="1" t="s">
        <v>46</v>
      </c>
      <c r="H201" s="1" t="s">
        <v>47</v>
      </c>
      <c r="I201" s="1">
        <v>664</v>
      </c>
      <c r="J201" s="1">
        <v>19970</v>
      </c>
      <c r="K201" s="1">
        <v>1</v>
      </c>
      <c r="L201" s="1">
        <v>24</v>
      </c>
      <c r="M201" s="1">
        <v>1698</v>
      </c>
      <c r="N201" s="1" t="s">
        <v>48</v>
      </c>
      <c r="O201" s="1">
        <v>183857</v>
      </c>
      <c r="P201" s="1">
        <v>93</v>
      </c>
      <c r="Q201" s="1" t="s">
        <v>111</v>
      </c>
      <c r="R201" s="1" t="s">
        <v>50</v>
      </c>
      <c r="S201" s="1">
        <v>0</v>
      </c>
      <c r="T201" s="1">
        <v>0</v>
      </c>
      <c r="U201" s="1">
        <v>97.05</v>
      </c>
      <c r="V201" s="1">
        <v>27.024000000000001</v>
      </c>
      <c r="W201" s="1">
        <v>0.54</v>
      </c>
      <c r="X201" s="1">
        <v>0.22</v>
      </c>
      <c r="Y201" s="1">
        <v>27.244</v>
      </c>
      <c r="Z201" s="1">
        <v>0.252</v>
      </c>
      <c r="AA201" s="1">
        <v>-1.6</v>
      </c>
      <c r="AB201" s="1">
        <v>-1.6</v>
      </c>
      <c r="AC201" s="1">
        <v>-1.6</v>
      </c>
      <c r="AD201" s="1">
        <v>0.22</v>
      </c>
      <c r="AE201" s="1">
        <v>0.251</v>
      </c>
      <c r="AF201" s="1">
        <v>5.5E-2</v>
      </c>
      <c r="AG201" s="1">
        <v>-1.6</v>
      </c>
      <c r="AI201" s="1">
        <v>0</v>
      </c>
      <c r="AJ201" s="1">
        <v>0</v>
      </c>
      <c r="AK201" s="1">
        <v>0</v>
      </c>
      <c r="AL201" s="1">
        <v>1</v>
      </c>
      <c r="AM201" s="1">
        <v>86400</v>
      </c>
      <c r="AN201" s="1">
        <v>76507</v>
      </c>
      <c r="AO201" s="1">
        <v>9893</v>
      </c>
      <c r="AP201" s="1">
        <v>46957</v>
      </c>
      <c r="AQ201" s="1">
        <v>12.13985088347876</v>
      </c>
    </row>
    <row r="202" spans="1:43" x14ac:dyDescent="0.45">
      <c r="A202" s="1">
        <v>201</v>
      </c>
      <c r="B202" s="1">
        <v>333</v>
      </c>
      <c r="C202" s="1">
        <v>24</v>
      </c>
      <c r="D202" s="1" t="s">
        <v>73</v>
      </c>
      <c r="E202" s="1" t="s">
        <v>74</v>
      </c>
      <c r="F202" s="1" t="s">
        <v>75</v>
      </c>
      <c r="G202" s="1" t="s">
        <v>46</v>
      </c>
      <c r="H202" s="1" t="s">
        <v>47</v>
      </c>
      <c r="I202" s="1">
        <v>586</v>
      </c>
      <c r="J202" s="1">
        <v>18129</v>
      </c>
      <c r="K202" s="1">
        <v>1</v>
      </c>
      <c r="L202" s="1">
        <v>23</v>
      </c>
      <c r="M202" s="1">
        <v>1696</v>
      </c>
      <c r="N202" s="1" t="s">
        <v>48</v>
      </c>
      <c r="O202" s="1">
        <v>183770</v>
      </c>
      <c r="P202" s="1">
        <v>93</v>
      </c>
      <c r="Q202" s="1" t="s">
        <v>111</v>
      </c>
      <c r="R202" s="1" t="s">
        <v>50</v>
      </c>
      <c r="S202" s="1">
        <v>0</v>
      </c>
      <c r="T202" s="1">
        <v>0</v>
      </c>
      <c r="U202" s="1">
        <v>134.53299999999999</v>
      </c>
      <c r="V202" s="1">
        <v>25.527000000000001</v>
      </c>
      <c r="W202" s="1">
        <v>1.3</v>
      </c>
      <c r="X202" s="1">
        <v>1.76</v>
      </c>
      <c r="Y202" s="1">
        <v>27.286999999999999</v>
      </c>
      <c r="Z202" s="1">
        <v>0.17100000000000001</v>
      </c>
      <c r="AA202" s="1">
        <v>2.7</v>
      </c>
      <c r="AB202" s="1">
        <v>2.7</v>
      </c>
      <c r="AC202" s="1">
        <v>2.7</v>
      </c>
      <c r="AD202" s="1">
        <v>1.76</v>
      </c>
      <c r="AE202" s="1">
        <v>0.17100000000000001</v>
      </c>
      <c r="AF202" s="1">
        <v>0.30199999999999999</v>
      </c>
      <c r="AG202" s="1">
        <v>2.7</v>
      </c>
      <c r="AI202" s="1">
        <v>0</v>
      </c>
      <c r="AJ202" s="1">
        <v>0</v>
      </c>
      <c r="AK202" s="1">
        <v>0</v>
      </c>
      <c r="AL202" s="1">
        <v>1</v>
      </c>
      <c r="AM202" s="1">
        <v>86400</v>
      </c>
      <c r="AN202" s="1">
        <v>80689</v>
      </c>
      <c r="AO202" s="1">
        <v>5711</v>
      </c>
      <c r="AP202" s="1">
        <v>43385</v>
      </c>
      <c r="AQ202" s="1">
        <v>1.107249760698368</v>
      </c>
    </row>
    <row r="203" spans="1:43" x14ac:dyDescent="0.45">
      <c r="A203" s="1">
        <v>202</v>
      </c>
      <c r="B203" s="1">
        <v>334</v>
      </c>
      <c r="C203" s="1">
        <v>25</v>
      </c>
      <c r="D203" s="1" t="s">
        <v>70</v>
      </c>
      <c r="E203" s="1" t="s">
        <v>71</v>
      </c>
      <c r="F203" s="1" t="s">
        <v>72</v>
      </c>
      <c r="G203" s="1" t="s">
        <v>46</v>
      </c>
      <c r="H203" s="1" t="s">
        <v>47</v>
      </c>
      <c r="I203" s="1">
        <v>664</v>
      </c>
      <c r="J203" s="1">
        <v>19970</v>
      </c>
      <c r="K203" s="1">
        <v>1</v>
      </c>
      <c r="L203" s="1">
        <v>24</v>
      </c>
      <c r="M203" s="1">
        <v>1696</v>
      </c>
      <c r="N203" s="1" t="s">
        <v>48</v>
      </c>
      <c r="O203" s="1">
        <v>183770</v>
      </c>
      <c r="P203" s="1">
        <v>93</v>
      </c>
      <c r="Q203" s="1" t="s">
        <v>111</v>
      </c>
      <c r="R203" s="1" t="s">
        <v>50</v>
      </c>
      <c r="S203" s="1">
        <v>0</v>
      </c>
      <c r="T203" s="1">
        <v>0</v>
      </c>
      <c r="U203" s="1">
        <v>134.53299999999999</v>
      </c>
      <c r="V203" s="1">
        <v>25.527000000000001</v>
      </c>
      <c r="W203" s="1">
        <v>1.3</v>
      </c>
      <c r="X203" s="1">
        <v>1.76</v>
      </c>
      <c r="Y203" s="1">
        <v>27.286999999999999</v>
      </c>
      <c r="Z203" s="1">
        <v>0.17100000000000001</v>
      </c>
      <c r="AA203" s="1">
        <v>2.7</v>
      </c>
      <c r="AB203" s="1">
        <v>2.7</v>
      </c>
      <c r="AC203" s="1">
        <v>2.7</v>
      </c>
      <c r="AD203" s="1">
        <v>1.76</v>
      </c>
      <c r="AE203" s="1">
        <v>0.17100000000000001</v>
      </c>
      <c r="AF203" s="1">
        <v>0.30199999999999999</v>
      </c>
      <c r="AG203" s="1">
        <v>2.7</v>
      </c>
      <c r="AI203" s="1">
        <v>0</v>
      </c>
      <c r="AJ203" s="1">
        <v>0</v>
      </c>
      <c r="AK203" s="1">
        <v>0</v>
      </c>
      <c r="AL203" s="1">
        <v>1</v>
      </c>
      <c r="AM203" s="1">
        <v>86400</v>
      </c>
      <c r="AN203" s="1">
        <v>80689</v>
      </c>
      <c r="AO203" s="1">
        <v>5711</v>
      </c>
      <c r="AP203" s="1">
        <v>43385</v>
      </c>
      <c r="AQ203" s="1">
        <v>1.092180301669939</v>
      </c>
    </row>
    <row r="204" spans="1:43" x14ac:dyDescent="0.45">
      <c r="A204" s="1">
        <v>203</v>
      </c>
      <c r="B204" s="1">
        <v>351</v>
      </c>
      <c r="C204" s="1">
        <v>63</v>
      </c>
      <c r="D204" s="1" t="s">
        <v>76</v>
      </c>
      <c r="E204" s="1" t="s">
        <v>77</v>
      </c>
      <c r="F204" s="1" t="s">
        <v>78</v>
      </c>
      <c r="G204" s="1" t="s">
        <v>46</v>
      </c>
      <c r="H204" s="1" t="s">
        <v>47</v>
      </c>
      <c r="I204" s="1">
        <v>1247</v>
      </c>
      <c r="J204" s="1">
        <v>27398</v>
      </c>
      <c r="K204" s="1">
        <v>1</v>
      </c>
      <c r="L204" s="1">
        <v>62</v>
      </c>
      <c r="M204" s="1">
        <v>1688</v>
      </c>
      <c r="N204" s="1" t="s">
        <v>48</v>
      </c>
      <c r="O204" s="1">
        <v>181313</v>
      </c>
      <c r="P204" s="1">
        <v>93</v>
      </c>
      <c r="Q204" s="1" t="s">
        <v>111</v>
      </c>
      <c r="R204" s="1" t="s">
        <v>50</v>
      </c>
      <c r="S204" s="1">
        <v>0</v>
      </c>
      <c r="T204" s="1">
        <v>0</v>
      </c>
      <c r="U204" s="1">
        <v>283.084</v>
      </c>
      <c r="V204" s="1">
        <v>25.13</v>
      </c>
      <c r="W204" s="1">
        <v>0.52</v>
      </c>
      <c r="X204" s="1">
        <v>0.10299999999999999</v>
      </c>
      <c r="Y204" s="1">
        <v>25.233000000000001</v>
      </c>
      <c r="Z204" s="1">
        <v>0.249</v>
      </c>
      <c r="AA204" s="1">
        <v>2.2000000000000002</v>
      </c>
      <c r="AB204" s="1">
        <v>2.2000000000000002</v>
      </c>
      <c r="AC204" s="1">
        <v>2.2000000000000002</v>
      </c>
      <c r="AD204" s="1">
        <v>0.10299999999999999</v>
      </c>
      <c r="AE204" s="1">
        <v>0.248</v>
      </c>
      <c r="AF204" s="1">
        <v>2.5999999999999999E-2</v>
      </c>
      <c r="AG204" s="1">
        <v>2.2000000000000002</v>
      </c>
      <c r="AI204" s="1">
        <v>0</v>
      </c>
      <c r="AJ204" s="1">
        <v>0</v>
      </c>
      <c r="AK204" s="1">
        <v>0</v>
      </c>
      <c r="AL204" s="1">
        <v>1</v>
      </c>
      <c r="AM204" s="1">
        <v>86400</v>
      </c>
      <c r="AN204" s="1">
        <v>80034</v>
      </c>
      <c r="AO204" s="1">
        <v>6366</v>
      </c>
      <c r="AP204" s="1">
        <v>43684</v>
      </c>
      <c r="AQ204" s="1">
        <v>3.0373744553695579</v>
      </c>
    </row>
    <row r="205" spans="1:43" x14ac:dyDescent="0.45">
      <c r="A205" s="1">
        <v>204</v>
      </c>
      <c r="B205" s="1">
        <v>351</v>
      </c>
      <c r="C205" s="1">
        <v>63</v>
      </c>
      <c r="D205" s="1" t="s">
        <v>76</v>
      </c>
      <c r="E205" s="1" t="s">
        <v>77</v>
      </c>
      <c r="F205" s="1" t="s">
        <v>78</v>
      </c>
      <c r="G205" s="1" t="s">
        <v>46</v>
      </c>
      <c r="H205" s="1" t="s">
        <v>47</v>
      </c>
      <c r="I205" s="1">
        <v>1247</v>
      </c>
      <c r="J205" s="1">
        <v>27398</v>
      </c>
      <c r="K205" s="1">
        <v>1</v>
      </c>
      <c r="L205" s="1">
        <v>62</v>
      </c>
      <c r="M205" s="1">
        <v>1689</v>
      </c>
      <c r="N205" s="1" t="s">
        <v>48</v>
      </c>
      <c r="O205" s="1">
        <v>181314</v>
      </c>
      <c r="P205" s="1">
        <v>93</v>
      </c>
      <c r="Q205" s="1" t="s">
        <v>111</v>
      </c>
      <c r="R205" s="1" t="s">
        <v>50</v>
      </c>
      <c r="S205" s="1">
        <v>0</v>
      </c>
      <c r="T205" s="1">
        <v>0</v>
      </c>
      <c r="U205" s="1">
        <v>407.74700000000001</v>
      </c>
      <c r="V205" s="1">
        <v>25.128</v>
      </c>
      <c r="W205" s="1">
        <v>0.52</v>
      </c>
      <c r="X205" s="1">
        <v>0.107</v>
      </c>
      <c r="Y205" s="1">
        <v>25.234999999999999</v>
      </c>
      <c r="Z205" s="1">
        <v>0.24</v>
      </c>
      <c r="AA205" s="1">
        <v>2.1</v>
      </c>
      <c r="AB205" s="1">
        <v>2.1</v>
      </c>
      <c r="AC205" s="1">
        <v>2.1</v>
      </c>
      <c r="AD205" s="1">
        <v>0.107</v>
      </c>
      <c r="AE205" s="1">
        <v>0.23899999999999999</v>
      </c>
      <c r="AF205" s="1">
        <v>2.5999999999999999E-2</v>
      </c>
      <c r="AG205" s="1">
        <v>2.1</v>
      </c>
      <c r="AI205" s="1">
        <v>0</v>
      </c>
      <c r="AJ205" s="1">
        <v>0</v>
      </c>
      <c r="AK205" s="1">
        <v>0</v>
      </c>
      <c r="AL205" s="1">
        <v>1</v>
      </c>
      <c r="AM205" s="1">
        <v>86400</v>
      </c>
      <c r="AN205" s="1">
        <v>80163</v>
      </c>
      <c r="AO205" s="1">
        <v>6237</v>
      </c>
      <c r="AP205" s="1">
        <v>47092</v>
      </c>
      <c r="AQ205" s="1">
        <v>28.371147376937831</v>
      </c>
    </row>
    <row r="206" spans="1:43" x14ac:dyDescent="0.45">
      <c r="A206" s="1">
        <v>205</v>
      </c>
      <c r="B206" s="1">
        <v>351</v>
      </c>
      <c r="C206" s="1">
        <v>63</v>
      </c>
      <c r="D206" s="1" t="s">
        <v>76</v>
      </c>
      <c r="E206" s="1" t="s">
        <v>77</v>
      </c>
      <c r="F206" s="1" t="s">
        <v>78</v>
      </c>
      <c r="G206" s="1" t="s">
        <v>46</v>
      </c>
      <c r="H206" s="1" t="s">
        <v>47</v>
      </c>
      <c r="I206" s="1">
        <v>1247</v>
      </c>
      <c r="J206" s="1">
        <v>27398</v>
      </c>
      <c r="K206" s="1">
        <v>1</v>
      </c>
      <c r="L206" s="1">
        <v>62</v>
      </c>
      <c r="M206" s="1">
        <v>1690</v>
      </c>
      <c r="N206" s="1" t="s">
        <v>48</v>
      </c>
      <c r="O206" s="1">
        <v>181344</v>
      </c>
      <c r="P206" s="1">
        <v>93</v>
      </c>
      <c r="Q206" s="1" t="s">
        <v>111</v>
      </c>
      <c r="R206" s="1" t="s">
        <v>50</v>
      </c>
      <c r="S206" s="1">
        <v>0</v>
      </c>
      <c r="T206" s="1">
        <v>0</v>
      </c>
      <c r="U206" s="1">
        <v>509.673</v>
      </c>
      <c r="V206" s="1">
        <v>23.771999999999998</v>
      </c>
      <c r="W206" s="1">
        <v>0.63</v>
      </c>
      <c r="X206" s="1">
        <v>0.77500000000000002</v>
      </c>
      <c r="Y206" s="1">
        <v>24.547000000000001</v>
      </c>
      <c r="Z206" s="1">
        <v>0.16300000000000001</v>
      </c>
      <c r="AA206" s="1">
        <v>-3</v>
      </c>
      <c r="AB206" s="1">
        <v>-3</v>
      </c>
      <c r="AC206" s="1">
        <v>-3</v>
      </c>
      <c r="AD206" s="1">
        <v>0.77500000000000002</v>
      </c>
      <c r="AE206" s="1">
        <v>0.16300000000000001</v>
      </c>
      <c r="AF206" s="1">
        <v>0.127</v>
      </c>
      <c r="AG206" s="1">
        <v>-3</v>
      </c>
      <c r="AI206" s="1">
        <v>0</v>
      </c>
      <c r="AJ206" s="1">
        <v>0</v>
      </c>
      <c r="AK206" s="1">
        <v>0</v>
      </c>
      <c r="AL206" s="1">
        <v>1</v>
      </c>
      <c r="AM206" s="1">
        <v>86400</v>
      </c>
      <c r="AN206" s="1">
        <v>80355</v>
      </c>
      <c r="AO206" s="1">
        <v>6045</v>
      </c>
      <c r="AP206" s="1">
        <v>43367</v>
      </c>
      <c r="AQ206" s="1">
        <v>25.565098127340359</v>
      </c>
    </row>
    <row r="207" spans="1:43" x14ac:dyDescent="0.45">
      <c r="A207" s="1">
        <v>206</v>
      </c>
      <c r="B207" s="1">
        <v>351</v>
      </c>
      <c r="C207" s="1">
        <v>63</v>
      </c>
      <c r="D207" s="1" t="s">
        <v>76</v>
      </c>
      <c r="E207" s="1" t="s">
        <v>77</v>
      </c>
      <c r="F207" s="1" t="s">
        <v>78</v>
      </c>
      <c r="G207" s="1" t="s">
        <v>46</v>
      </c>
      <c r="H207" s="1" t="s">
        <v>47</v>
      </c>
      <c r="I207" s="1">
        <v>1247</v>
      </c>
      <c r="J207" s="1">
        <v>27398</v>
      </c>
      <c r="K207" s="1">
        <v>1</v>
      </c>
      <c r="L207" s="1">
        <v>62</v>
      </c>
      <c r="M207" s="1">
        <v>1700</v>
      </c>
      <c r="N207" s="1" t="s">
        <v>48</v>
      </c>
      <c r="O207" s="1">
        <v>184182</v>
      </c>
      <c r="P207" s="1">
        <v>93</v>
      </c>
      <c r="Q207" s="1" t="s">
        <v>111</v>
      </c>
      <c r="R207" s="1" t="s">
        <v>50</v>
      </c>
      <c r="S207" s="1">
        <v>0</v>
      </c>
      <c r="T207" s="1">
        <v>0</v>
      </c>
      <c r="U207" s="1">
        <v>51.722999999999999</v>
      </c>
      <c r="V207" s="1">
        <v>24.972999999999999</v>
      </c>
      <c r="W207" s="1">
        <v>0.54</v>
      </c>
      <c r="X207" s="1">
        <v>0.24199999999999999</v>
      </c>
      <c r="Y207" s="1">
        <v>25.216000000000001</v>
      </c>
      <c r="Z207" s="1">
        <v>0.14199999999999999</v>
      </c>
      <c r="AA207" s="1">
        <v>-2.9</v>
      </c>
      <c r="AB207" s="1">
        <v>-2.9</v>
      </c>
      <c r="AC207" s="1">
        <v>-2.9</v>
      </c>
      <c r="AD207" s="1">
        <v>0.24199999999999999</v>
      </c>
      <c r="AE207" s="1">
        <v>0.14199999999999999</v>
      </c>
      <c r="AF207" s="1">
        <v>3.4000000000000002E-2</v>
      </c>
      <c r="AG207" s="1">
        <v>-2.9</v>
      </c>
      <c r="AI207" s="1">
        <v>0</v>
      </c>
      <c r="AJ207" s="1">
        <v>0</v>
      </c>
      <c r="AK207" s="1">
        <v>0</v>
      </c>
      <c r="AL207" s="1">
        <v>1</v>
      </c>
      <c r="AM207" s="1">
        <v>86400</v>
      </c>
      <c r="AN207" s="1">
        <v>81623</v>
      </c>
      <c r="AO207" s="1">
        <v>4777</v>
      </c>
      <c r="AP207" s="1">
        <v>46882</v>
      </c>
      <c r="AQ207" s="1">
        <v>12.851985611736319</v>
      </c>
    </row>
    <row r="208" spans="1:43" x14ac:dyDescent="0.45">
      <c r="A208" s="1">
        <v>207</v>
      </c>
      <c r="B208" s="1">
        <v>351</v>
      </c>
      <c r="C208" s="1">
        <v>63</v>
      </c>
      <c r="D208" s="1" t="s">
        <v>76</v>
      </c>
      <c r="E208" s="1" t="s">
        <v>77</v>
      </c>
      <c r="F208" s="1" t="s">
        <v>78</v>
      </c>
      <c r="G208" s="1" t="s">
        <v>46</v>
      </c>
      <c r="H208" s="1" t="s">
        <v>47</v>
      </c>
      <c r="I208" s="1">
        <v>1247</v>
      </c>
      <c r="J208" s="1">
        <v>27398</v>
      </c>
      <c r="K208" s="1">
        <v>1</v>
      </c>
      <c r="L208" s="1">
        <v>62</v>
      </c>
      <c r="M208" s="1">
        <v>1701</v>
      </c>
      <c r="N208" s="1" t="s">
        <v>48</v>
      </c>
      <c r="O208" s="1">
        <v>184186</v>
      </c>
      <c r="P208" s="1">
        <v>93</v>
      </c>
      <c r="Q208" s="1" t="s">
        <v>111</v>
      </c>
      <c r="R208" s="1" t="s">
        <v>50</v>
      </c>
      <c r="S208" s="1">
        <v>0</v>
      </c>
      <c r="T208" s="1">
        <v>0</v>
      </c>
      <c r="U208" s="1">
        <v>192.679</v>
      </c>
      <c r="V208" s="1">
        <v>25.120999999999999</v>
      </c>
      <c r="W208" s="1">
        <v>0.52</v>
      </c>
      <c r="X208" s="1">
        <v>0.11</v>
      </c>
      <c r="Y208" s="1">
        <v>25.231000000000002</v>
      </c>
      <c r="Z208" s="1">
        <v>0.23699999999999999</v>
      </c>
      <c r="AA208" s="1">
        <v>2.2000000000000002</v>
      </c>
      <c r="AB208" s="1">
        <v>2.2000000000000002</v>
      </c>
      <c r="AC208" s="1">
        <v>2.2000000000000002</v>
      </c>
      <c r="AD208" s="1">
        <v>0.11</v>
      </c>
      <c r="AE208" s="1">
        <v>0.23599999999999999</v>
      </c>
      <c r="AF208" s="1">
        <v>2.5999999999999999E-2</v>
      </c>
      <c r="AG208" s="1">
        <v>2.2000000000000002</v>
      </c>
      <c r="AI208" s="1">
        <v>0</v>
      </c>
      <c r="AJ208" s="1">
        <v>0</v>
      </c>
      <c r="AK208" s="1">
        <v>0</v>
      </c>
      <c r="AL208" s="1">
        <v>1</v>
      </c>
      <c r="AM208" s="1">
        <v>86400</v>
      </c>
      <c r="AN208" s="1">
        <v>80486</v>
      </c>
      <c r="AO208" s="1">
        <v>5914</v>
      </c>
      <c r="AP208" s="1">
        <v>43637</v>
      </c>
      <c r="AQ208" s="1">
        <v>22.488583066255799</v>
      </c>
    </row>
    <row r="209" spans="1:43" x14ac:dyDescent="0.45">
      <c r="A209" s="1">
        <v>208</v>
      </c>
      <c r="B209" s="1">
        <v>351</v>
      </c>
      <c r="C209" s="1">
        <v>63</v>
      </c>
      <c r="D209" s="1" t="s">
        <v>76</v>
      </c>
      <c r="E209" s="1" t="s">
        <v>77</v>
      </c>
      <c r="F209" s="1" t="s">
        <v>78</v>
      </c>
      <c r="G209" s="1" t="s">
        <v>46</v>
      </c>
      <c r="H209" s="1" t="s">
        <v>47</v>
      </c>
      <c r="I209" s="1">
        <v>1247</v>
      </c>
      <c r="J209" s="1">
        <v>27398</v>
      </c>
      <c r="K209" s="1">
        <v>1</v>
      </c>
      <c r="L209" s="1">
        <v>62</v>
      </c>
      <c r="M209" s="1">
        <v>1702</v>
      </c>
      <c r="N209" s="1" t="s">
        <v>48</v>
      </c>
      <c r="O209" s="1">
        <v>184187</v>
      </c>
      <c r="P209" s="1">
        <v>93</v>
      </c>
      <c r="Q209" s="1" t="s">
        <v>111</v>
      </c>
      <c r="R209" s="1" t="s">
        <v>50</v>
      </c>
      <c r="S209" s="1">
        <v>0</v>
      </c>
      <c r="T209" s="1">
        <v>0</v>
      </c>
      <c r="U209" s="1">
        <v>148.02699999999999</v>
      </c>
      <c r="V209" s="1">
        <v>25.082999999999998</v>
      </c>
      <c r="W209" s="1">
        <v>0.53</v>
      </c>
      <c r="X209" s="1">
        <v>0.14799999999999999</v>
      </c>
      <c r="Y209" s="1">
        <v>25.231000000000002</v>
      </c>
      <c r="Z209" s="1">
        <v>0.315</v>
      </c>
      <c r="AA209" s="1">
        <v>1.9</v>
      </c>
      <c r="AB209" s="1">
        <v>1.9</v>
      </c>
      <c r="AC209" s="1">
        <v>1.9</v>
      </c>
      <c r="AD209" s="1">
        <v>0.14799999999999999</v>
      </c>
      <c r="AE209" s="1">
        <v>0.314</v>
      </c>
      <c r="AF209" s="1">
        <v>4.7E-2</v>
      </c>
      <c r="AG209" s="1">
        <v>1.9</v>
      </c>
      <c r="AI209" s="1">
        <v>0</v>
      </c>
      <c r="AJ209" s="1">
        <v>0</v>
      </c>
      <c r="AK209" s="1">
        <v>0</v>
      </c>
      <c r="AL209" s="1">
        <v>1</v>
      </c>
      <c r="AM209" s="1">
        <v>86400</v>
      </c>
      <c r="AN209" s="1">
        <v>81668</v>
      </c>
      <c r="AO209" s="1">
        <v>4732</v>
      </c>
      <c r="AP209" s="1">
        <v>43725</v>
      </c>
      <c r="AQ209" s="1">
        <v>2.804081138854984</v>
      </c>
    </row>
    <row r="210" spans="1:43" x14ac:dyDescent="0.45">
      <c r="A210" s="1">
        <v>209</v>
      </c>
      <c r="B210" s="1">
        <v>384</v>
      </c>
      <c r="C210" s="1">
        <v>19</v>
      </c>
      <c r="D210" s="1" t="s">
        <v>102</v>
      </c>
      <c r="E210" s="1" t="s">
        <v>103</v>
      </c>
      <c r="F210" s="1" t="s">
        <v>104</v>
      </c>
      <c r="G210" s="1" t="s">
        <v>46</v>
      </c>
      <c r="H210" s="1" t="s">
        <v>47</v>
      </c>
      <c r="I210" s="1">
        <v>806</v>
      </c>
      <c r="J210" s="1">
        <v>27768</v>
      </c>
      <c r="K210" s="1">
        <v>1</v>
      </c>
      <c r="L210" s="1">
        <v>18</v>
      </c>
      <c r="M210" s="1">
        <v>1737</v>
      </c>
      <c r="N210" s="1" t="s">
        <v>48</v>
      </c>
      <c r="O210" s="1">
        <v>185253</v>
      </c>
      <c r="P210" s="1">
        <v>93</v>
      </c>
      <c r="Q210" s="1" t="s">
        <v>111</v>
      </c>
      <c r="R210" s="1" t="s">
        <v>50</v>
      </c>
      <c r="S210" s="1">
        <v>0</v>
      </c>
      <c r="T210" s="1">
        <v>0</v>
      </c>
      <c r="U210" s="1">
        <v>256.815</v>
      </c>
      <c r="V210" s="1">
        <v>24.222999999999999</v>
      </c>
      <c r="W210" s="1">
        <v>0.52</v>
      </c>
      <c r="X210" s="1">
        <v>0.112</v>
      </c>
      <c r="Y210" s="1">
        <v>24.335000000000001</v>
      </c>
      <c r="Z210" s="1">
        <v>0.26</v>
      </c>
      <c r="AA210" s="1">
        <v>3</v>
      </c>
      <c r="AB210" s="1">
        <v>3</v>
      </c>
      <c r="AC210" s="1">
        <v>3</v>
      </c>
      <c r="AD210" s="1">
        <v>0.112</v>
      </c>
      <c r="AE210" s="1">
        <v>0.25900000000000001</v>
      </c>
      <c r="AF210" s="1">
        <v>2.9000000000000001E-2</v>
      </c>
      <c r="AG210" s="1">
        <v>3</v>
      </c>
      <c r="AI210" s="1">
        <v>0</v>
      </c>
      <c r="AJ210" s="1">
        <v>0</v>
      </c>
      <c r="AK210" s="1">
        <v>0</v>
      </c>
      <c r="AL210" s="1">
        <v>1</v>
      </c>
      <c r="AM210" s="1">
        <v>86400</v>
      </c>
      <c r="AN210" s="1">
        <v>80908</v>
      </c>
      <c r="AO210" s="1">
        <v>5492</v>
      </c>
      <c r="AP210" s="1">
        <v>43652</v>
      </c>
      <c r="AQ210" s="1">
        <v>13.49032915473626</v>
      </c>
    </row>
    <row r="211" spans="1:43" x14ac:dyDescent="0.45">
      <c r="A211" s="1">
        <v>210</v>
      </c>
      <c r="B211" s="1">
        <v>425</v>
      </c>
      <c r="C211" s="1">
        <v>24</v>
      </c>
      <c r="D211" s="1" t="s">
        <v>73</v>
      </c>
      <c r="E211" s="1" t="s">
        <v>74</v>
      </c>
      <c r="F211" s="1" t="s">
        <v>75</v>
      </c>
      <c r="G211" s="1" t="s">
        <v>46</v>
      </c>
      <c r="H211" s="1" t="s">
        <v>47</v>
      </c>
      <c r="I211" s="1">
        <v>586</v>
      </c>
      <c r="J211" s="1">
        <v>18129</v>
      </c>
      <c r="K211" s="1">
        <v>1</v>
      </c>
      <c r="L211" s="1">
        <v>23</v>
      </c>
      <c r="M211" s="1">
        <v>1694</v>
      </c>
      <c r="N211" s="1" t="s">
        <v>48</v>
      </c>
      <c r="O211" s="1">
        <v>183748</v>
      </c>
      <c r="P211" s="1">
        <v>93</v>
      </c>
      <c r="Q211" s="1" t="s">
        <v>111</v>
      </c>
      <c r="R211" s="1" t="s">
        <v>50</v>
      </c>
      <c r="S211" s="1">
        <v>0</v>
      </c>
      <c r="T211" s="1">
        <v>0</v>
      </c>
      <c r="U211" s="1">
        <v>288.11500000000001</v>
      </c>
      <c r="V211" s="1">
        <v>27.244</v>
      </c>
      <c r="W211" s="1">
        <v>0.56999999999999995</v>
      </c>
      <c r="X211" s="1">
        <v>0.379</v>
      </c>
      <c r="Y211" s="1">
        <v>27.623000000000001</v>
      </c>
      <c r="Z211" s="1">
        <v>0.23400000000000001</v>
      </c>
      <c r="AA211" s="1">
        <v>-2.4</v>
      </c>
      <c r="AB211" s="1">
        <v>-2.4</v>
      </c>
      <c r="AC211" s="1">
        <v>-2.4</v>
      </c>
      <c r="AD211" s="1">
        <v>0.379</v>
      </c>
      <c r="AE211" s="1">
        <v>0.23300000000000001</v>
      </c>
      <c r="AF211" s="1">
        <v>8.8999999999999996E-2</v>
      </c>
      <c r="AG211" s="1">
        <v>-2.4</v>
      </c>
      <c r="AI211" s="1">
        <v>0</v>
      </c>
      <c r="AJ211" s="1">
        <v>0</v>
      </c>
      <c r="AK211" s="1">
        <v>0</v>
      </c>
      <c r="AL211" s="1">
        <v>1</v>
      </c>
      <c r="AM211" s="1">
        <v>86400</v>
      </c>
      <c r="AN211" s="1">
        <v>81149</v>
      </c>
      <c r="AO211" s="1">
        <v>5251</v>
      </c>
      <c r="AP211" s="1">
        <v>46836</v>
      </c>
      <c r="AQ211" s="1">
        <v>17.13936196617848</v>
      </c>
    </row>
    <row r="212" spans="1:43" x14ac:dyDescent="0.45">
      <c r="A212" s="1">
        <v>211</v>
      </c>
      <c r="B212" s="1">
        <v>425</v>
      </c>
      <c r="C212" s="1">
        <v>24</v>
      </c>
      <c r="D212" s="1" t="s">
        <v>73</v>
      </c>
      <c r="E212" s="1" t="s">
        <v>74</v>
      </c>
      <c r="F212" s="1" t="s">
        <v>75</v>
      </c>
      <c r="G212" s="1" t="s">
        <v>46</v>
      </c>
      <c r="H212" s="1" t="s">
        <v>47</v>
      </c>
      <c r="I212" s="1">
        <v>586</v>
      </c>
      <c r="J212" s="1">
        <v>18129</v>
      </c>
      <c r="K212" s="1">
        <v>1</v>
      </c>
      <c r="L212" s="1">
        <v>23</v>
      </c>
      <c r="M212" s="1">
        <v>1695</v>
      </c>
      <c r="N212" s="1" t="s">
        <v>48</v>
      </c>
      <c r="O212" s="1">
        <v>183760</v>
      </c>
      <c r="P212" s="1">
        <v>93</v>
      </c>
      <c r="Q212" s="1" t="s">
        <v>111</v>
      </c>
      <c r="R212" s="1" t="s">
        <v>50</v>
      </c>
      <c r="S212" s="1">
        <v>0</v>
      </c>
      <c r="T212" s="1">
        <v>0</v>
      </c>
      <c r="U212" s="1">
        <v>463.62599999999998</v>
      </c>
      <c r="V212" s="1">
        <v>27.099</v>
      </c>
      <c r="W212" s="1">
        <v>0.53</v>
      </c>
      <c r="X212" s="1">
        <v>0.16400000000000001</v>
      </c>
      <c r="Y212" s="1">
        <v>27.263999999999999</v>
      </c>
      <c r="Z212" s="1">
        <v>0.155</v>
      </c>
      <c r="AA212" s="1">
        <v>-1.5</v>
      </c>
      <c r="AB212" s="1">
        <v>-1.5</v>
      </c>
      <c r="AC212" s="1">
        <v>-1.5</v>
      </c>
      <c r="AD212" s="1">
        <v>0.16400000000000001</v>
      </c>
      <c r="AE212" s="1">
        <v>0.155</v>
      </c>
      <c r="AF212" s="1">
        <v>2.5000000000000001E-2</v>
      </c>
      <c r="AG212" s="1">
        <v>-1.5</v>
      </c>
      <c r="AI212" s="1">
        <v>0</v>
      </c>
      <c r="AJ212" s="1">
        <v>0</v>
      </c>
      <c r="AK212" s="1">
        <v>0</v>
      </c>
      <c r="AL212" s="1">
        <v>1</v>
      </c>
      <c r="AM212" s="1">
        <v>86400</v>
      </c>
      <c r="AN212" s="1">
        <v>80119</v>
      </c>
      <c r="AO212" s="1">
        <v>6281</v>
      </c>
      <c r="AP212" s="1">
        <v>47029</v>
      </c>
      <c r="AQ212" s="1">
        <v>22.064773613282629</v>
      </c>
    </row>
    <row r="213" spans="1:43" x14ac:dyDescent="0.45">
      <c r="A213" s="1">
        <v>212</v>
      </c>
      <c r="B213" s="1">
        <v>425</v>
      </c>
      <c r="C213" s="1">
        <v>24</v>
      </c>
      <c r="D213" s="1" t="s">
        <v>73</v>
      </c>
      <c r="E213" s="1" t="s">
        <v>74</v>
      </c>
      <c r="F213" s="1" t="s">
        <v>75</v>
      </c>
      <c r="G213" s="1" t="s">
        <v>46</v>
      </c>
      <c r="H213" s="1" t="s">
        <v>47</v>
      </c>
      <c r="I213" s="1">
        <v>586</v>
      </c>
      <c r="J213" s="1">
        <v>18129</v>
      </c>
      <c r="K213" s="1">
        <v>1</v>
      </c>
      <c r="L213" s="1">
        <v>23</v>
      </c>
      <c r="M213" s="1">
        <v>1696</v>
      </c>
      <c r="N213" s="1" t="s">
        <v>48</v>
      </c>
      <c r="O213" s="1">
        <v>183770</v>
      </c>
      <c r="P213" s="1">
        <v>93</v>
      </c>
      <c r="Q213" s="1" t="s">
        <v>111</v>
      </c>
      <c r="R213" s="1" t="s">
        <v>50</v>
      </c>
      <c r="S213" s="1">
        <v>0</v>
      </c>
      <c r="T213" s="1">
        <v>0</v>
      </c>
      <c r="U213" s="1">
        <v>134.53299999999999</v>
      </c>
      <c r="V213" s="1">
        <v>25.527000000000001</v>
      </c>
      <c r="W213" s="1">
        <v>1.3</v>
      </c>
      <c r="X213" s="1">
        <v>1.76</v>
      </c>
      <c r="Y213" s="1">
        <v>27.286999999999999</v>
      </c>
      <c r="Z213" s="1">
        <v>0.17100000000000001</v>
      </c>
      <c r="AA213" s="1">
        <v>2.7</v>
      </c>
      <c r="AB213" s="1">
        <v>2.7</v>
      </c>
      <c r="AC213" s="1">
        <v>2.7</v>
      </c>
      <c r="AD213" s="1">
        <v>1.76</v>
      </c>
      <c r="AE213" s="1">
        <v>0.17100000000000001</v>
      </c>
      <c r="AF213" s="1">
        <v>0.30199999999999999</v>
      </c>
      <c r="AG213" s="1">
        <v>2.7</v>
      </c>
      <c r="AI213" s="1">
        <v>0</v>
      </c>
      <c r="AJ213" s="1">
        <v>0</v>
      </c>
      <c r="AK213" s="1">
        <v>0</v>
      </c>
      <c r="AL213" s="1">
        <v>1</v>
      </c>
      <c r="AM213" s="1">
        <v>86400</v>
      </c>
      <c r="AN213" s="1">
        <v>80689</v>
      </c>
      <c r="AO213" s="1">
        <v>5711</v>
      </c>
      <c r="AP213" s="1">
        <v>43385</v>
      </c>
      <c r="AQ213" s="1">
        <v>15.60055264735368</v>
      </c>
    </row>
    <row r="214" spans="1:43" x14ac:dyDescent="0.45">
      <c r="A214" s="1">
        <v>213</v>
      </c>
      <c r="B214" s="1">
        <v>425</v>
      </c>
      <c r="C214" s="1">
        <v>24</v>
      </c>
      <c r="D214" s="1" t="s">
        <v>73</v>
      </c>
      <c r="E214" s="1" t="s">
        <v>74</v>
      </c>
      <c r="F214" s="1" t="s">
        <v>75</v>
      </c>
      <c r="G214" s="1" t="s">
        <v>46</v>
      </c>
      <c r="H214" s="1" t="s">
        <v>47</v>
      </c>
      <c r="I214" s="1">
        <v>586</v>
      </c>
      <c r="J214" s="1">
        <v>18129</v>
      </c>
      <c r="K214" s="1">
        <v>1</v>
      </c>
      <c r="L214" s="1">
        <v>23</v>
      </c>
      <c r="M214" s="1">
        <v>1697</v>
      </c>
      <c r="N214" s="1" t="s">
        <v>48</v>
      </c>
      <c r="O214" s="1">
        <v>183771</v>
      </c>
      <c r="P214" s="1">
        <v>93</v>
      </c>
      <c r="Q214" s="1" t="s">
        <v>111</v>
      </c>
      <c r="R214" s="1" t="s">
        <v>50</v>
      </c>
      <c r="S214" s="1">
        <v>0</v>
      </c>
      <c r="T214" s="1">
        <v>0</v>
      </c>
      <c r="U214" s="1">
        <v>106.956</v>
      </c>
      <c r="V214" s="1">
        <v>27.111999999999998</v>
      </c>
      <c r="W214" s="1">
        <v>0.53</v>
      </c>
      <c r="X214" s="1">
        <v>0.17599999999999999</v>
      </c>
      <c r="Y214" s="1">
        <v>27.288</v>
      </c>
      <c r="Z214" s="1">
        <v>0.252</v>
      </c>
      <c r="AA214" s="1">
        <v>-1.1000000000000001</v>
      </c>
      <c r="AB214" s="1">
        <v>-1.1000000000000001</v>
      </c>
      <c r="AC214" s="1">
        <v>-1.1000000000000001</v>
      </c>
      <c r="AD214" s="1">
        <v>0.17599999999999999</v>
      </c>
      <c r="AE214" s="1">
        <v>0.251</v>
      </c>
      <c r="AF214" s="1">
        <v>4.3999999999999997E-2</v>
      </c>
      <c r="AG214" s="1">
        <v>-1.1000000000000001</v>
      </c>
      <c r="AI214" s="1">
        <v>0</v>
      </c>
      <c r="AJ214" s="1">
        <v>0</v>
      </c>
      <c r="AK214" s="1">
        <v>0</v>
      </c>
      <c r="AL214" s="1">
        <v>1</v>
      </c>
      <c r="AM214" s="1">
        <v>86400</v>
      </c>
      <c r="AN214" s="1">
        <v>80523</v>
      </c>
      <c r="AO214" s="1">
        <v>5877</v>
      </c>
      <c r="AP214" s="1">
        <v>46848</v>
      </c>
      <c r="AQ214" s="1">
        <v>5.9693195119678606</v>
      </c>
    </row>
    <row r="215" spans="1:43" x14ac:dyDescent="0.45">
      <c r="A215" s="1">
        <v>214</v>
      </c>
      <c r="B215" s="1">
        <v>431</v>
      </c>
      <c r="C215" s="1">
        <v>91</v>
      </c>
      <c r="D215" s="1" t="s">
        <v>79</v>
      </c>
      <c r="E215" s="1" t="s">
        <v>80</v>
      </c>
      <c r="F215" s="1" t="s">
        <v>81</v>
      </c>
      <c r="G215" s="1" t="s">
        <v>54</v>
      </c>
      <c r="H215" s="1" t="s">
        <v>47</v>
      </c>
      <c r="I215" s="1">
        <v>764</v>
      </c>
      <c r="J215" s="1">
        <v>21102</v>
      </c>
      <c r="K215" s="1">
        <v>1</v>
      </c>
      <c r="L215" s="1">
        <v>90</v>
      </c>
      <c r="M215" s="1">
        <v>1706</v>
      </c>
      <c r="N215" s="1" t="s">
        <v>48</v>
      </c>
      <c r="O215" s="1">
        <v>184863</v>
      </c>
      <c r="P215" s="1">
        <v>93</v>
      </c>
      <c r="Q215" s="1" t="s">
        <v>111</v>
      </c>
      <c r="R215" s="1" t="s">
        <v>50</v>
      </c>
      <c r="S215" s="1">
        <v>0</v>
      </c>
      <c r="T215" s="1">
        <v>0</v>
      </c>
      <c r="U215" s="1">
        <v>325.68799999999999</v>
      </c>
      <c r="V215" s="1">
        <v>24.777999999999999</v>
      </c>
      <c r="W215" s="1">
        <v>0.53</v>
      </c>
      <c r="X215" s="1">
        <v>0.17100000000000001</v>
      </c>
      <c r="Y215" s="1">
        <v>24.95</v>
      </c>
      <c r="Z215" s="1">
        <v>0.12</v>
      </c>
      <c r="AA215" s="1">
        <v>1.7</v>
      </c>
      <c r="AB215" s="1">
        <v>1.7</v>
      </c>
      <c r="AC215" s="1">
        <v>1.7</v>
      </c>
      <c r="AD215" s="1">
        <v>0.17100000000000001</v>
      </c>
      <c r="AE215" s="1">
        <v>0.12</v>
      </c>
      <c r="AF215" s="1">
        <v>2.1000000000000001E-2</v>
      </c>
      <c r="AG215" s="1">
        <v>1.7</v>
      </c>
      <c r="AI215" s="1">
        <v>0</v>
      </c>
      <c r="AJ215" s="1">
        <v>0</v>
      </c>
      <c r="AK215" s="1">
        <v>0</v>
      </c>
      <c r="AL215" s="1">
        <v>1</v>
      </c>
      <c r="AM215" s="1">
        <v>86400</v>
      </c>
      <c r="AN215" s="1">
        <v>81395</v>
      </c>
      <c r="AO215" s="1">
        <v>5005</v>
      </c>
      <c r="AP215" s="1">
        <v>43574</v>
      </c>
      <c r="AQ215" s="1">
        <v>1.7066617168632481</v>
      </c>
    </row>
    <row r="216" spans="1:43" x14ac:dyDescent="0.45">
      <c r="A216" s="1">
        <v>215</v>
      </c>
      <c r="B216" s="1">
        <v>439</v>
      </c>
      <c r="C216" s="1">
        <v>94</v>
      </c>
      <c r="D216" s="1" t="s">
        <v>82</v>
      </c>
      <c r="E216" s="1" t="s">
        <v>83</v>
      </c>
      <c r="F216" s="1" t="s">
        <v>84</v>
      </c>
      <c r="G216" s="1" t="s">
        <v>46</v>
      </c>
      <c r="H216" s="1" t="s">
        <v>47</v>
      </c>
      <c r="I216" s="1">
        <v>490</v>
      </c>
      <c r="J216" s="1">
        <v>12595</v>
      </c>
      <c r="K216" s="1">
        <v>1</v>
      </c>
      <c r="L216" s="1">
        <v>93</v>
      </c>
      <c r="M216" s="1">
        <v>1715</v>
      </c>
      <c r="N216" s="1" t="s">
        <v>48</v>
      </c>
      <c r="O216" s="1">
        <v>184940</v>
      </c>
      <c r="P216" s="1">
        <v>93</v>
      </c>
      <c r="Q216" s="1" t="s">
        <v>111</v>
      </c>
      <c r="R216" s="1" t="s">
        <v>50</v>
      </c>
      <c r="S216" s="1">
        <v>0</v>
      </c>
      <c r="T216" s="1">
        <v>0</v>
      </c>
      <c r="U216" s="1">
        <v>261.22399999999999</v>
      </c>
      <c r="V216" s="1">
        <v>23.815999999999999</v>
      </c>
      <c r="W216" s="1">
        <v>0.59</v>
      </c>
      <c r="X216" s="1">
        <v>0.48099999999999998</v>
      </c>
      <c r="Y216" s="1">
        <v>24.297000000000001</v>
      </c>
      <c r="Z216" s="1">
        <v>0.45300000000000001</v>
      </c>
      <c r="AA216" s="1">
        <v>-1.9</v>
      </c>
      <c r="AB216" s="1">
        <v>-1.9</v>
      </c>
      <c r="AC216" s="1">
        <v>-1.9</v>
      </c>
      <c r="AD216" s="1">
        <v>0.48099999999999998</v>
      </c>
      <c r="AE216" s="1">
        <v>0.45300000000000001</v>
      </c>
      <c r="AF216" s="1">
        <v>0.218</v>
      </c>
      <c r="AG216" s="1">
        <v>-1.9</v>
      </c>
      <c r="AI216" s="1">
        <v>0</v>
      </c>
      <c r="AJ216" s="1">
        <v>0</v>
      </c>
      <c r="AK216" s="1">
        <v>0</v>
      </c>
      <c r="AL216" s="1">
        <v>1</v>
      </c>
      <c r="AM216" s="1">
        <v>86400</v>
      </c>
      <c r="AN216" s="1">
        <v>81706</v>
      </c>
      <c r="AO216" s="1">
        <v>4694</v>
      </c>
      <c r="AP216" s="1">
        <v>47268</v>
      </c>
      <c r="AQ216" s="1">
        <v>42.510154089918373</v>
      </c>
    </row>
    <row r="217" spans="1:43" x14ac:dyDescent="0.45">
      <c r="A217" s="1">
        <v>216</v>
      </c>
      <c r="B217" s="1">
        <v>439</v>
      </c>
      <c r="C217" s="1">
        <v>94</v>
      </c>
      <c r="D217" s="1" t="s">
        <v>82</v>
      </c>
      <c r="E217" s="1" t="s">
        <v>83</v>
      </c>
      <c r="F217" s="1" t="s">
        <v>84</v>
      </c>
      <c r="G217" s="1" t="s">
        <v>46</v>
      </c>
      <c r="H217" s="1" t="s">
        <v>47</v>
      </c>
      <c r="I217" s="1">
        <v>490</v>
      </c>
      <c r="J217" s="1">
        <v>12595</v>
      </c>
      <c r="K217" s="1">
        <v>1</v>
      </c>
      <c r="L217" s="1">
        <v>93</v>
      </c>
      <c r="M217" s="1">
        <v>1717</v>
      </c>
      <c r="N217" s="1" t="s">
        <v>48</v>
      </c>
      <c r="O217" s="1">
        <v>185010</v>
      </c>
      <c r="P217" s="1">
        <v>93</v>
      </c>
      <c r="Q217" s="1" t="s">
        <v>111</v>
      </c>
      <c r="R217" s="1" t="s">
        <v>50</v>
      </c>
      <c r="S217" s="1">
        <v>0</v>
      </c>
      <c r="T217" s="1">
        <v>0</v>
      </c>
      <c r="U217" s="1">
        <v>53.661000000000001</v>
      </c>
      <c r="V217" s="1">
        <v>23.934999999999999</v>
      </c>
      <c r="W217" s="1">
        <v>0.55000000000000004</v>
      </c>
      <c r="X217" s="1">
        <v>0.154</v>
      </c>
      <c r="Y217" s="1">
        <v>24.088999999999999</v>
      </c>
      <c r="Z217" s="1">
        <v>1.52</v>
      </c>
      <c r="AA217" s="1">
        <v>-2.9</v>
      </c>
      <c r="AB217" s="1">
        <v>-2.9</v>
      </c>
      <c r="AC217" s="1">
        <v>-2.9</v>
      </c>
      <c r="AD217" s="1">
        <v>0.154</v>
      </c>
      <c r="AE217" s="1">
        <v>1.516</v>
      </c>
      <c r="AF217" s="1">
        <v>0.23300000000000001</v>
      </c>
      <c r="AG217" s="1">
        <v>-2.9</v>
      </c>
      <c r="AI217" s="1">
        <v>0</v>
      </c>
      <c r="AJ217" s="1">
        <v>0</v>
      </c>
      <c r="AK217" s="1">
        <v>0</v>
      </c>
      <c r="AL217" s="1">
        <v>1</v>
      </c>
      <c r="AM217" s="1">
        <v>86400</v>
      </c>
      <c r="AN217" s="1">
        <v>80309</v>
      </c>
      <c r="AO217" s="1">
        <v>6091</v>
      </c>
      <c r="AP217" s="1">
        <v>46988</v>
      </c>
      <c r="AQ217" s="1">
        <v>12.012680811710871</v>
      </c>
    </row>
    <row r="218" spans="1:43" x14ac:dyDescent="0.45">
      <c r="A218" s="1">
        <v>217</v>
      </c>
      <c r="B218" s="1">
        <v>439</v>
      </c>
      <c r="C218" s="1">
        <v>94</v>
      </c>
      <c r="D218" s="1" t="s">
        <v>82</v>
      </c>
      <c r="E218" s="1" t="s">
        <v>83</v>
      </c>
      <c r="F218" s="1" t="s">
        <v>84</v>
      </c>
      <c r="G218" s="1" t="s">
        <v>46</v>
      </c>
      <c r="H218" s="1" t="s">
        <v>47</v>
      </c>
      <c r="I218" s="1">
        <v>490</v>
      </c>
      <c r="J218" s="1">
        <v>12595</v>
      </c>
      <c r="K218" s="1">
        <v>1</v>
      </c>
      <c r="L218" s="1">
        <v>93</v>
      </c>
      <c r="M218" s="1">
        <v>1718</v>
      </c>
      <c r="N218" s="1" t="s">
        <v>48</v>
      </c>
      <c r="O218" s="1">
        <v>185014</v>
      </c>
      <c r="P218" s="1">
        <v>93</v>
      </c>
      <c r="Q218" s="1" t="s">
        <v>111</v>
      </c>
      <c r="R218" s="1" t="s">
        <v>50</v>
      </c>
      <c r="S218" s="1">
        <v>0</v>
      </c>
      <c r="T218" s="1">
        <v>0</v>
      </c>
      <c r="U218" s="1">
        <v>475.46899999999999</v>
      </c>
      <c r="V218" s="1">
        <v>23.841000000000001</v>
      </c>
      <c r="W218" s="1">
        <v>0.55000000000000004</v>
      </c>
      <c r="X218" s="1">
        <v>0.22600000000000001</v>
      </c>
      <c r="Y218" s="1">
        <v>24.067</v>
      </c>
      <c r="Z218" s="1">
        <v>0.51600000000000001</v>
      </c>
      <c r="AA218" s="1">
        <v>-2.8</v>
      </c>
      <c r="AB218" s="1">
        <v>-2.8</v>
      </c>
      <c r="AC218" s="1">
        <v>-2.8</v>
      </c>
      <c r="AD218" s="1">
        <v>0.22600000000000001</v>
      </c>
      <c r="AE218" s="1">
        <v>0.51300000000000001</v>
      </c>
      <c r="AF218" s="1">
        <v>0.11600000000000001</v>
      </c>
      <c r="AG218" s="1">
        <v>-2.8</v>
      </c>
      <c r="AI218" s="1">
        <v>0</v>
      </c>
      <c r="AJ218" s="1">
        <v>0</v>
      </c>
      <c r="AK218" s="1">
        <v>0</v>
      </c>
      <c r="AL218" s="1">
        <v>1</v>
      </c>
      <c r="AM218" s="1">
        <v>86400</v>
      </c>
      <c r="AN218" s="1">
        <v>80401</v>
      </c>
      <c r="AO218" s="1">
        <v>5999</v>
      </c>
      <c r="AP218" s="1">
        <v>47042</v>
      </c>
      <c r="AQ218" s="1">
        <v>45.30645802650001</v>
      </c>
    </row>
    <row r="219" spans="1:43" x14ac:dyDescent="0.45">
      <c r="A219" s="1">
        <v>218</v>
      </c>
      <c r="B219" s="1">
        <v>439</v>
      </c>
      <c r="C219" s="1">
        <v>94</v>
      </c>
      <c r="D219" s="1" t="s">
        <v>82</v>
      </c>
      <c r="E219" s="1" t="s">
        <v>83</v>
      </c>
      <c r="F219" s="1" t="s">
        <v>84</v>
      </c>
      <c r="G219" s="1" t="s">
        <v>46</v>
      </c>
      <c r="H219" s="1" t="s">
        <v>47</v>
      </c>
      <c r="I219" s="1">
        <v>490</v>
      </c>
      <c r="J219" s="1">
        <v>12595</v>
      </c>
      <c r="K219" s="1">
        <v>1</v>
      </c>
      <c r="L219" s="1">
        <v>93</v>
      </c>
      <c r="M219" s="1">
        <v>1720</v>
      </c>
      <c r="N219" s="1" t="s">
        <v>48</v>
      </c>
      <c r="O219" s="1">
        <v>185061</v>
      </c>
      <c r="P219" s="1">
        <v>93</v>
      </c>
      <c r="Q219" s="1" t="s">
        <v>111</v>
      </c>
      <c r="R219" s="1" t="s">
        <v>50</v>
      </c>
      <c r="S219" s="1">
        <v>0</v>
      </c>
      <c r="T219" s="1">
        <v>0</v>
      </c>
      <c r="U219" s="1">
        <v>504.226</v>
      </c>
      <c r="V219" s="1">
        <v>23.829000000000001</v>
      </c>
      <c r="W219" s="1">
        <v>0.55000000000000004</v>
      </c>
      <c r="X219" s="1">
        <v>0.23699999999999999</v>
      </c>
      <c r="Y219" s="1">
        <v>24.065999999999999</v>
      </c>
      <c r="Z219" s="1">
        <v>0.47699999999999998</v>
      </c>
      <c r="AA219" s="1">
        <v>-3</v>
      </c>
      <c r="AB219" s="1">
        <v>-3</v>
      </c>
      <c r="AC219" s="1">
        <v>-3</v>
      </c>
      <c r="AD219" s="1">
        <v>0.23699999999999999</v>
      </c>
      <c r="AE219" s="1">
        <v>0.47599999999999998</v>
      </c>
      <c r="AF219" s="1">
        <v>0.113</v>
      </c>
      <c r="AG219" s="1">
        <v>-3</v>
      </c>
      <c r="AI219" s="1">
        <v>0</v>
      </c>
      <c r="AJ219" s="1">
        <v>0</v>
      </c>
      <c r="AK219" s="1">
        <v>0</v>
      </c>
      <c r="AL219" s="1">
        <v>1</v>
      </c>
      <c r="AM219" s="1">
        <v>86400</v>
      </c>
      <c r="AN219" s="1">
        <v>80679</v>
      </c>
      <c r="AO219" s="1">
        <v>5721</v>
      </c>
      <c r="AP219" s="1">
        <v>46933</v>
      </c>
      <c r="AQ219" s="1">
        <v>0.85267399366333962</v>
      </c>
    </row>
    <row r="220" spans="1:43" x14ac:dyDescent="0.45">
      <c r="A220" s="1">
        <v>219</v>
      </c>
      <c r="B220" s="1">
        <v>439</v>
      </c>
      <c r="C220" s="1">
        <v>94</v>
      </c>
      <c r="D220" s="1" t="s">
        <v>82</v>
      </c>
      <c r="E220" s="1" t="s">
        <v>83</v>
      </c>
      <c r="F220" s="1" t="s">
        <v>84</v>
      </c>
      <c r="G220" s="1" t="s">
        <v>46</v>
      </c>
      <c r="H220" s="1" t="s">
        <v>47</v>
      </c>
      <c r="I220" s="1">
        <v>490</v>
      </c>
      <c r="J220" s="1">
        <v>12595</v>
      </c>
      <c r="K220" s="1">
        <v>1</v>
      </c>
      <c r="L220" s="1">
        <v>93</v>
      </c>
      <c r="M220" s="1">
        <v>1721</v>
      </c>
      <c r="N220" s="1" t="s">
        <v>48</v>
      </c>
      <c r="O220" s="1">
        <v>185062</v>
      </c>
      <c r="P220" s="1">
        <v>93</v>
      </c>
      <c r="Q220" s="1" t="s">
        <v>111</v>
      </c>
      <c r="R220" s="1" t="s">
        <v>50</v>
      </c>
      <c r="S220" s="1">
        <v>0</v>
      </c>
      <c r="T220" s="1">
        <v>0</v>
      </c>
      <c r="U220" s="1">
        <v>817.89</v>
      </c>
      <c r="V220" s="1">
        <v>23.803000000000001</v>
      </c>
      <c r="W220" s="1">
        <v>0.55000000000000004</v>
      </c>
      <c r="X220" s="1">
        <v>0.26300000000000001</v>
      </c>
      <c r="Y220" s="1">
        <v>24.065999999999999</v>
      </c>
      <c r="Z220" s="1">
        <v>0.51500000000000001</v>
      </c>
      <c r="AA220" s="1">
        <v>-3</v>
      </c>
      <c r="AB220" s="1">
        <v>-3</v>
      </c>
      <c r="AC220" s="1">
        <v>-3</v>
      </c>
      <c r="AD220" s="1">
        <v>0.26300000000000001</v>
      </c>
      <c r="AE220" s="1">
        <v>0.51400000000000001</v>
      </c>
      <c r="AF220" s="1">
        <v>0.13500000000000001</v>
      </c>
      <c r="AG220" s="1">
        <v>-3</v>
      </c>
      <c r="AI220" s="1">
        <v>0</v>
      </c>
      <c r="AJ220" s="1">
        <v>0</v>
      </c>
      <c r="AK220" s="1">
        <v>0</v>
      </c>
      <c r="AL220" s="1">
        <v>1</v>
      </c>
      <c r="AM220" s="1">
        <v>86400</v>
      </c>
      <c r="AN220" s="1">
        <v>81470</v>
      </c>
      <c r="AO220" s="1">
        <v>4930</v>
      </c>
      <c r="AP220" s="1">
        <v>46942</v>
      </c>
      <c r="AQ220" s="1">
        <v>1.100552351128296</v>
      </c>
    </row>
    <row r="221" spans="1:43" x14ac:dyDescent="0.45">
      <c r="A221" s="1">
        <v>220</v>
      </c>
      <c r="B221" s="1">
        <v>439</v>
      </c>
      <c r="C221" s="1">
        <v>94</v>
      </c>
      <c r="D221" s="1" t="s">
        <v>82</v>
      </c>
      <c r="E221" s="1" t="s">
        <v>83</v>
      </c>
      <c r="F221" s="1" t="s">
        <v>84</v>
      </c>
      <c r="G221" s="1" t="s">
        <v>46</v>
      </c>
      <c r="H221" s="1" t="s">
        <v>47</v>
      </c>
      <c r="I221" s="1">
        <v>490</v>
      </c>
      <c r="J221" s="1">
        <v>12595</v>
      </c>
      <c r="K221" s="1">
        <v>1</v>
      </c>
      <c r="L221" s="1">
        <v>93</v>
      </c>
      <c r="M221" s="1">
        <v>1722</v>
      </c>
      <c r="N221" s="1" t="s">
        <v>48</v>
      </c>
      <c r="O221" s="1">
        <v>185063</v>
      </c>
      <c r="P221" s="1">
        <v>93</v>
      </c>
      <c r="Q221" s="1" t="s">
        <v>111</v>
      </c>
      <c r="R221" s="1" t="s">
        <v>50</v>
      </c>
      <c r="S221" s="1">
        <v>0</v>
      </c>
      <c r="T221" s="1">
        <v>0</v>
      </c>
      <c r="U221" s="1">
        <v>330.41199999999998</v>
      </c>
      <c r="V221" s="1">
        <v>23.858000000000001</v>
      </c>
      <c r="W221" s="1">
        <v>0.54</v>
      </c>
      <c r="X221" s="1">
        <v>0.21199999999999999</v>
      </c>
      <c r="Y221" s="1">
        <v>24.068999999999999</v>
      </c>
      <c r="Z221" s="1">
        <v>0.63400000000000001</v>
      </c>
      <c r="AA221" s="1">
        <v>-3</v>
      </c>
      <c r="AB221" s="1">
        <v>-3</v>
      </c>
      <c r="AC221" s="1">
        <v>-3</v>
      </c>
      <c r="AD221" s="1">
        <v>0.21199999999999999</v>
      </c>
      <c r="AE221" s="1">
        <v>0.63300000000000001</v>
      </c>
      <c r="AF221" s="1">
        <v>0.13400000000000001</v>
      </c>
      <c r="AG221" s="1">
        <v>-3</v>
      </c>
      <c r="AI221" s="1">
        <v>0</v>
      </c>
      <c r="AJ221" s="1">
        <v>0</v>
      </c>
      <c r="AK221" s="1">
        <v>0</v>
      </c>
      <c r="AL221" s="1">
        <v>1</v>
      </c>
      <c r="AM221" s="1">
        <v>86400</v>
      </c>
      <c r="AN221" s="1">
        <v>79994</v>
      </c>
      <c r="AO221" s="1">
        <v>6406</v>
      </c>
      <c r="AP221" s="1">
        <v>46899</v>
      </c>
      <c r="AQ221" s="1">
        <v>25.41992129785066</v>
      </c>
    </row>
    <row r="222" spans="1:43" x14ac:dyDescent="0.45">
      <c r="A222" s="1">
        <v>221</v>
      </c>
      <c r="B222" s="1">
        <v>439</v>
      </c>
      <c r="C222" s="1">
        <v>94</v>
      </c>
      <c r="D222" s="1" t="s">
        <v>82</v>
      </c>
      <c r="E222" s="1" t="s">
        <v>83</v>
      </c>
      <c r="F222" s="1" t="s">
        <v>84</v>
      </c>
      <c r="G222" s="1" t="s">
        <v>46</v>
      </c>
      <c r="H222" s="1" t="s">
        <v>47</v>
      </c>
      <c r="I222" s="1">
        <v>490</v>
      </c>
      <c r="J222" s="1">
        <v>12595</v>
      </c>
      <c r="K222" s="1">
        <v>1</v>
      </c>
      <c r="L222" s="1">
        <v>93</v>
      </c>
      <c r="M222" s="1">
        <v>1723</v>
      </c>
      <c r="N222" s="1" t="s">
        <v>48</v>
      </c>
      <c r="O222" s="1">
        <v>185064</v>
      </c>
      <c r="P222" s="1">
        <v>93</v>
      </c>
      <c r="Q222" s="1" t="s">
        <v>111</v>
      </c>
      <c r="R222" s="1" t="s">
        <v>50</v>
      </c>
      <c r="S222" s="1">
        <v>0</v>
      </c>
      <c r="T222" s="1">
        <v>0</v>
      </c>
      <c r="U222" s="1">
        <v>177.54</v>
      </c>
      <c r="V222" s="1">
        <v>23.756</v>
      </c>
      <c r="W222" s="1">
        <v>0.56999999999999995</v>
      </c>
      <c r="X222" s="1">
        <v>0.3</v>
      </c>
      <c r="Y222" s="1">
        <v>24.056000000000001</v>
      </c>
      <c r="Z222" s="1">
        <v>0.90900000000000003</v>
      </c>
      <c r="AA222" s="1">
        <v>-3</v>
      </c>
      <c r="AB222" s="1">
        <v>-3</v>
      </c>
      <c r="AC222" s="1">
        <v>-3</v>
      </c>
      <c r="AD222" s="1">
        <v>0.3</v>
      </c>
      <c r="AE222" s="1">
        <v>0.90800000000000003</v>
      </c>
      <c r="AF222" s="1">
        <v>0.27200000000000002</v>
      </c>
      <c r="AG222" s="1">
        <v>-3</v>
      </c>
      <c r="AI222" s="1">
        <v>0</v>
      </c>
      <c r="AJ222" s="1">
        <v>0</v>
      </c>
      <c r="AK222" s="1">
        <v>0</v>
      </c>
      <c r="AL222" s="1">
        <v>1</v>
      </c>
      <c r="AM222" s="1">
        <v>86400</v>
      </c>
      <c r="AN222" s="1">
        <v>81546</v>
      </c>
      <c r="AO222" s="1">
        <v>4854</v>
      </c>
      <c r="AP222" s="1">
        <v>46893</v>
      </c>
      <c r="AQ222" s="1">
        <v>1.259733542848309</v>
      </c>
    </row>
    <row r="223" spans="1:43" x14ac:dyDescent="0.45">
      <c r="A223" s="1">
        <v>222</v>
      </c>
      <c r="B223" s="1">
        <v>439</v>
      </c>
      <c r="C223" s="1">
        <v>94</v>
      </c>
      <c r="D223" s="1" t="s">
        <v>82</v>
      </c>
      <c r="E223" s="1" t="s">
        <v>83</v>
      </c>
      <c r="F223" s="1" t="s">
        <v>84</v>
      </c>
      <c r="G223" s="1" t="s">
        <v>46</v>
      </c>
      <c r="H223" s="1" t="s">
        <v>47</v>
      </c>
      <c r="I223" s="1">
        <v>490</v>
      </c>
      <c r="J223" s="1">
        <v>12595</v>
      </c>
      <c r="K223" s="1">
        <v>1</v>
      </c>
      <c r="L223" s="1">
        <v>93</v>
      </c>
      <c r="M223" s="1">
        <v>1724</v>
      </c>
      <c r="N223" s="1" t="s">
        <v>48</v>
      </c>
      <c r="O223" s="1">
        <v>185065</v>
      </c>
      <c r="P223" s="1">
        <v>93</v>
      </c>
      <c r="Q223" s="1" t="s">
        <v>111</v>
      </c>
      <c r="R223" s="1" t="s">
        <v>50</v>
      </c>
      <c r="S223" s="1">
        <v>0</v>
      </c>
      <c r="T223" s="1">
        <v>0</v>
      </c>
      <c r="U223" s="1">
        <v>55.773000000000003</v>
      </c>
      <c r="V223" s="1">
        <v>23.952999999999999</v>
      </c>
      <c r="W223" s="1">
        <v>0.54</v>
      </c>
      <c r="X223" s="1">
        <v>0.122</v>
      </c>
      <c r="Y223" s="1">
        <v>24.074999999999999</v>
      </c>
      <c r="Z223" s="1">
        <v>2.0510000000000002</v>
      </c>
      <c r="AA223" s="1">
        <v>-3</v>
      </c>
      <c r="AB223" s="1">
        <v>-3</v>
      </c>
      <c r="AC223" s="1">
        <v>-3</v>
      </c>
      <c r="AD223" s="1">
        <v>0.122</v>
      </c>
      <c r="AE223" s="1">
        <v>2.0489999999999999</v>
      </c>
      <c r="AF223" s="1">
        <v>0.25</v>
      </c>
      <c r="AG223" s="1">
        <v>-3</v>
      </c>
      <c r="AI223" s="1">
        <v>0</v>
      </c>
      <c r="AJ223" s="1">
        <v>0</v>
      </c>
      <c r="AK223" s="1">
        <v>0</v>
      </c>
      <c r="AL223" s="1">
        <v>1</v>
      </c>
      <c r="AM223" s="1">
        <v>65447</v>
      </c>
      <c r="AN223" s="1">
        <v>36600</v>
      </c>
      <c r="AO223" s="1">
        <v>28846</v>
      </c>
      <c r="AP223" s="1">
        <v>46877</v>
      </c>
      <c r="AQ223" s="1">
        <v>0.66646226650313478</v>
      </c>
    </row>
    <row r="224" spans="1:43" x14ac:dyDescent="0.45">
      <c r="A224" s="1">
        <v>223</v>
      </c>
      <c r="B224" s="1">
        <v>439</v>
      </c>
      <c r="C224" s="1">
        <v>94</v>
      </c>
      <c r="D224" s="1" t="s">
        <v>82</v>
      </c>
      <c r="E224" s="1" t="s">
        <v>83</v>
      </c>
      <c r="F224" s="1" t="s">
        <v>84</v>
      </c>
      <c r="G224" s="1" t="s">
        <v>46</v>
      </c>
      <c r="H224" s="1" t="s">
        <v>47</v>
      </c>
      <c r="I224" s="1">
        <v>490</v>
      </c>
      <c r="J224" s="1">
        <v>12595</v>
      </c>
      <c r="K224" s="1">
        <v>1</v>
      </c>
      <c r="L224" s="1">
        <v>93</v>
      </c>
      <c r="M224" s="1">
        <v>1726</v>
      </c>
      <c r="N224" s="1" t="s">
        <v>48</v>
      </c>
      <c r="O224" s="1">
        <v>185078</v>
      </c>
      <c r="P224" s="1">
        <v>93</v>
      </c>
      <c r="Q224" s="1" t="s">
        <v>111</v>
      </c>
      <c r="R224" s="1" t="s">
        <v>50</v>
      </c>
      <c r="S224" s="1">
        <v>0</v>
      </c>
      <c r="T224" s="1">
        <v>0</v>
      </c>
      <c r="U224" s="1">
        <v>88.46</v>
      </c>
      <c r="V224" s="1">
        <v>24.093</v>
      </c>
      <c r="W224" s="1">
        <v>0.55000000000000004</v>
      </c>
      <c r="X224" s="1">
        <v>0.20499999999999999</v>
      </c>
      <c r="Y224" s="1">
        <v>24.297000000000001</v>
      </c>
      <c r="Z224" s="1">
        <v>1.0489999999999999</v>
      </c>
      <c r="AA224" s="1">
        <v>3.1</v>
      </c>
      <c r="AB224" s="1">
        <v>-3.1</v>
      </c>
      <c r="AC224" s="1">
        <v>-3.1</v>
      </c>
      <c r="AD224" s="1">
        <v>0.20499999999999999</v>
      </c>
      <c r="AE224" s="1">
        <v>1.0409999999999999</v>
      </c>
      <c r="AF224" s="1">
        <v>0.21299999999999999</v>
      </c>
      <c r="AG224" s="1">
        <v>3.1</v>
      </c>
      <c r="AI224" s="1">
        <v>0</v>
      </c>
      <c r="AJ224" s="1">
        <v>0</v>
      </c>
      <c r="AK224" s="1">
        <v>0</v>
      </c>
      <c r="AL224" s="1">
        <v>1</v>
      </c>
      <c r="AM224" s="1">
        <v>83122</v>
      </c>
      <c r="AN224" s="1">
        <v>68911</v>
      </c>
      <c r="AO224" s="1">
        <v>12538</v>
      </c>
      <c r="AP224" s="1">
        <v>46998</v>
      </c>
      <c r="AQ224" s="1">
        <v>13.972522456240981</v>
      </c>
    </row>
    <row r="225" spans="1:43" x14ac:dyDescent="0.45">
      <c r="A225" s="1">
        <v>224</v>
      </c>
      <c r="B225" s="1">
        <v>439</v>
      </c>
      <c r="C225" s="1">
        <v>94</v>
      </c>
      <c r="D225" s="1" t="s">
        <v>82</v>
      </c>
      <c r="E225" s="1" t="s">
        <v>83</v>
      </c>
      <c r="F225" s="1" t="s">
        <v>84</v>
      </c>
      <c r="G225" s="1" t="s">
        <v>46</v>
      </c>
      <c r="H225" s="1" t="s">
        <v>47</v>
      </c>
      <c r="I225" s="1">
        <v>490</v>
      </c>
      <c r="J225" s="1">
        <v>12595</v>
      </c>
      <c r="K225" s="1">
        <v>1</v>
      </c>
      <c r="L225" s="1">
        <v>93</v>
      </c>
      <c r="M225" s="1">
        <v>1727</v>
      </c>
      <c r="N225" s="1" t="s">
        <v>48</v>
      </c>
      <c r="O225" s="1">
        <v>185079</v>
      </c>
      <c r="P225" s="1">
        <v>93</v>
      </c>
      <c r="Q225" s="1" t="s">
        <v>111</v>
      </c>
      <c r="R225" s="1" t="s">
        <v>50</v>
      </c>
      <c r="S225" s="1">
        <v>0</v>
      </c>
      <c r="T225" s="1">
        <v>0</v>
      </c>
      <c r="U225" s="1">
        <v>54.067</v>
      </c>
      <c r="V225" s="1">
        <v>24.100999999999999</v>
      </c>
      <c r="W225" s="1">
        <v>0.53</v>
      </c>
      <c r="X225" s="1">
        <v>0.104</v>
      </c>
      <c r="Y225" s="1">
        <v>24.204000000000001</v>
      </c>
      <c r="Z225" s="1">
        <v>1.9510000000000001</v>
      </c>
      <c r="AA225" s="1">
        <v>-2.9</v>
      </c>
      <c r="AB225" s="1">
        <v>-2.9</v>
      </c>
      <c r="AC225" s="1">
        <v>-2.9</v>
      </c>
      <c r="AD225" s="1">
        <v>0.104</v>
      </c>
      <c r="AE225" s="1">
        <v>1.95</v>
      </c>
      <c r="AF225" s="1">
        <v>0.20200000000000001</v>
      </c>
      <c r="AG225" s="1">
        <v>-2.9</v>
      </c>
      <c r="AI225" s="1">
        <v>0</v>
      </c>
      <c r="AJ225" s="1">
        <v>0</v>
      </c>
      <c r="AK225" s="1">
        <v>0</v>
      </c>
      <c r="AL225" s="1">
        <v>1</v>
      </c>
      <c r="AM225" s="1">
        <v>57797</v>
      </c>
      <c r="AN225" s="1">
        <v>21220</v>
      </c>
      <c r="AO225" s="1">
        <v>36577</v>
      </c>
      <c r="AP225" s="1">
        <v>47246</v>
      </c>
      <c r="AQ225" s="1">
        <v>0.59664947625070441</v>
      </c>
    </row>
    <row r="226" spans="1:43" x14ac:dyDescent="0.45">
      <c r="A226" s="1">
        <v>225</v>
      </c>
      <c r="B226" s="1">
        <v>439</v>
      </c>
      <c r="C226" s="1">
        <v>94</v>
      </c>
      <c r="D226" s="1" t="s">
        <v>82</v>
      </c>
      <c r="E226" s="1" t="s">
        <v>83</v>
      </c>
      <c r="F226" s="1" t="s">
        <v>84</v>
      </c>
      <c r="G226" s="1" t="s">
        <v>46</v>
      </c>
      <c r="H226" s="1" t="s">
        <v>47</v>
      </c>
      <c r="I226" s="1">
        <v>490</v>
      </c>
      <c r="J226" s="1">
        <v>12595</v>
      </c>
      <c r="K226" s="1">
        <v>1</v>
      </c>
      <c r="L226" s="1">
        <v>93</v>
      </c>
      <c r="M226" s="1">
        <v>1728</v>
      </c>
      <c r="N226" s="1" t="s">
        <v>48</v>
      </c>
      <c r="O226" s="1">
        <v>185080</v>
      </c>
      <c r="P226" s="1">
        <v>93</v>
      </c>
      <c r="Q226" s="1" t="s">
        <v>111</v>
      </c>
      <c r="R226" s="1" t="s">
        <v>50</v>
      </c>
      <c r="S226" s="1">
        <v>0</v>
      </c>
      <c r="T226" s="1">
        <v>0</v>
      </c>
      <c r="U226" s="1">
        <v>129.07900000000001</v>
      </c>
      <c r="V226" s="1">
        <v>24.146999999999998</v>
      </c>
      <c r="W226" s="1">
        <v>0.53</v>
      </c>
      <c r="X226" s="1">
        <v>0.13800000000000001</v>
      </c>
      <c r="Y226" s="1">
        <v>24.285</v>
      </c>
      <c r="Z226" s="1">
        <v>0.85</v>
      </c>
      <c r="AA226" s="1">
        <v>-3.1</v>
      </c>
      <c r="AB226" s="1">
        <v>-3.1</v>
      </c>
      <c r="AC226" s="1">
        <v>-3.1</v>
      </c>
      <c r="AD226" s="1">
        <v>0.13800000000000001</v>
      </c>
      <c r="AE226" s="1">
        <v>0.84799999999999998</v>
      </c>
      <c r="AF226" s="1">
        <v>0.11700000000000001</v>
      </c>
      <c r="AG226" s="1">
        <v>-3.1</v>
      </c>
      <c r="AI226" s="1">
        <v>0</v>
      </c>
      <c r="AJ226" s="1">
        <v>0</v>
      </c>
      <c r="AK226" s="1">
        <v>0</v>
      </c>
      <c r="AL226" s="1">
        <v>1</v>
      </c>
      <c r="AM226" s="1">
        <v>57615</v>
      </c>
      <c r="AN226" s="1">
        <v>17944</v>
      </c>
      <c r="AO226" s="1">
        <v>39671</v>
      </c>
      <c r="AP226" s="1">
        <v>47046</v>
      </c>
      <c r="AQ226" s="1">
        <v>2.2360358767229358</v>
      </c>
    </row>
    <row r="227" spans="1:43" x14ac:dyDescent="0.45">
      <c r="A227" s="1">
        <v>226</v>
      </c>
      <c r="B227" s="1">
        <v>439</v>
      </c>
      <c r="C227" s="1">
        <v>94</v>
      </c>
      <c r="D227" s="1" t="s">
        <v>82</v>
      </c>
      <c r="E227" s="1" t="s">
        <v>83</v>
      </c>
      <c r="F227" s="1" t="s">
        <v>84</v>
      </c>
      <c r="G227" s="1" t="s">
        <v>46</v>
      </c>
      <c r="H227" s="1" t="s">
        <v>47</v>
      </c>
      <c r="I227" s="1">
        <v>490</v>
      </c>
      <c r="J227" s="1">
        <v>12595</v>
      </c>
      <c r="K227" s="1">
        <v>1</v>
      </c>
      <c r="L227" s="1">
        <v>93</v>
      </c>
      <c r="M227" s="1">
        <v>1730</v>
      </c>
      <c r="N227" s="1" t="s">
        <v>48</v>
      </c>
      <c r="O227" s="1">
        <v>185083</v>
      </c>
      <c r="P227" s="1">
        <v>93</v>
      </c>
      <c r="Q227" s="1" t="s">
        <v>111</v>
      </c>
      <c r="R227" s="1" t="s">
        <v>50</v>
      </c>
      <c r="S227" s="1">
        <v>0</v>
      </c>
      <c r="T227" s="1">
        <v>0</v>
      </c>
      <c r="U227" s="1">
        <v>169.43199999999999</v>
      </c>
      <c r="V227" s="1">
        <v>24.184999999999999</v>
      </c>
      <c r="W227" s="1">
        <v>0.52</v>
      </c>
      <c r="X227" s="1">
        <v>0.114</v>
      </c>
      <c r="Y227" s="1">
        <v>24.298999999999999</v>
      </c>
      <c r="Z227" s="1">
        <v>0.28699999999999998</v>
      </c>
      <c r="AA227" s="1">
        <v>-1.2</v>
      </c>
      <c r="AB227" s="1">
        <v>-1.5</v>
      </c>
      <c r="AC227" s="1">
        <v>-1.5</v>
      </c>
      <c r="AD227" s="1">
        <v>0.114</v>
      </c>
      <c r="AE227" s="1">
        <v>0.25</v>
      </c>
      <c r="AF227" s="1">
        <v>2.8000000000000001E-2</v>
      </c>
      <c r="AG227" s="1">
        <v>-1.2</v>
      </c>
      <c r="AI227" s="1">
        <v>0</v>
      </c>
      <c r="AJ227" s="1">
        <v>0</v>
      </c>
      <c r="AK227" s="1">
        <v>0</v>
      </c>
      <c r="AL227" s="1">
        <v>1</v>
      </c>
      <c r="AM227" s="1">
        <v>50960</v>
      </c>
      <c r="AN227" s="1">
        <v>7688</v>
      </c>
      <c r="AO227" s="1">
        <v>43272</v>
      </c>
      <c r="AP227" s="1">
        <v>47136</v>
      </c>
      <c r="AQ227" s="1">
        <v>1.5244243283726311</v>
      </c>
    </row>
    <row r="228" spans="1:43" x14ac:dyDescent="0.45">
      <c r="A228" s="1">
        <v>227</v>
      </c>
      <c r="B228" s="1">
        <v>439</v>
      </c>
      <c r="C228" s="1">
        <v>94</v>
      </c>
      <c r="D228" s="1" t="s">
        <v>82</v>
      </c>
      <c r="E228" s="1" t="s">
        <v>83</v>
      </c>
      <c r="F228" s="1" t="s">
        <v>84</v>
      </c>
      <c r="G228" s="1" t="s">
        <v>46</v>
      </c>
      <c r="H228" s="1" t="s">
        <v>47</v>
      </c>
      <c r="I228" s="1">
        <v>490</v>
      </c>
      <c r="J228" s="1">
        <v>12595</v>
      </c>
      <c r="K228" s="1">
        <v>1</v>
      </c>
      <c r="L228" s="1">
        <v>93</v>
      </c>
      <c r="M228" s="1">
        <v>1731</v>
      </c>
      <c r="N228" s="1" t="s">
        <v>48</v>
      </c>
      <c r="O228" s="1">
        <v>185085</v>
      </c>
      <c r="P228" s="1">
        <v>93</v>
      </c>
      <c r="Q228" s="1" t="s">
        <v>111</v>
      </c>
      <c r="R228" s="1" t="s">
        <v>50</v>
      </c>
      <c r="S228" s="1">
        <v>0</v>
      </c>
      <c r="T228" s="1">
        <v>0</v>
      </c>
      <c r="U228" s="1">
        <v>144.268</v>
      </c>
      <c r="V228" s="1">
        <v>24.087</v>
      </c>
      <c r="W228" s="1">
        <v>0.54</v>
      </c>
      <c r="X228" s="1">
        <v>0.21099999999999999</v>
      </c>
      <c r="Y228" s="1">
        <v>24.297999999999998</v>
      </c>
      <c r="Z228" s="1">
        <v>0.22800000000000001</v>
      </c>
      <c r="AA228" s="1">
        <v>-0.9</v>
      </c>
      <c r="AB228" s="1">
        <v>-1</v>
      </c>
      <c r="AC228" s="1">
        <v>-1</v>
      </c>
      <c r="AD228" s="1">
        <v>0.21099999999999999</v>
      </c>
      <c r="AE228" s="1">
        <v>0.184</v>
      </c>
      <c r="AF228" s="1">
        <v>3.9E-2</v>
      </c>
      <c r="AG228" s="1">
        <v>-0.9</v>
      </c>
      <c r="AI228" s="1">
        <v>0</v>
      </c>
      <c r="AJ228" s="1">
        <v>0</v>
      </c>
      <c r="AK228" s="1">
        <v>0</v>
      </c>
      <c r="AL228" s="1">
        <v>1</v>
      </c>
      <c r="AM228" s="1">
        <v>86400</v>
      </c>
      <c r="AN228" s="1">
        <v>79158</v>
      </c>
      <c r="AO228" s="1">
        <v>7242</v>
      </c>
      <c r="AP228" s="1">
        <v>46981</v>
      </c>
      <c r="AQ228" s="1">
        <v>20.343053902491771</v>
      </c>
    </row>
    <row r="229" spans="1:43" x14ac:dyDescent="0.45">
      <c r="A229" s="1">
        <v>228</v>
      </c>
      <c r="B229" s="1">
        <v>439</v>
      </c>
      <c r="C229" s="1">
        <v>94</v>
      </c>
      <c r="D229" s="1" t="s">
        <v>82</v>
      </c>
      <c r="E229" s="1" t="s">
        <v>83</v>
      </c>
      <c r="F229" s="1" t="s">
        <v>84</v>
      </c>
      <c r="G229" s="1" t="s">
        <v>46</v>
      </c>
      <c r="H229" s="1" t="s">
        <v>47</v>
      </c>
      <c r="I229" s="1">
        <v>490</v>
      </c>
      <c r="J229" s="1">
        <v>12595</v>
      </c>
      <c r="K229" s="1">
        <v>1</v>
      </c>
      <c r="L229" s="1">
        <v>93</v>
      </c>
      <c r="M229" s="1">
        <v>1732</v>
      </c>
      <c r="N229" s="1" t="s">
        <v>48</v>
      </c>
      <c r="O229" s="1">
        <v>185086</v>
      </c>
      <c r="P229" s="1">
        <v>93</v>
      </c>
      <c r="Q229" s="1" t="s">
        <v>111</v>
      </c>
      <c r="R229" s="1" t="s">
        <v>50</v>
      </c>
      <c r="S229" s="1">
        <v>0</v>
      </c>
      <c r="T229" s="1">
        <v>0</v>
      </c>
      <c r="U229" s="1">
        <v>153.83099999999999</v>
      </c>
      <c r="V229" s="1">
        <v>24.013000000000002</v>
      </c>
      <c r="W229" s="1">
        <v>0.55000000000000004</v>
      </c>
      <c r="X229" s="1">
        <v>0.28199999999999997</v>
      </c>
      <c r="Y229" s="1">
        <v>24.295999999999999</v>
      </c>
      <c r="Z229" s="1">
        <v>0.17899999999999999</v>
      </c>
      <c r="AA229" s="1">
        <v>-1.4</v>
      </c>
      <c r="AB229" s="1">
        <v>-1.4</v>
      </c>
      <c r="AC229" s="1">
        <v>-1.4</v>
      </c>
      <c r="AD229" s="1">
        <v>0.28199999999999997</v>
      </c>
      <c r="AE229" s="1">
        <v>0.17899999999999999</v>
      </c>
      <c r="AF229" s="1">
        <v>0.05</v>
      </c>
      <c r="AG229" s="1">
        <v>-1.4</v>
      </c>
      <c r="AI229" s="1">
        <v>0</v>
      </c>
      <c r="AJ229" s="1">
        <v>0</v>
      </c>
      <c r="AK229" s="1">
        <v>0</v>
      </c>
      <c r="AL229" s="1">
        <v>1</v>
      </c>
      <c r="AM229" s="1">
        <v>86400</v>
      </c>
      <c r="AN229" s="1">
        <v>80191</v>
      </c>
      <c r="AO229" s="1">
        <v>6209</v>
      </c>
      <c r="AP229" s="1">
        <v>47062</v>
      </c>
      <c r="AQ229" s="1">
        <v>1.6394359583819851</v>
      </c>
    </row>
    <row r="230" spans="1:43" x14ac:dyDescent="0.45">
      <c r="A230" s="1">
        <v>229</v>
      </c>
      <c r="B230" s="1">
        <v>446</v>
      </c>
      <c r="C230" s="1">
        <v>97</v>
      </c>
      <c r="D230" s="1" t="s">
        <v>85</v>
      </c>
      <c r="E230" s="1" t="s">
        <v>86</v>
      </c>
      <c r="F230" s="1" t="s">
        <v>87</v>
      </c>
      <c r="G230" s="1" t="s">
        <v>46</v>
      </c>
      <c r="H230" s="1" t="s">
        <v>47</v>
      </c>
      <c r="I230" s="1">
        <v>1089</v>
      </c>
      <c r="J230" s="1">
        <v>26566</v>
      </c>
      <c r="K230" s="1">
        <v>1</v>
      </c>
      <c r="L230" s="1">
        <v>96</v>
      </c>
      <c r="M230" s="1">
        <v>1706</v>
      </c>
      <c r="N230" s="1" t="s">
        <v>48</v>
      </c>
      <c r="O230" s="1">
        <v>184863</v>
      </c>
      <c r="P230" s="1">
        <v>93</v>
      </c>
      <c r="Q230" s="1" t="s">
        <v>111</v>
      </c>
      <c r="R230" s="1" t="s">
        <v>50</v>
      </c>
      <c r="S230" s="1">
        <v>0</v>
      </c>
      <c r="T230" s="1">
        <v>0</v>
      </c>
      <c r="U230" s="1">
        <v>325.68799999999999</v>
      </c>
      <c r="V230" s="1">
        <v>24.777999999999999</v>
      </c>
      <c r="W230" s="1">
        <v>0.53</v>
      </c>
      <c r="X230" s="1">
        <v>0.17100000000000001</v>
      </c>
      <c r="Y230" s="1">
        <v>24.95</v>
      </c>
      <c r="Z230" s="1">
        <v>0.12</v>
      </c>
      <c r="AA230" s="1">
        <v>1.7</v>
      </c>
      <c r="AB230" s="1">
        <v>1.7</v>
      </c>
      <c r="AC230" s="1">
        <v>1.7</v>
      </c>
      <c r="AD230" s="1">
        <v>0.17100000000000001</v>
      </c>
      <c r="AE230" s="1">
        <v>0.12</v>
      </c>
      <c r="AF230" s="1">
        <v>2.1000000000000001E-2</v>
      </c>
      <c r="AG230" s="1">
        <v>1.7</v>
      </c>
      <c r="AI230" s="1">
        <v>0</v>
      </c>
      <c r="AJ230" s="1">
        <v>0</v>
      </c>
      <c r="AK230" s="1">
        <v>0</v>
      </c>
      <c r="AL230" s="1">
        <v>1</v>
      </c>
      <c r="AM230" s="1">
        <v>86400</v>
      </c>
      <c r="AN230" s="1">
        <v>81395</v>
      </c>
      <c r="AO230" s="1">
        <v>5005</v>
      </c>
      <c r="AP230" s="1">
        <v>43574</v>
      </c>
      <c r="AQ230" s="1">
        <v>15.74861294678051</v>
      </c>
    </row>
    <row r="231" spans="1:43" x14ac:dyDescent="0.45">
      <c r="A231" s="1">
        <v>230</v>
      </c>
      <c r="B231" s="1">
        <v>446</v>
      </c>
      <c r="C231" s="1">
        <v>97</v>
      </c>
      <c r="D231" s="1" t="s">
        <v>85</v>
      </c>
      <c r="E231" s="1" t="s">
        <v>86</v>
      </c>
      <c r="F231" s="1" t="s">
        <v>87</v>
      </c>
      <c r="G231" s="1" t="s">
        <v>46</v>
      </c>
      <c r="H231" s="1" t="s">
        <v>47</v>
      </c>
      <c r="I231" s="1">
        <v>1089</v>
      </c>
      <c r="J231" s="1">
        <v>26566</v>
      </c>
      <c r="K231" s="1">
        <v>1</v>
      </c>
      <c r="L231" s="1">
        <v>96</v>
      </c>
      <c r="M231" s="1">
        <v>1707</v>
      </c>
      <c r="N231" s="1" t="s">
        <v>48</v>
      </c>
      <c r="O231" s="1">
        <v>184865</v>
      </c>
      <c r="P231" s="1">
        <v>93</v>
      </c>
      <c r="Q231" s="1" t="s">
        <v>111</v>
      </c>
      <c r="R231" s="1" t="s">
        <v>50</v>
      </c>
      <c r="S231" s="1">
        <v>0</v>
      </c>
      <c r="T231" s="1">
        <v>0</v>
      </c>
      <c r="U231" s="1">
        <v>478.33499999999998</v>
      </c>
      <c r="V231" s="1">
        <v>24.844000000000001</v>
      </c>
      <c r="W231" s="1">
        <v>0.52</v>
      </c>
      <c r="X231" s="1">
        <v>0.107</v>
      </c>
      <c r="Y231" s="1">
        <v>24.951000000000001</v>
      </c>
      <c r="Z231" s="1">
        <v>9.4E-2</v>
      </c>
      <c r="AA231" s="1">
        <v>2.2000000000000002</v>
      </c>
      <c r="AB231" s="1">
        <v>2.2000000000000002</v>
      </c>
      <c r="AC231" s="1">
        <v>2.2000000000000002</v>
      </c>
      <c r="AD231" s="1">
        <v>0.107</v>
      </c>
      <c r="AE231" s="1">
        <v>9.4E-2</v>
      </c>
      <c r="AF231" s="1">
        <v>0.01</v>
      </c>
      <c r="AG231" s="1">
        <v>2.2000000000000002</v>
      </c>
      <c r="AI231" s="1">
        <v>0</v>
      </c>
      <c r="AJ231" s="1">
        <v>0</v>
      </c>
      <c r="AK231" s="1">
        <v>0</v>
      </c>
      <c r="AL231" s="1">
        <v>1</v>
      </c>
      <c r="AM231" s="1">
        <v>86400</v>
      </c>
      <c r="AN231" s="1">
        <v>72773</v>
      </c>
      <c r="AO231" s="1">
        <v>13627</v>
      </c>
      <c r="AP231" s="1">
        <v>46897</v>
      </c>
      <c r="AQ231" s="1">
        <v>17.355190718828648</v>
      </c>
    </row>
    <row r="232" spans="1:43" x14ac:dyDescent="0.45">
      <c r="A232" s="1">
        <v>231</v>
      </c>
      <c r="B232" s="1">
        <v>446</v>
      </c>
      <c r="C232" s="1">
        <v>97</v>
      </c>
      <c r="D232" s="1" t="s">
        <v>85</v>
      </c>
      <c r="E232" s="1" t="s">
        <v>86</v>
      </c>
      <c r="F232" s="1" t="s">
        <v>87</v>
      </c>
      <c r="G232" s="1" t="s">
        <v>46</v>
      </c>
      <c r="H232" s="1" t="s">
        <v>47</v>
      </c>
      <c r="I232" s="1">
        <v>1089</v>
      </c>
      <c r="J232" s="1">
        <v>26566</v>
      </c>
      <c r="K232" s="1">
        <v>1</v>
      </c>
      <c r="L232" s="1">
        <v>96</v>
      </c>
      <c r="M232" s="1">
        <v>1708</v>
      </c>
      <c r="N232" s="1" t="s">
        <v>48</v>
      </c>
      <c r="O232" s="1">
        <v>184866</v>
      </c>
      <c r="P232" s="1">
        <v>93</v>
      </c>
      <c r="Q232" s="1" t="s">
        <v>111</v>
      </c>
      <c r="R232" s="1" t="s">
        <v>50</v>
      </c>
      <c r="S232" s="1">
        <v>0</v>
      </c>
      <c r="T232" s="1">
        <v>0</v>
      </c>
      <c r="U232" s="1">
        <v>867.36900000000003</v>
      </c>
      <c r="V232" s="1">
        <v>24.741</v>
      </c>
      <c r="W232" s="1">
        <v>0.53</v>
      </c>
      <c r="X232" s="1">
        <v>0.20899999999999999</v>
      </c>
      <c r="Y232" s="1">
        <v>24.95</v>
      </c>
      <c r="Z232" s="1">
        <v>0.152</v>
      </c>
      <c r="AA232" s="1">
        <v>3</v>
      </c>
      <c r="AB232" s="1">
        <v>3</v>
      </c>
      <c r="AC232" s="1">
        <v>3</v>
      </c>
      <c r="AD232" s="1">
        <v>0.20899999999999999</v>
      </c>
      <c r="AE232" s="1">
        <v>0.152</v>
      </c>
      <c r="AF232" s="1">
        <v>3.2000000000000001E-2</v>
      </c>
      <c r="AG232" s="1">
        <v>3</v>
      </c>
      <c r="AI232" s="1">
        <v>0</v>
      </c>
      <c r="AJ232" s="1">
        <v>0</v>
      </c>
      <c r="AK232" s="1">
        <v>0</v>
      </c>
      <c r="AL232" s="1">
        <v>1</v>
      </c>
      <c r="AM232" s="1">
        <v>86400</v>
      </c>
      <c r="AN232" s="1">
        <v>76399</v>
      </c>
      <c r="AO232" s="1">
        <v>10001</v>
      </c>
      <c r="AP232" s="1">
        <v>46852</v>
      </c>
      <c r="AQ232" s="1">
        <v>1.37213259683311</v>
      </c>
    </row>
    <row r="233" spans="1:43" x14ac:dyDescent="0.45">
      <c r="A233" s="1">
        <v>232</v>
      </c>
      <c r="B233" s="1">
        <v>446</v>
      </c>
      <c r="C233" s="1">
        <v>97</v>
      </c>
      <c r="D233" s="1" t="s">
        <v>85</v>
      </c>
      <c r="E233" s="1" t="s">
        <v>86</v>
      </c>
      <c r="F233" s="1" t="s">
        <v>87</v>
      </c>
      <c r="G233" s="1" t="s">
        <v>46</v>
      </c>
      <c r="H233" s="1" t="s">
        <v>47</v>
      </c>
      <c r="I233" s="1">
        <v>1089</v>
      </c>
      <c r="J233" s="1">
        <v>26566</v>
      </c>
      <c r="K233" s="1">
        <v>1</v>
      </c>
      <c r="L233" s="1">
        <v>96</v>
      </c>
      <c r="M233" s="1">
        <v>1709</v>
      </c>
      <c r="N233" s="1" t="s">
        <v>48</v>
      </c>
      <c r="O233" s="1">
        <v>184873</v>
      </c>
      <c r="P233" s="1">
        <v>93</v>
      </c>
      <c r="Q233" s="1" t="s">
        <v>111</v>
      </c>
      <c r="R233" s="1" t="s">
        <v>50</v>
      </c>
      <c r="S233" s="1">
        <v>0</v>
      </c>
      <c r="T233" s="1">
        <v>0</v>
      </c>
      <c r="U233" s="1">
        <v>89.039000000000001</v>
      </c>
      <c r="V233" s="1">
        <v>24.5</v>
      </c>
      <c r="W233" s="1">
        <v>0.56999999999999995</v>
      </c>
      <c r="X233" s="1">
        <v>0.45</v>
      </c>
      <c r="Y233" s="1">
        <v>24.95</v>
      </c>
      <c r="Z233" s="1">
        <v>4.2000000000000003E-2</v>
      </c>
      <c r="AA233" s="1">
        <v>-2.2999999999999998</v>
      </c>
      <c r="AB233" s="1">
        <v>-2.4</v>
      </c>
      <c r="AC233" s="1">
        <v>-2.4</v>
      </c>
      <c r="AD233" s="1">
        <v>0.45</v>
      </c>
      <c r="AE233" s="1">
        <v>1.7000000000000001E-2</v>
      </c>
      <c r="AF233" s="1">
        <v>1.2E-2</v>
      </c>
      <c r="AI233" s="1">
        <v>0</v>
      </c>
      <c r="AJ233" s="1">
        <v>0</v>
      </c>
      <c r="AK233" s="1">
        <v>0</v>
      </c>
      <c r="AL233" s="1">
        <v>1</v>
      </c>
      <c r="AM233" s="1">
        <v>86400</v>
      </c>
      <c r="AN233" s="1">
        <v>80786</v>
      </c>
      <c r="AO233" s="1">
        <v>5614</v>
      </c>
      <c r="AP233" s="1">
        <v>43617</v>
      </c>
      <c r="AQ233" s="1">
        <v>23.23517241928969</v>
      </c>
    </row>
    <row r="234" spans="1:43" x14ac:dyDescent="0.45">
      <c r="A234" s="1">
        <v>233</v>
      </c>
      <c r="B234" s="1">
        <v>446</v>
      </c>
      <c r="C234" s="1">
        <v>97</v>
      </c>
      <c r="D234" s="1" t="s">
        <v>85</v>
      </c>
      <c r="E234" s="1" t="s">
        <v>86</v>
      </c>
      <c r="F234" s="1" t="s">
        <v>87</v>
      </c>
      <c r="G234" s="1" t="s">
        <v>46</v>
      </c>
      <c r="H234" s="1" t="s">
        <v>47</v>
      </c>
      <c r="I234" s="1">
        <v>1089</v>
      </c>
      <c r="J234" s="1">
        <v>26566</v>
      </c>
      <c r="K234" s="1">
        <v>1</v>
      </c>
      <c r="L234" s="1">
        <v>96</v>
      </c>
      <c r="M234" s="1">
        <v>1710</v>
      </c>
      <c r="N234" s="1" t="s">
        <v>48</v>
      </c>
      <c r="O234" s="1">
        <v>184874</v>
      </c>
      <c r="P234" s="1">
        <v>93</v>
      </c>
      <c r="Q234" s="1" t="s">
        <v>111</v>
      </c>
      <c r="R234" s="1" t="s">
        <v>50</v>
      </c>
      <c r="S234" s="1">
        <v>0</v>
      </c>
      <c r="T234" s="1">
        <v>0</v>
      </c>
      <c r="U234" s="1">
        <v>429.66300000000001</v>
      </c>
      <c r="V234" s="1">
        <v>24.591999999999999</v>
      </c>
      <c r="W234" s="1">
        <v>0.56000000000000005</v>
      </c>
      <c r="X234" s="1">
        <v>0.35699999999999998</v>
      </c>
      <c r="Y234" s="1">
        <v>24.949000000000002</v>
      </c>
      <c r="Z234" s="1">
        <v>8.5000000000000006E-2</v>
      </c>
      <c r="AA234" s="1">
        <v>-2.6</v>
      </c>
      <c r="AB234" s="1">
        <v>-2.6</v>
      </c>
      <c r="AC234" s="1">
        <v>-2.6</v>
      </c>
      <c r="AD234" s="1">
        <v>0.35699999999999998</v>
      </c>
      <c r="AE234" s="1">
        <v>8.5000000000000006E-2</v>
      </c>
      <c r="AF234" s="1">
        <v>0.03</v>
      </c>
      <c r="AG234" s="1">
        <v>-2.6</v>
      </c>
      <c r="AI234" s="1">
        <v>0</v>
      </c>
      <c r="AJ234" s="1">
        <v>0</v>
      </c>
      <c r="AK234" s="1">
        <v>0</v>
      </c>
      <c r="AL234" s="1">
        <v>1</v>
      </c>
      <c r="AM234" s="1">
        <v>86400</v>
      </c>
      <c r="AN234" s="1">
        <v>79526</v>
      </c>
      <c r="AO234" s="1">
        <v>6874</v>
      </c>
      <c r="AP234" s="1">
        <v>43733</v>
      </c>
      <c r="AQ234" s="1">
        <v>36.228889069663921</v>
      </c>
    </row>
    <row r="235" spans="1:43" x14ac:dyDescent="0.45">
      <c r="A235" s="1">
        <v>234</v>
      </c>
      <c r="B235" s="1">
        <v>446</v>
      </c>
      <c r="C235" s="1">
        <v>97</v>
      </c>
      <c r="D235" s="1" t="s">
        <v>85</v>
      </c>
      <c r="E235" s="1" t="s">
        <v>86</v>
      </c>
      <c r="F235" s="1" t="s">
        <v>87</v>
      </c>
      <c r="G235" s="1" t="s">
        <v>46</v>
      </c>
      <c r="H235" s="1" t="s">
        <v>47</v>
      </c>
      <c r="I235" s="1">
        <v>1089</v>
      </c>
      <c r="J235" s="1">
        <v>26566</v>
      </c>
      <c r="K235" s="1">
        <v>1</v>
      </c>
      <c r="L235" s="1">
        <v>96</v>
      </c>
      <c r="M235" s="1">
        <v>1711</v>
      </c>
      <c r="N235" s="1" t="s">
        <v>48</v>
      </c>
      <c r="O235" s="1">
        <v>184875</v>
      </c>
      <c r="P235" s="1">
        <v>93</v>
      </c>
      <c r="Q235" s="1" t="s">
        <v>111</v>
      </c>
      <c r="R235" s="1" t="s">
        <v>50</v>
      </c>
      <c r="S235" s="1">
        <v>0</v>
      </c>
      <c r="T235" s="1">
        <v>0</v>
      </c>
      <c r="U235" s="1">
        <v>213.364</v>
      </c>
      <c r="V235" s="1">
        <v>24.367999999999999</v>
      </c>
      <c r="W235" s="1">
        <v>0.59</v>
      </c>
      <c r="X235" s="1">
        <v>0.58299999999999996</v>
      </c>
      <c r="Y235" s="1">
        <v>24.95</v>
      </c>
      <c r="Z235" s="1">
        <v>0.05</v>
      </c>
      <c r="AA235" s="1">
        <v>-0.8</v>
      </c>
      <c r="AB235" s="1">
        <v>2.7</v>
      </c>
      <c r="AC235" s="1">
        <v>2.7</v>
      </c>
      <c r="AD235" s="1">
        <v>0.58299999999999996</v>
      </c>
      <c r="AE235" s="1">
        <v>4.2000000000000003E-2</v>
      </c>
      <c r="AF235" s="1">
        <v>2.4E-2</v>
      </c>
      <c r="AG235" s="1">
        <v>-0.8</v>
      </c>
      <c r="AI235" s="1">
        <v>0</v>
      </c>
      <c r="AJ235" s="1">
        <v>0</v>
      </c>
      <c r="AK235" s="1">
        <v>0</v>
      </c>
      <c r="AL235" s="1">
        <v>1</v>
      </c>
      <c r="AM235" s="1">
        <v>86400</v>
      </c>
      <c r="AN235" s="1">
        <v>81786</v>
      </c>
      <c r="AO235" s="1">
        <v>4614</v>
      </c>
      <c r="AP235" s="1">
        <v>47026</v>
      </c>
      <c r="AQ235" s="1">
        <v>2.3289428131713419</v>
      </c>
    </row>
    <row r="236" spans="1:43" x14ac:dyDescent="0.45">
      <c r="A236" s="1">
        <v>235</v>
      </c>
      <c r="B236" s="1">
        <v>446</v>
      </c>
      <c r="C236" s="1">
        <v>97</v>
      </c>
      <c r="D236" s="1" t="s">
        <v>85</v>
      </c>
      <c r="E236" s="1" t="s">
        <v>86</v>
      </c>
      <c r="F236" s="1" t="s">
        <v>87</v>
      </c>
      <c r="G236" s="1" t="s">
        <v>46</v>
      </c>
      <c r="H236" s="1" t="s">
        <v>47</v>
      </c>
      <c r="I236" s="1">
        <v>1089</v>
      </c>
      <c r="J236" s="1">
        <v>26566</v>
      </c>
      <c r="K236" s="1">
        <v>1</v>
      </c>
      <c r="L236" s="1">
        <v>96</v>
      </c>
      <c r="M236" s="1">
        <v>1712</v>
      </c>
      <c r="N236" s="1" t="s">
        <v>48</v>
      </c>
      <c r="O236" s="1">
        <v>184876</v>
      </c>
      <c r="P236" s="1">
        <v>93</v>
      </c>
      <c r="Q236" s="1" t="s">
        <v>111</v>
      </c>
      <c r="R236" s="1" t="s">
        <v>50</v>
      </c>
      <c r="S236" s="1">
        <v>0</v>
      </c>
      <c r="T236" s="1">
        <v>0</v>
      </c>
      <c r="U236" s="1">
        <v>217.46</v>
      </c>
      <c r="V236" s="1">
        <v>24.515000000000001</v>
      </c>
      <c r="W236" s="1">
        <v>0.56999999999999995</v>
      </c>
      <c r="X236" s="1">
        <v>0.435</v>
      </c>
      <c r="Y236" s="1">
        <v>24.95</v>
      </c>
      <c r="Z236" s="1">
        <v>5.0999999999999997E-2</v>
      </c>
      <c r="AA236" s="1">
        <v>0.3</v>
      </c>
      <c r="AB236" s="1">
        <v>1.1000000000000001</v>
      </c>
      <c r="AC236" s="1">
        <v>1.1000000000000001</v>
      </c>
      <c r="AD236" s="1">
        <v>0.435</v>
      </c>
      <c r="AE236" s="1">
        <v>3.7999999999999999E-2</v>
      </c>
      <c r="AF236" s="1">
        <v>1.7000000000000001E-2</v>
      </c>
      <c r="AG236" s="1">
        <v>0.3</v>
      </c>
      <c r="AI236" s="1">
        <v>0</v>
      </c>
      <c r="AJ236" s="1">
        <v>0</v>
      </c>
      <c r="AK236" s="1">
        <v>0</v>
      </c>
      <c r="AL236" s="1">
        <v>1</v>
      </c>
      <c r="AM236" s="1">
        <v>86400</v>
      </c>
      <c r="AN236" s="1">
        <v>80578</v>
      </c>
      <c r="AO236" s="1">
        <v>5822</v>
      </c>
      <c r="AP236" s="1">
        <v>43538</v>
      </c>
      <c r="AQ236" s="1">
        <v>19.045530927795099</v>
      </c>
    </row>
    <row r="237" spans="1:43" x14ac:dyDescent="0.45">
      <c r="A237" s="1">
        <v>236</v>
      </c>
      <c r="B237" s="1">
        <v>446</v>
      </c>
      <c r="C237" s="1">
        <v>97</v>
      </c>
      <c r="D237" s="1" t="s">
        <v>85</v>
      </c>
      <c r="E237" s="1" t="s">
        <v>86</v>
      </c>
      <c r="F237" s="1" t="s">
        <v>87</v>
      </c>
      <c r="G237" s="1" t="s">
        <v>46</v>
      </c>
      <c r="H237" s="1" t="s">
        <v>47</v>
      </c>
      <c r="I237" s="1">
        <v>1089</v>
      </c>
      <c r="J237" s="1">
        <v>26566</v>
      </c>
      <c r="K237" s="1">
        <v>1</v>
      </c>
      <c r="L237" s="1">
        <v>96</v>
      </c>
      <c r="M237" s="1">
        <v>1716</v>
      </c>
      <c r="N237" s="1" t="s">
        <v>48</v>
      </c>
      <c r="O237" s="1">
        <v>184955</v>
      </c>
      <c r="P237" s="1">
        <v>93</v>
      </c>
      <c r="Q237" s="1" t="s">
        <v>111</v>
      </c>
      <c r="R237" s="1" t="s">
        <v>50</v>
      </c>
      <c r="S237" s="1">
        <v>0</v>
      </c>
      <c r="T237" s="1">
        <v>0</v>
      </c>
      <c r="U237" s="1">
        <v>142.041</v>
      </c>
      <c r="V237" s="1">
        <v>25.390999999999998</v>
      </c>
      <c r="W237" s="1">
        <v>0.52</v>
      </c>
      <c r="X237" s="1">
        <v>0.122</v>
      </c>
      <c r="Y237" s="1">
        <v>25.513000000000002</v>
      </c>
      <c r="Z237" s="1">
        <v>0.253</v>
      </c>
      <c r="AA237" s="1">
        <v>-1.5</v>
      </c>
      <c r="AB237" s="1">
        <v>-1.5</v>
      </c>
      <c r="AC237" s="1">
        <v>-1.5</v>
      </c>
      <c r="AD237" s="1">
        <v>0.122</v>
      </c>
      <c r="AE237" s="1">
        <v>0.252</v>
      </c>
      <c r="AF237" s="1">
        <v>3.1E-2</v>
      </c>
      <c r="AG237" s="1">
        <v>-1.5</v>
      </c>
      <c r="AI237" s="1">
        <v>0</v>
      </c>
      <c r="AJ237" s="1">
        <v>0</v>
      </c>
      <c r="AK237" s="1">
        <v>0</v>
      </c>
      <c r="AL237" s="1">
        <v>1</v>
      </c>
      <c r="AM237" s="1">
        <v>86400</v>
      </c>
      <c r="AN237" s="1">
        <v>81478</v>
      </c>
      <c r="AO237" s="1">
        <v>4922</v>
      </c>
      <c r="AP237" s="1">
        <v>43642</v>
      </c>
      <c r="AQ237" s="1">
        <v>19.92750351117078</v>
      </c>
    </row>
    <row r="238" spans="1:43" x14ac:dyDescent="0.45">
      <c r="A238" s="1">
        <v>237</v>
      </c>
      <c r="B238" s="1">
        <v>450</v>
      </c>
      <c r="C238" s="1">
        <v>97</v>
      </c>
      <c r="D238" s="1" t="s">
        <v>85</v>
      </c>
      <c r="E238" s="1" t="s">
        <v>86</v>
      </c>
      <c r="F238" s="1" t="s">
        <v>87</v>
      </c>
      <c r="G238" s="1" t="s">
        <v>46</v>
      </c>
      <c r="H238" s="1" t="s">
        <v>47</v>
      </c>
      <c r="I238" s="1">
        <v>1089</v>
      </c>
      <c r="J238" s="1">
        <v>26566</v>
      </c>
      <c r="K238" s="1">
        <v>1</v>
      </c>
      <c r="L238" s="1">
        <v>96</v>
      </c>
      <c r="M238" s="1">
        <v>1713</v>
      </c>
      <c r="N238" s="1" t="s">
        <v>48</v>
      </c>
      <c r="O238" s="1">
        <v>184881</v>
      </c>
      <c r="P238" s="1">
        <v>93</v>
      </c>
      <c r="Q238" s="1" t="s">
        <v>111</v>
      </c>
      <c r="R238" s="1" t="s">
        <v>50</v>
      </c>
      <c r="S238" s="1">
        <v>0</v>
      </c>
      <c r="T238" s="1">
        <v>0</v>
      </c>
      <c r="U238" s="1">
        <v>126.512</v>
      </c>
      <c r="V238" s="1">
        <v>25.347999999999999</v>
      </c>
      <c r="W238" s="1">
        <v>0.54</v>
      </c>
      <c r="X238" s="1">
        <v>0.183</v>
      </c>
      <c r="Y238" s="1">
        <v>25.530999999999999</v>
      </c>
      <c r="Z238" s="1">
        <v>0.74</v>
      </c>
      <c r="AA238" s="1">
        <v>0.1</v>
      </c>
      <c r="AB238" s="1">
        <v>0.1</v>
      </c>
      <c r="AC238" s="1">
        <v>0.1</v>
      </c>
      <c r="AD238" s="1">
        <v>0.183</v>
      </c>
      <c r="AE238" s="1">
        <v>0.73899999999999999</v>
      </c>
      <c r="AF238" s="1">
        <v>0.13500000000000001</v>
      </c>
      <c r="AG238" s="1">
        <v>0.1</v>
      </c>
      <c r="AI238" s="1">
        <v>0</v>
      </c>
      <c r="AJ238" s="1">
        <v>0</v>
      </c>
      <c r="AK238" s="1">
        <v>0</v>
      </c>
      <c r="AL238" s="1">
        <v>1</v>
      </c>
      <c r="AM238" s="1">
        <v>65208</v>
      </c>
      <c r="AN238" s="1">
        <v>20058</v>
      </c>
      <c r="AO238" s="1">
        <v>45096</v>
      </c>
      <c r="AP238" s="1">
        <v>50290</v>
      </c>
      <c r="AQ238" s="1">
        <v>21.192493647705771</v>
      </c>
    </row>
    <row r="239" spans="1:43" x14ac:dyDescent="0.45">
      <c r="A239" s="1">
        <v>238</v>
      </c>
      <c r="B239" s="1">
        <v>450</v>
      </c>
      <c r="C239" s="1">
        <v>97</v>
      </c>
      <c r="D239" s="1" t="s">
        <v>85</v>
      </c>
      <c r="E239" s="1" t="s">
        <v>86</v>
      </c>
      <c r="F239" s="1" t="s">
        <v>87</v>
      </c>
      <c r="G239" s="1" t="s">
        <v>46</v>
      </c>
      <c r="H239" s="1" t="s">
        <v>47</v>
      </c>
      <c r="I239" s="1">
        <v>1089</v>
      </c>
      <c r="J239" s="1">
        <v>26566</v>
      </c>
      <c r="K239" s="1">
        <v>1</v>
      </c>
      <c r="L239" s="1">
        <v>96</v>
      </c>
      <c r="M239" s="1">
        <v>1714</v>
      </c>
      <c r="N239" s="1" t="s">
        <v>48</v>
      </c>
      <c r="O239" s="1">
        <v>184884</v>
      </c>
      <c r="P239" s="1">
        <v>93</v>
      </c>
      <c r="Q239" s="1" t="s">
        <v>111</v>
      </c>
      <c r="R239" s="1" t="s">
        <v>50</v>
      </c>
      <c r="S239" s="1">
        <v>0</v>
      </c>
      <c r="T239" s="1">
        <v>0</v>
      </c>
      <c r="U239" s="1">
        <v>98.066999999999993</v>
      </c>
      <c r="V239" s="1">
        <v>25.141999999999999</v>
      </c>
      <c r="W239" s="1">
        <v>0.54</v>
      </c>
      <c r="X239" s="1">
        <v>0.11899999999999999</v>
      </c>
      <c r="Y239" s="1">
        <v>25.26</v>
      </c>
      <c r="Z239" s="1">
        <v>1.619</v>
      </c>
      <c r="AA239" s="1">
        <v>0.4</v>
      </c>
      <c r="AB239" s="1">
        <v>0.4</v>
      </c>
      <c r="AC239" s="1">
        <v>0.4</v>
      </c>
      <c r="AD239" s="1">
        <v>0.11899999999999999</v>
      </c>
      <c r="AE239" s="1">
        <v>1.619</v>
      </c>
      <c r="AF239" s="1">
        <v>0.192</v>
      </c>
      <c r="AG239" s="1">
        <v>0.4</v>
      </c>
      <c r="AI239" s="1">
        <v>0</v>
      </c>
      <c r="AJ239" s="1">
        <v>0</v>
      </c>
      <c r="AK239" s="1">
        <v>0</v>
      </c>
      <c r="AL239" s="1">
        <v>1</v>
      </c>
      <c r="AM239" s="1">
        <v>65071</v>
      </c>
      <c r="AN239" s="1">
        <v>19911</v>
      </c>
      <c r="AO239" s="1">
        <v>45150</v>
      </c>
      <c r="AP239" s="1">
        <v>49905</v>
      </c>
      <c r="AQ239" s="1">
        <v>1.302270255329955</v>
      </c>
    </row>
    <row r="240" spans="1:43" x14ac:dyDescent="0.45">
      <c r="A240" s="1">
        <v>239</v>
      </c>
      <c r="B240" s="1">
        <v>454</v>
      </c>
      <c r="C240" s="1">
        <v>23</v>
      </c>
      <c r="D240" s="1" t="s">
        <v>88</v>
      </c>
      <c r="E240" s="1" t="s">
        <v>89</v>
      </c>
      <c r="F240" s="1" t="s">
        <v>90</v>
      </c>
      <c r="G240" s="1" t="s">
        <v>91</v>
      </c>
      <c r="H240" s="1" t="s">
        <v>47</v>
      </c>
      <c r="I240" s="1">
        <v>330</v>
      </c>
      <c r="J240" s="1">
        <v>5916</v>
      </c>
      <c r="K240" s="1">
        <v>1</v>
      </c>
      <c r="L240" s="1">
        <v>22</v>
      </c>
      <c r="M240" s="1">
        <v>1674</v>
      </c>
      <c r="N240" s="1" t="s">
        <v>48</v>
      </c>
      <c r="O240" s="1">
        <v>175496</v>
      </c>
      <c r="P240" s="1">
        <v>93</v>
      </c>
      <c r="Q240" s="1" t="s">
        <v>111</v>
      </c>
      <c r="R240" s="1" t="s">
        <v>50</v>
      </c>
      <c r="S240" s="1">
        <v>0</v>
      </c>
      <c r="T240" s="1">
        <v>0</v>
      </c>
      <c r="U240" s="1">
        <v>338.95299999999997</v>
      </c>
      <c r="V240" s="1">
        <v>24.632999999999999</v>
      </c>
      <c r="W240" s="1">
        <v>0.52</v>
      </c>
      <c r="X240" s="1">
        <v>0.11600000000000001</v>
      </c>
      <c r="Y240" s="1">
        <v>24.748999999999999</v>
      </c>
      <c r="Z240" s="1">
        <v>7.4999999999999997E-2</v>
      </c>
      <c r="AA240" s="1">
        <v>2.1</v>
      </c>
      <c r="AB240" s="1">
        <v>2.1</v>
      </c>
      <c r="AC240" s="1">
        <v>2.1</v>
      </c>
      <c r="AD240" s="1">
        <v>0.11600000000000001</v>
      </c>
      <c r="AE240" s="1">
        <v>7.4999999999999997E-2</v>
      </c>
      <c r="AF240" s="1">
        <v>8.9999999999999993E-3</v>
      </c>
      <c r="AG240" s="1">
        <v>2.1</v>
      </c>
      <c r="AI240" s="1">
        <v>0</v>
      </c>
      <c r="AJ240" s="1">
        <v>0</v>
      </c>
      <c r="AK240" s="1">
        <v>0</v>
      </c>
      <c r="AL240" s="1">
        <v>1</v>
      </c>
      <c r="AM240" s="1">
        <v>86400</v>
      </c>
      <c r="AN240" s="1">
        <v>78527</v>
      </c>
      <c r="AO240" s="1">
        <v>7873</v>
      </c>
      <c r="AP240" s="1">
        <v>43404</v>
      </c>
      <c r="AQ240" s="1">
        <v>2.5436351825059029</v>
      </c>
    </row>
    <row r="241" spans="1:43" x14ac:dyDescent="0.45">
      <c r="A241" s="1">
        <v>240</v>
      </c>
      <c r="B241" s="1">
        <v>454</v>
      </c>
      <c r="C241" s="1">
        <v>23</v>
      </c>
      <c r="D241" s="1" t="s">
        <v>88</v>
      </c>
      <c r="E241" s="1" t="s">
        <v>89</v>
      </c>
      <c r="F241" s="1" t="s">
        <v>90</v>
      </c>
      <c r="G241" s="1" t="s">
        <v>91</v>
      </c>
      <c r="H241" s="1" t="s">
        <v>47</v>
      </c>
      <c r="I241" s="1">
        <v>330</v>
      </c>
      <c r="J241" s="1">
        <v>5916</v>
      </c>
      <c r="K241" s="1">
        <v>1</v>
      </c>
      <c r="L241" s="1">
        <v>22</v>
      </c>
      <c r="M241" s="1">
        <v>1675</v>
      </c>
      <c r="N241" s="1" t="s">
        <v>48</v>
      </c>
      <c r="O241" s="1">
        <v>175913</v>
      </c>
      <c r="P241" s="1">
        <v>93</v>
      </c>
      <c r="Q241" s="1" t="s">
        <v>111</v>
      </c>
      <c r="R241" s="1" t="s">
        <v>50</v>
      </c>
      <c r="S241" s="1">
        <v>0</v>
      </c>
      <c r="T241" s="1">
        <v>0</v>
      </c>
      <c r="U241" s="1">
        <v>73.203000000000003</v>
      </c>
      <c r="V241" s="1">
        <v>25.163</v>
      </c>
      <c r="W241" s="1">
        <v>0.55000000000000004</v>
      </c>
      <c r="X241" s="1">
        <v>0.33600000000000002</v>
      </c>
      <c r="Y241" s="1">
        <v>25.498999999999999</v>
      </c>
      <c r="Z241" s="1">
        <v>5.7000000000000002E-2</v>
      </c>
      <c r="AA241" s="1">
        <v>-1.4</v>
      </c>
      <c r="AB241" s="1">
        <v>-1.4</v>
      </c>
      <c r="AC241" s="1">
        <v>-1.4</v>
      </c>
      <c r="AD241" s="1">
        <v>0.33600000000000002</v>
      </c>
      <c r="AE241" s="1">
        <v>5.7000000000000002E-2</v>
      </c>
      <c r="AF241" s="1">
        <v>1.9E-2</v>
      </c>
      <c r="AG241" s="1">
        <v>-1.4</v>
      </c>
      <c r="AI241" s="1">
        <v>0</v>
      </c>
      <c r="AJ241" s="1">
        <v>0</v>
      </c>
      <c r="AK241" s="1">
        <v>0</v>
      </c>
      <c r="AL241" s="1">
        <v>1</v>
      </c>
      <c r="AM241" s="1">
        <v>86400</v>
      </c>
      <c r="AN241" s="1">
        <v>80714</v>
      </c>
      <c r="AO241" s="1">
        <v>5686</v>
      </c>
      <c r="AP241" s="1">
        <v>43431</v>
      </c>
      <c r="AQ241" s="1">
        <v>12.51607896382912</v>
      </c>
    </row>
    <row r="242" spans="1:43" x14ac:dyDescent="0.45">
      <c r="A242" s="1">
        <v>241</v>
      </c>
      <c r="B242" s="1">
        <v>454</v>
      </c>
      <c r="C242" s="1">
        <v>23</v>
      </c>
      <c r="D242" s="1" t="s">
        <v>88</v>
      </c>
      <c r="E242" s="1" t="s">
        <v>89</v>
      </c>
      <c r="F242" s="1" t="s">
        <v>90</v>
      </c>
      <c r="G242" s="1" t="s">
        <v>91</v>
      </c>
      <c r="H242" s="1" t="s">
        <v>47</v>
      </c>
      <c r="I242" s="1">
        <v>330</v>
      </c>
      <c r="J242" s="1">
        <v>5916</v>
      </c>
      <c r="K242" s="1">
        <v>1</v>
      </c>
      <c r="L242" s="1">
        <v>22</v>
      </c>
      <c r="M242" s="1">
        <v>1676</v>
      </c>
      <c r="N242" s="1" t="s">
        <v>48</v>
      </c>
      <c r="O242" s="1">
        <v>175914</v>
      </c>
      <c r="P242" s="1">
        <v>93</v>
      </c>
      <c r="Q242" s="1" t="s">
        <v>111</v>
      </c>
      <c r="R242" s="1" t="s">
        <v>50</v>
      </c>
      <c r="S242" s="1">
        <v>0</v>
      </c>
      <c r="T242" s="1">
        <v>0</v>
      </c>
      <c r="U242" s="1">
        <v>92.867000000000004</v>
      </c>
      <c r="V242" s="1">
        <v>25.131</v>
      </c>
      <c r="W242" s="1">
        <v>0.56000000000000005</v>
      </c>
      <c r="X242" s="1">
        <v>0.36899999999999999</v>
      </c>
      <c r="Y242" s="1">
        <v>25.5</v>
      </c>
      <c r="Z242" s="1">
        <v>6.4000000000000001E-2</v>
      </c>
      <c r="AA242" s="1">
        <v>0.9</v>
      </c>
      <c r="AB242" s="1">
        <v>0.9</v>
      </c>
      <c r="AC242" s="1">
        <v>0.9</v>
      </c>
      <c r="AD242" s="1">
        <v>0.36899999999999999</v>
      </c>
      <c r="AE242" s="1">
        <v>6.4000000000000001E-2</v>
      </c>
      <c r="AF242" s="1">
        <v>2.4E-2</v>
      </c>
      <c r="AG242" s="1">
        <v>0.9</v>
      </c>
      <c r="AI242" s="1">
        <v>0</v>
      </c>
      <c r="AJ242" s="1">
        <v>0</v>
      </c>
      <c r="AK242" s="1">
        <v>0</v>
      </c>
      <c r="AL242" s="1">
        <v>1</v>
      </c>
      <c r="AM242" s="1">
        <v>86400</v>
      </c>
      <c r="AN242" s="1">
        <v>81555</v>
      </c>
      <c r="AO242" s="1">
        <v>4845</v>
      </c>
      <c r="AP242" s="1">
        <v>43414</v>
      </c>
      <c r="AQ242" s="1">
        <v>3.3747962790819219</v>
      </c>
    </row>
    <row r="243" spans="1:43" x14ac:dyDescent="0.45">
      <c r="A243" s="1">
        <v>242</v>
      </c>
      <c r="B243" s="1">
        <v>470</v>
      </c>
      <c r="C243" s="1">
        <v>97</v>
      </c>
      <c r="D243" s="1" t="s">
        <v>85</v>
      </c>
      <c r="E243" s="1" t="s">
        <v>86</v>
      </c>
      <c r="F243" s="1" t="s">
        <v>87</v>
      </c>
      <c r="G243" s="1" t="s">
        <v>46</v>
      </c>
      <c r="H243" s="1" t="s">
        <v>47</v>
      </c>
      <c r="I243" s="1">
        <v>1089</v>
      </c>
      <c r="J243" s="1">
        <v>26566</v>
      </c>
      <c r="K243" s="1">
        <v>1</v>
      </c>
      <c r="L243" s="1">
        <v>96</v>
      </c>
      <c r="M243" s="1">
        <v>1571</v>
      </c>
      <c r="N243" s="1" t="s">
        <v>48</v>
      </c>
      <c r="O243" s="1">
        <v>132942</v>
      </c>
      <c r="P243" s="1">
        <v>93</v>
      </c>
      <c r="Q243" s="1" t="s">
        <v>111</v>
      </c>
      <c r="R243" s="1" t="s">
        <v>50</v>
      </c>
      <c r="S243" s="1">
        <v>0</v>
      </c>
      <c r="T243" s="1">
        <v>0</v>
      </c>
      <c r="U243" s="1">
        <v>88.98</v>
      </c>
      <c r="V243" s="1">
        <v>25.22</v>
      </c>
      <c r="W243" s="1">
        <v>0.53</v>
      </c>
      <c r="X243" s="1">
        <v>0.159</v>
      </c>
      <c r="Y243" s="1">
        <v>25.38</v>
      </c>
      <c r="Z243" s="1">
        <v>0.246</v>
      </c>
      <c r="AA243" s="1">
        <v>-0.6</v>
      </c>
      <c r="AB243" s="1">
        <v>-0.6</v>
      </c>
      <c r="AC243" s="1">
        <v>-0.6</v>
      </c>
      <c r="AD243" s="1">
        <v>0.159</v>
      </c>
      <c r="AE243" s="1">
        <v>0.246</v>
      </c>
      <c r="AF243" s="1">
        <v>3.9E-2</v>
      </c>
      <c r="AG243" s="1">
        <v>-0.6</v>
      </c>
      <c r="AI243" s="1">
        <v>0</v>
      </c>
      <c r="AJ243" s="1">
        <v>0</v>
      </c>
      <c r="AK243" s="1">
        <v>0</v>
      </c>
      <c r="AL243" s="1">
        <v>1</v>
      </c>
      <c r="AM243" s="1">
        <v>86400</v>
      </c>
      <c r="AN243" s="1">
        <v>81584</v>
      </c>
      <c r="AO243" s="1">
        <v>4816</v>
      </c>
      <c r="AP243" s="1">
        <v>46892</v>
      </c>
      <c r="AQ243" s="1">
        <v>13.500253100054801</v>
      </c>
    </row>
    <row r="244" spans="1:43" x14ac:dyDescent="0.45">
      <c r="A244" s="1">
        <v>243</v>
      </c>
      <c r="B244" s="1">
        <v>477</v>
      </c>
      <c r="C244" s="1">
        <v>68</v>
      </c>
      <c r="D244" s="1" t="s">
        <v>107</v>
      </c>
      <c r="E244" s="1" t="s">
        <v>108</v>
      </c>
      <c r="F244" s="1" t="s">
        <v>109</v>
      </c>
      <c r="G244" s="1" t="s">
        <v>46</v>
      </c>
      <c r="H244" s="1" t="s">
        <v>47</v>
      </c>
      <c r="I244" s="1">
        <v>2102</v>
      </c>
      <c r="J244" s="1">
        <v>100258</v>
      </c>
      <c r="K244" s="1">
        <v>1</v>
      </c>
      <c r="L244" s="1">
        <v>67</v>
      </c>
      <c r="M244" s="1">
        <v>1570</v>
      </c>
      <c r="N244" s="1" t="s">
        <v>48</v>
      </c>
      <c r="O244" s="1">
        <v>131335</v>
      </c>
      <c r="P244" s="1">
        <v>93</v>
      </c>
      <c r="Q244" s="1" t="s">
        <v>111</v>
      </c>
      <c r="R244" s="1" t="s">
        <v>50</v>
      </c>
      <c r="S244" s="1">
        <v>0</v>
      </c>
      <c r="T244" s="1">
        <v>0</v>
      </c>
      <c r="U244" s="1">
        <v>322.94299999999998</v>
      </c>
      <c r="V244" s="1">
        <v>50</v>
      </c>
      <c r="W244" s="1">
        <v>0.52</v>
      </c>
      <c r="X244" s="1">
        <v>0.14599999999999999</v>
      </c>
      <c r="Y244" s="1">
        <v>50.146000000000001</v>
      </c>
      <c r="Z244" s="1">
        <v>0.156</v>
      </c>
      <c r="AA244" s="1">
        <v>2.1</v>
      </c>
      <c r="AB244" s="1">
        <v>2.1</v>
      </c>
      <c r="AC244" s="1">
        <v>2.1</v>
      </c>
      <c r="AD244" s="1">
        <v>0.14599999999999999</v>
      </c>
      <c r="AE244" s="1">
        <v>0.04</v>
      </c>
      <c r="AF244" s="1">
        <v>6.0000000000000001E-3</v>
      </c>
      <c r="AI244" s="1">
        <v>0</v>
      </c>
      <c r="AJ244" s="1">
        <v>0</v>
      </c>
      <c r="AK244" s="1">
        <v>0</v>
      </c>
      <c r="AL244" s="1">
        <v>1</v>
      </c>
      <c r="AM244" s="1">
        <v>67967</v>
      </c>
      <c r="AN244" s="1">
        <v>21684</v>
      </c>
      <c r="AO244" s="1">
        <v>46283</v>
      </c>
      <c r="AP244" s="1">
        <v>49953</v>
      </c>
      <c r="AQ244" s="1">
        <v>29.48440096530631</v>
      </c>
    </row>
    <row r="245" spans="1:43" x14ac:dyDescent="0.45">
      <c r="A245" s="1">
        <v>244</v>
      </c>
      <c r="B245" s="1">
        <v>494</v>
      </c>
      <c r="C245" s="1">
        <v>67</v>
      </c>
      <c r="D245" s="1" t="s">
        <v>92</v>
      </c>
      <c r="E245" s="1" t="s">
        <v>93</v>
      </c>
      <c r="F245" s="1" t="s">
        <v>94</v>
      </c>
      <c r="G245" s="1" t="s">
        <v>46</v>
      </c>
      <c r="H245" s="1" t="s">
        <v>47</v>
      </c>
      <c r="I245" s="1">
        <v>1579</v>
      </c>
      <c r="J245" s="1">
        <v>67764</v>
      </c>
      <c r="K245" s="1">
        <v>1</v>
      </c>
      <c r="L245" s="1">
        <v>66</v>
      </c>
      <c r="M245" s="1">
        <v>1566</v>
      </c>
      <c r="N245" s="1" t="s">
        <v>48</v>
      </c>
      <c r="O245" s="1">
        <v>131020</v>
      </c>
      <c r="P245" s="1">
        <v>93</v>
      </c>
      <c r="Q245" s="1" t="s">
        <v>111</v>
      </c>
      <c r="R245" s="1" t="s">
        <v>50</v>
      </c>
      <c r="S245" s="1">
        <v>0</v>
      </c>
      <c r="T245" s="1">
        <v>0</v>
      </c>
      <c r="U245" s="1">
        <v>94.191999999999993</v>
      </c>
      <c r="V245" s="1">
        <v>25.324000000000002</v>
      </c>
      <c r="W245" s="1">
        <v>1.1399999999999999</v>
      </c>
      <c r="X245" s="1">
        <v>0.88600000000000001</v>
      </c>
      <c r="Y245" s="1">
        <v>26.21</v>
      </c>
      <c r="Z245" s="1">
        <v>7.8E-2</v>
      </c>
      <c r="AA245" s="1">
        <v>0.9</v>
      </c>
      <c r="AB245" s="1">
        <v>0.9</v>
      </c>
      <c r="AC245" s="1">
        <v>0.9</v>
      </c>
      <c r="AD245" s="1">
        <v>0.88600000000000001</v>
      </c>
      <c r="AE245" s="1">
        <v>7.8E-2</v>
      </c>
      <c r="AF245" s="1">
        <v>6.9000000000000006E-2</v>
      </c>
      <c r="AG245" s="1">
        <v>0.9</v>
      </c>
      <c r="AI245" s="1">
        <v>0</v>
      </c>
      <c r="AJ245" s="1">
        <v>0</v>
      </c>
      <c r="AK245" s="1">
        <v>0</v>
      </c>
      <c r="AL245" s="1">
        <v>1</v>
      </c>
      <c r="AM245" s="1">
        <v>86400</v>
      </c>
      <c r="AN245" s="1">
        <v>81495</v>
      </c>
      <c r="AO245" s="1">
        <v>4905</v>
      </c>
      <c r="AP245" s="1">
        <v>46829</v>
      </c>
      <c r="AQ245" s="1">
        <v>22.945877289242109</v>
      </c>
    </row>
    <row r="246" spans="1:43" x14ac:dyDescent="0.45">
      <c r="A246" s="1">
        <v>245</v>
      </c>
      <c r="B246" s="1">
        <v>494</v>
      </c>
      <c r="C246" s="1">
        <v>67</v>
      </c>
      <c r="D246" s="1" t="s">
        <v>92</v>
      </c>
      <c r="E246" s="1" t="s">
        <v>93</v>
      </c>
      <c r="F246" s="1" t="s">
        <v>94</v>
      </c>
      <c r="G246" s="1" t="s">
        <v>46</v>
      </c>
      <c r="H246" s="1" t="s">
        <v>47</v>
      </c>
      <c r="I246" s="1">
        <v>1579</v>
      </c>
      <c r="J246" s="1">
        <v>67764</v>
      </c>
      <c r="K246" s="1">
        <v>1</v>
      </c>
      <c r="L246" s="1">
        <v>66</v>
      </c>
      <c r="M246" s="1">
        <v>1567</v>
      </c>
      <c r="N246" s="1" t="s">
        <v>48</v>
      </c>
      <c r="O246" s="1">
        <v>131021</v>
      </c>
      <c r="P246" s="1">
        <v>93</v>
      </c>
      <c r="Q246" s="1" t="s">
        <v>111</v>
      </c>
      <c r="R246" s="1" t="s">
        <v>50</v>
      </c>
      <c r="S246" s="1">
        <v>0</v>
      </c>
      <c r="T246" s="1">
        <v>0</v>
      </c>
      <c r="U246" s="1">
        <v>89.78</v>
      </c>
      <c r="V246" s="1">
        <v>25.841999999999999</v>
      </c>
      <c r="W246" s="1">
        <v>0.56000000000000005</v>
      </c>
      <c r="X246" s="1">
        <v>0.36899999999999999</v>
      </c>
      <c r="Y246" s="1">
        <v>26.210999999999999</v>
      </c>
      <c r="Z246" s="1">
        <v>5.1999999999999998E-2</v>
      </c>
      <c r="AA246" s="1">
        <v>-2.8</v>
      </c>
      <c r="AB246" s="1">
        <v>-3</v>
      </c>
      <c r="AC246" s="1">
        <v>-3</v>
      </c>
      <c r="AD246" s="1">
        <v>0.36899999999999999</v>
      </c>
      <c r="AE246" s="1">
        <v>4.3999999999999997E-2</v>
      </c>
      <c r="AF246" s="1">
        <v>1.7999999999999999E-2</v>
      </c>
      <c r="AG246" s="1">
        <v>-2.8</v>
      </c>
      <c r="AI246" s="1">
        <v>0</v>
      </c>
      <c r="AJ246" s="1">
        <v>0</v>
      </c>
      <c r="AK246" s="1">
        <v>0</v>
      </c>
      <c r="AL246" s="1">
        <v>1</v>
      </c>
      <c r="AM246" s="1">
        <v>86400</v>
      </c>
      <c r="AN246" s="1">
        <v>74143</v>
      </c>
      <c r="AO246" s="1">
        <v>12257</v>
      </c>
      <c r="AP246" s="1">
        <v>43605</v>
      </c>
      <c r="AQ246" s="1">
        <v>6.4043930915015341</v>
      </c>
    </row>
    <row r="247" spans="1:43" x14ac:dyDescent="0.45">
      <c r="A247" s="1">
        <v>246</v>
      </c>
      <c r="B247" s="1">
        <v>494</v>
      </c>
      <c r="C247" s="1">
        <v>67</v>
      </c>
      <c r="D247" s="1" t="s">
        <v>92</v>
      </c>
      <c r="E247" s="1" t="s">
        <v>93</v>
      </c>
      <c r="F247" s="1" t="s">
        <v>94</v>
      </c>
      <c r="G247" s="1" t="s">
        <v>46</v>
      </c>
      <c r="H247" s="1" t="s">
        <v>47</v>
      </c>
      <c r="I247" s="1">
        <v>1579</v>
      </c>
      <c r="J247" s="1">
        <v>67764</v>
      </c>
      <c r="K247" s="1">
        <v>1</v>
      </c>
      <c r="L247" s="1">
        <v>66</v>
      </c>
      <c r="M247" s="1">
        <v>1568</v>
      </c>
      <c r="N247" s="1" t="s">
        <v>48</v>
      </c>
      <c r="O247" s="1">
        <v>131025</v>
      </c>
      <c r="P247" s="1">
        <v>93</v>
      </c>
      <c r="Q247" s="1" t="s">
        <v>111</v>
      </c>
      <c r="R247" s="1" t="s">
        <v>50</v>
      </c>
      <c r="S247" s="1">
        <v>0</v>
      </c>
      <c r="T247" s="1">
        <v>0</v>
      </c>
      <c r="U247" s="1">
        <v>51.036999999999999</v>
      </c>
      <c r="V247" s="1">
        <v>25.751999999999999</v>
      </c>
      <c r="W247" s="1">
        <v>0.57999999999999996</v>
      </c>
      <c r="X247" s="1">
        <v>0.45800000000000002</v>
      </c>
      <c r="Y247" s="1">
        <v>26.21</v>
      </c>
      <c r="Z247" s="1">
        <v>0.23599999999999999</v>
      </c>
      <c r="AA247" s="1">
        <v>-1.6</v>
      </c>
      <c r="AB247" s="1">
        <v>-1.6</v>
      </c>
      <c r="AC247" s="1">
        <v>-1.6</v>
      </c>
      <c r="AD247" s="1">
        <v>0.45800000000000002</v>
      </c>
      <c r="AE247" s="1">
        <v>0.23499999999999999</v>
      </c>
      <c r="AF247" s="1">
        <v>0.108</v>
      </c>
      <c r="AG247" s="1">
        <v>-1.6</v>
      </c>
      <c r="AI247" s="1">
        <v>0</v>
      </c>
      <c r="AJ247" s="1">
        <v>0</v>
      </c>
      <c r="AK247" s="1">
        <v>0</v>
      </c>
      <c r="AL247" s="1">
        <v>1</v>
      </c>
      <c r="AM247" s="1">
        <v>86400</v>
      </c>
      <c r="AN247" s="1">
        <v>75619</v>
      </c>
      <c r="AO247" s="1">
        <v>10781</v>
      </c>
      <c r="AP247" s="1">
        <v>47785</v>
      </c>
      <c r="AQ247" s="1">
        <v>12.58488408496922</v>
      </c>
    </row>
  </sheetData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7A707-EBE0-466A-A547-BF1A6F8899EB}">
  <sheetPr codeName="Sheet6"/>
  <dimension ref="A1:AQ247"/>
  <sheetViews>
    <sheetView workbookViewId="0"/>
  </sheetViews>
  <sheetFormatPr defaultColWidth="9.1328125" defaultRowHeight="14.25" customHeight="1" x14ac:dyDescent="0.45"/>
  <cols>
    <col min="1" max="1" width="9.1328125" style="1" customWidth="1"/>
    <col min="2" max="16384" width="9.1328125" style="1"/>
  </cols>
  <sheetData>
    <row r="1" spans="1:43" ht="16.149999999999999" thickBot="1" x14ac:dyDescent="0.5500000000000000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110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</row>
    <row r="2" spans="1:43" x14ac:dyDescent="0.45">
      <c r="A2" s="1">
        <v>1</v>
      </c>
      <c r="B2" s="1">
        <v>1</v>
      </c>
      <c r="C2" s="1">
        <v>90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  <c r="I2" s="1">
        <v>535</v>
      </c>
      <c r="J2" s="1">
        <v>12723</v>
      </c>
      <c r="K2" s="1">
        <v>1</v>
      </c>
      <c r="L2" s="1">
        <v>89</v>
      </c>
      <c r="M2" s="1">
        <v>1511</v>
      </c>
      <c r="N2" s="1" t="s">
        <v>48</v>
      </c>
      <c r="O2" s="1">
        <v>20364</v>
      </c>
      <c r="P2" s="1">
        <v>93</v>
      </c>
      <c r="Q2" s="1" t="s">
        <v>111</v>
      </c>
      <c r="R2" s="1" t="s">
        <v>50</v>
      </c>
      <c r="S2" s="1">
        <v>0</v>
      </c>
      <c r="T2" s="1">
        <v>0</v>
      </c>
      <c r="U2" s="1">
        <v>205.73699999999999</v>
      </c>
      <c r="V2" s="1">
        <v>24.99</v>
      </c>
      <c r="W2" s="1">
        <v>0.52</v>
      </c>
      <c r="X2" s="1">
        <v>0.14499999999999999</v>
      </c>
      <c r="Y2" s="1">
        <v>25.135000000000002</v>
      </c>
      <c r="Z2" s="1">
        <v>6.8000000000000005E-2</v>
      </c>
      <c r="AA2" s="1">
        <v>-2.7</v>
      </c>
      <c r="AB2" s="1">
        <v>-2.7</v>
      </c>
      <c r="AC2" s="1">
        <v>-2.7</v>
      </c>
      <c r="AD2" s="1">
        <v>0.14499999999999999</v>
      </c>
      <c r="AE2" s="1">
        <v>6.8000000000000005E-2</v>
      </c>
      <c r="AF2" s="1">
        <v>0.01</v>
      </c>
      <c r="AG2" s="1">
        <v>-2.7</v>
      </c>
      <c r="AI2" s="1">
        <v>0</v>
      </c>
      <c r="AJ2" s="1">
        <v>0</v>
      </c>
      <c r="AK2" s="1">
        <v>0</v>
      </c>
      <c r="AL2" s="1">
        <v>1</v>
      </c>
      <c r="AM2" s="1">
        <v>86400</v>
      </c>
      <c r="AN2" s="1">
        <v>76925</v>
      </c>
      <c r="AO2" s="1">
        <v>9475</v>
      </c>
      <c r="AP2" s="1">
        <v>43413</v>
      </c>
      <c r="AQ2" s="1">
        <v>1.6932807555292719</v>
      </c>
    </row>
    <row r="3" spans="1:43" x14ac:dyDescent="0.45">
      <c r="A3" s="1">
        <v>2</v>
      </c>
      <c r="B3" s="1">
        <v>1</v>
      </c>
      <c r="C3" s="1">
        <v>90</v>
      </c>
      <c r="D3" s="1" t="s">
        <v>43</v>
      </c>
      <c r="E3" s="1" t="s">
        <v>44</v>
      </c>
      <c r="F3" s="1" t="s">
        <v>45</v>
      </c>
      <c r="G3" s="1" t="s">
        <v>46</v>
      </c>
      <c r="H3" s="1" t="s">
        <v>47</v>
      </c>
      <c r="I3" s="1">
        <v>535</v>
      </c>
      <c r="J3" s="1">
        <v>12723</v>
      </c>
      <c r="K3" s="1">
        <v>1</v>
      </c>
      <c r="L3" s="1">
        <v>89</v>
      </c>
      <c r="M3" s="1">
        <v>1512</v>
      </c>
      <c r="N3" s="1" t="s">
        <v>48</v>
      </c>
      <c r="O3" s="1">
        <v>20405</v>
      </c>
      <c r="P3" s="1">
        <v>93</v>
      </c>
      <c r="Q3" s="1" t="s">
        <v>111</v>
      </c>
      <c r="R3" s="1" t="s">
        <v>50</v>
      </c>
      <c r="S3" s="1">
        <v>0</v>
      </c>
      <c r="T3" s="1">
        <v>0</v>
      </c>
      <c r="U3" s="1">
        <v>63.332999999999998</v>
      </c>
      <c r="V3" s="1">
        <v>24.972999999999999</v>
      </c>
      <c r="W3" s="1">
        <v>0.53</v>
      </c>
      <c r="X3" s="1">
        <v>0.16200000000000001</v>
      </c>
      <c r="Y3" s="1">
        <v>25.135000000000002</v>
      </c>
      <c r="Z3" s="1">
        <v>6.3E-2</v>
      </c>
      <c r="AA3" s="1">
        <v>-3</v>
      </c>
      <c r="AB3" s="1">
        <v>-3</v>
      </c>
      <c r="AC3" s="1">
        <v>-3</v>
      </c>
      <c r="AD3" s="1">
        <v>0.16200000000000001</v>
      </c>
      <c r="AE3" s="1">
        <v>6.3E-2</v>
      </c>
      <c r="AF3" s="1">
        <v>0.01</v>
      </c>
      <c r="AG3" s="1">
        <v>-3</v>
      </c>
      <c r="AI3" s="1">
        <v>0</v>
      </c>
      <c r="AJ3" s="1">
        <v>0</v>
      </c>
      <c r="AK3" s="1">
        <v>0</v>
      </c>
      <c r="AL3" s="1">
        <v>1</v>
      </c>
      <c r="AM3" s="1">
        <v>86400</v>
      </c>
      <c r="AN3" s="1">
        <v>77801</v>
      </c>
      <c r="AO3" s="1">
        <v>8599</v>
      </c>
      <c r="AP3" s="1">
        <v>43383</v>
      </c>
      <c r="AQ3" s="1">
        <v>4.7032532732046244</v>
      </c>
    </row>
    <row r="4" spans="1:43" x14ac:dyDescent="0.45">
      <c r="A4" s="1">
        <v>3</v>
      </c>
      <c r="B4" s="1">
        <v>1</v>
      </c>
      <c r="C4" s="1">
        <v>90</v>
      </c>
      <c r="D4" s="1" t="s">
        <v>43</v>
      </c>
      <c r="E4" s="1" t="s">
        <v>44</v>
      </c>
      <c r="F4" s="1" t="s">
        <v>45</v>
      </c>
      <c r="G4" s="1" t="s">
        <v>46</v>
      </c>
      <c r="H4" s="1" t="s">
        <v>47</v>
      </c>
      <c r="I4" s="1">
        <v>535</v>
      </c>
      <c r="J4" s="1">
        <v>12723</v>
      </c>
      <c r="K4" s="1">
        <v>1</v>
      </c>
      <c r="L4" s="1">
        <v>89</v>
      </c>
      <c r="M4" s="1">
        <v>1513</v>
      </c>
      <c r="N4" s="1" t="s">
        <v>48</v>
      </c>
      <c r="O4" s="1">
        <v>20406</v>
      </c>
      <c r="P4" s="1">
        <v>93</v>
      </c>
      <c r="Q4" s="1" t="s">
        <v>111</v>
      </c>
      <c r="R4" s="1" t="s">
        <v>50</v>
      </c>
      <c r="S4" s="1">
        <v>0</v>
      </c>
      <c r="T4" s="1">
        <v>0</v>
      </c>
      <c r="U4" s="1">
        <v>69.885999999999996</v>
      </c>
      <c r="V4" s="1">
        <v>24.724</v>
      </c>
      <c r="W4" s="1">
        <v>0.56999999999999995</v>
      </c>
      <c r="X4" s="1">
        <v>0.41099999999999998</v>
      </c>
      <c r="Y4" s="1">
        <v>25.135000000000002</v>
      </c>
      <c r="Z4" s="1">
        <v>7.2999999999999995E-2</v>
      </c>
      <c r="AA4" s="1">
        <v>-2.7</v>
      </c>
      <c r="AB4" s="1">
        <v>-2.7</v>
      </c>
      <c r="AC4" s="1">
        <v>-2.7</v>
      </c>
      <c r="AD4" s="1">
        <v>0.41099999999999998</v>
      </c>
      <c r="AE4" s="1">
        <v>7.2999999999999995E-2</v>
      </c>
      <c r="AF4" s="1">
        <v>0.03</v>
      </c>
      <c r="AG4" s="1">
        <v>-2.7</v>
      </c>
      <c r="AI4" s="1">
        <v>0</v>
      </c>
      <c r="AJ4" s="1">
        <v>0</v>
      </c>
      <c r="AK4" s="1">
        <v>0</v>
      </c>
      <c r="AL4" s="1">
        <v>1</v>
      </c>
      <c r="AM4" s="1">
        <v>86400</v>
      </c>
      <c r="AN4" s="1">
        <v>81564</v>
      </c>
      <c r="AO4" s="1">
        <v>4836</v>
      </c>
      <c r="AP4" s="1">
        <v>43401</v>
      </c>
      <c r="AQ4" s="1">
        <v>14.25374788192698</v>
      </c>
    </row>
    <row r="5" spans="1:43" x14ac:dyDescent="0.45">
      <c r="A5" s="1">
        <v>4</v>
      </c>
      <c r="B5" s="1">
        <v>1</v>
      </c>
      <c r="C5" s="1">
        <v>90</v>
      </c>
      <c r="D5" s="1" t="s">
        <v>43</v>
      </c>
      <c r="E5" s="1" t="s">
        <v>44</v>
      </c>
      <c r="F5" s="1" t="s">
        <v>45</v>
      </c>
      <c r="G5" s="1" t="s">
        <v>46</v>
      </c>
      <c r="H5" s="1" t="s">
        <v>47</v>
      </c>
      <c r="I5" s="1">
        <v>535</v>
      </c>
      <c r="J5" s="1">
        <v>12723</v>
      </c>
      <c r="K5" s="1">
        <v>1</v>
      </c>
      <c r="L5" s="1">
        <v>89</v>
      </c>
      <c r="M5" s="1">
        <v>1514</v>
      </c>
      <c r="N5" s="1" t="s">
        <v>48</v>
      </c>
      <c r="O5" s="1">
        <v>20409</v>
      </c>
      <c r="P5" s="1">
        <v>93</v>
      </c>
      <c r="Q5" s="1" t="s">
        <v>111</v>
      </c>
      <c r="R5" s="1" t="s">
        <v>50</v>
      </c>
      <c r="S5" s="1">
        <v>0</v>
      </c>
      <c r="T5" s="1">
        <v>0</v>
      </c>
      <c r="U5" s="1">
        <v>197.97900000000001</v>
      </c>
      <c r="V5" s="1">
        <v>24.911999999999999</v>
      </c>
      <c r="W5" s="1">
        <v>0.54</v>
      </c>
      <c r="X5" s="1">
        <v>0.224</v>
      </c>
      <c r="Y5" s="1">
        <v>25.135999999999999</v>
      </c>
      <c r="Z5" s="1">
        <v>0.21299999999999999</v>
      </c>
      <c r="AA5" s="1">
        <v>-2.2999999999999998</v>
      </c>
      <c r="AB5" s="1">
        <v>-2.2999999999999998</v>
      </c>
      <c r="AC5" s="1">
        <v>-2.2999999999999998</v>
      </c>
      <c r="AD5" s="1">
        <v>0.224</v>
      </c>
      <c r="AE5" s="1">
        <v>0.21299999999999999</v>
      </c>
      <c r="AF5" s="1">
        <v>4.8000000000000001E-2</v>
      </c>
      <c r="AG5" s="1">
        <v>-2.2999999999999998</v>
      </c>
      <c r="AI5" s="1">
        <v>0</v>
      </c>
      <c r="AJ5" s="1">
        <v>0</v>
      </c>
      <c r="AK5" s="1">
        <v>0</v>
      </c>
      <c r="AL5" s="1">
        <v>1</v>
      </c>
      <c r="AM5" s="1">
        <v>86400</v>
      </c>
      <c r="AN5" s="1">
        <v>80824</v>
      </c>
      <c r="AO5" s="1">
        <v>5576</v>
      </c>
      <c r="AP5" s="1">
        <v>43401</v>
      </c>
      <c r="AQ5" s="1">
        <v>15.34256373566652</v>
      </c>
    </row>
    <row r="6" spans="1:43" x14ac:dyDescent="0.45">
      <c r="A6" s="1">
        <v>5</v>
      </c>
      <c r="B6" s="1">
        <v>1</v>
      </c>
      <c r="C6" s="1">
        <v>90</v>
      </c>
      <c r="D6" s="1" t="s">
        <v>43</v>
      </c>
      <c r="E6" s="1" t="s">
        <v>44</v>
      </c>
      <c r="F6" s="1" t="s">
        <v>45</v>
      </c>
      <c r="G6" s="1" t="s">
        <v>46</v>
      </c>
      <c r="H6" s="1" t="s">
        <v>47</v>
      </c>
      <c r="I6" s="1">
        <v>535</v>
      </c>
      <c r="J6" s="1">
        <v>12723</v>
      </c>
      <c r="K6" s="1">
        <v>1</v>
      </c>
      <c r="L6" s="1">
        <v>89</v>
      </c>
      <c r="M6" s="1">
        <v>1515</v>
      </c>
      <c r="N6" s="1" t="s">
        <v>48</v>
      </c>
      <c r="O6" s="1">
        <v>20411</v>
      </c>
      <c r="P6" s="1">
        <v>93</v>
      </c>
      <c r="Q6" s="1" t="s">
        <v>111</v>
      </c>
      <c r="R6" s="1" t="s">
        <v>50</v>
      </c>
      <c r="S6" s="1">
        <v>0</v>
      </c>
      <c r="T6" s="1">
        <v>0</v>
      </c>
      <c r="U6" s="1">
        <v>128.02099999999999</v>
      </c>
      <c r="V6" s="1">
        <v>24.83</v>
      </c>
      <c r="W6" s="1">
        <v>0.55000000000000004</v>
      </c>
      <c r="X6" s="1">
        <v>0.30199999999999999</v>
      </c>
      <c r="Y6" s="1">
        <v>25.132000000000001</v>
      </c>
      <c r="Z6" s="1">
        <v>0.188</v>
      </c>
      <c r="AA6" s="1">
        <v>-1.4</v>
      </c>
      <c r="AB6" s="1">
        <v>-1.4</v>
      </c>
      <c r="AC6" s="1">
        <v>-1.4</v>
      </c>
      <c r="AD6" s="1">
        <v>0.30199999999999999</v>
      </c>
      <c r="AE6" s="1">
        <v>0.188</v>
      </c>
      <c r="AF6" s="1">
        <v>5.7000000000000002E-2</v>
      </c>
      <c r="AG6" s="1">
        <v>-1.4</v>
      </c>
      <c r="AI6" s="1">
        <v>0</v>
      </c>
      <c r="AJ6" s="1">
        <v>0</v>
      </c>
      <c r="AK6" s="1">
        <v>0</v>
      </c>
      <c r="AL6" s="1">
        <v>1</v>
      </c>
      <c r="AM6" s="1">
        <v>86400</v>
      </c>
      <c r="AN6" s="1">
        <v>81068</v>
      </c>
      <c r="AO6" s="1">
        <v>5332</v>
      </c>
      <c r="AP6" s="1">
        <v>43422</v>
      </c>
      <c r="AQ6" s="1">
        <v>28.711608171234531</v>
      </c>
    </row>
    <row r="7" spans="1:43" x14ac:dyDescent="0.45">
      <c r="A7" s="1">
        <v>6</v>
      </c>
      <c r="B7" s="1">
        <v>26</v>
      </c>
      <c r="C7" s="1">
        <v>126</v>
      </c>
      <c r="D7" s="1" t="s">
        <v>51</v>
      </c>
      <c r="E7" s="1" t="s">
        <v>52</v>
      </c>
      <c r="F7" s="1" t="s">
        <v>53</v>
      </c>
      <c r="G7" s="1" t="s">
        <v>54</v>
      </c>
      <c r="H7" s="1" t="s">
        <v>47</v>
      </c>
      <c r="I7" s="1">
        <v>1113</v>
      </c>
      <c r="J7" s="1">
        <v>60690</v>
      </c>
      <c r="K7" s="1">
        <v>1</v>
      </c>
      <c r="L7" s="1">
        <v>125</v>
      </c>
      <c r="M7" s="1">
        <v>728</v>
      </c>
      <c r="N7" s="1" t="s">
        <v>48</v>
      </c>
      <c r="O7" s="1">
        <v>13852</v>
      </c>
      <c r="P7" s="1">
        <v>93</v>
      </c>
      <c r="Q7" s="1" t="s">
        <v>111</v>
      </c>
      <c r="R7" s="1" t="s">
        <v>50</v>
      </c>
      <c r="S7" s="1">
        <v>0</v>
      </c>
      <c r="T7" s="1">
        <v>0</v>
      </c>
      <c r="U7" s="1">
        <v>170.934</v>
      </c>
      <c r="V7" s="1">
        <v>24.483000000000001</v>
      </c>
      <c r="W7" s="1">
        <v>0.52</v>
      </c>
      <c r="X7" s="1">
        <v>0.10100000000000001</v>
      </c>
      <c r="Y7" s="1">
        <v>24.584</v>
      </c>
      <c r="Z7" s="1">
        <v>0.43099999999999999</v>
      </c>
      <c r="AA7" s="1">
        <v>0.1</v>
      </c>
      <c r="AB7" s="1">
        <v>0</v>
      </c>
      <c r="AC7" s="1">
        <v>0</v>
      </c>
      <c r="AD7" s="1">
        <v>0.10100000000000001</v>
      </c>
      <c r="AE7" s="1">
        <v>0.40500000000000003</v>
      </c>
      <c r="AF7" s="1">
        <v>4.1000000000000002E-2</v>
      </c>
      <c r="AG7" s="1">
        <v>0.1</v>
      </c>
      <c r="AI7" s="1">
        <v>0</v>
      </c>
      <c r="AJ7" s="1">
        <v>0</v>
      </c>
      <c r="AK7" s="1">
        <v>0</v>
      </c>
      <c r="AL7" s="1">
        <v>1</v>
      </c>
      <c r="AM7" s="1">
        <v>50787</v>
      </c>
      <c r="AN7" s="1">
        <v>7454</v>
      </c>
      <c r="AO7" s="1">
        <v>43333</v>
      </c>
      <c r="AP7" s="1">
        <v>48897</v>
      </c>
      <c r="AQ7" s="1">
        <v>1.0166460238070201</v>
      </c>
    </row>
    <row r="8" spans="1:43" x14ac:dyDescent="0.45">
      <c r="A8" s="1">
        <v>7</v>
      </c>
      <c r="B8" s="1">
        <v>26</v>
      </c>
      <c r="C8" s="1">
        <v>126</v>
      </c>
      <c r="D8" s="1" t="s">
        <v>51</v>
      </c>
      <c r="E8" s="1" t="s">
        <v>52</v>
      </c>
      <c r="F8" s="1" t="s">
        <v>53</v>
      </c>
      <c r="G8" s="1" t="s">
        <v>54</v>
      </c>
      <c r="H8" s="1" t="s">
        <v>47</v>
      </c>
      <c r="I8" s="1">
        <v>1113</v>
      </c>
      <c r="J8" s="1">
        <v>60690</v>
      </c>
      <c r="K8" s="1">
        <v>1</v>
      </c>
      <c r="L8" s="1">
        <v>125</v>
      </c>
      <c r="M8" s="1">
        <v>744</v>
      </c>
      <c r="N8" s="1" t="s">
        <v>48</v>
      </c>
      <c r="O8" s="1">
        <v>13931</v>
      </c>
      <c r="P8" s="1">
        <v>93</v>
      </c>
      <c r="Q8" s="1" t="s">
        <v>111</v>
      </c>
      <c r="R8" s="1" t="s">
        <v>50</v>
      </c>
      <c r="S8" s="1">
        <v>0</v>
      </c>
      <c r="T8" s="1">
        <v>0</v>
      </c>
      <c r="U8" s="1">
        <v>114.378</v>
      </c>
      <c r="V8" s="1">
        <v>26.774000000000001</v>
      </c>
      <c r="W8" s="1">
        <v>0.64</v>
      </c>
      <c r="X8" s="1">
        <v>0.57799999999999996</v>
      </c>
      <c r="Y8" s="1">
        <v>27.352</v>
      </c>
      <c r="Z8" s="1">
        <v>0.89200000000000002</v>
      </c>
      <c r="AA8" s="1">
        <v>0.9</v>
      </c>
      <c r="AB8" s="1">
        <v>0.9</v>
      </c>
      <c r="AC8" s="1">
        <v>0.9</v>
      </c>
      <c r="AD8" s="1">
        <v>0.57799999999999996</v>
      </c>
      <c r="AE8" s="1">
        <v>0.89100000000000001</v>
      </c>
      <c r="AF8" s="1">
        <v>0.51500000000000001</v>
      </c>
      <c r="AG8" s="1">
        <v>0.9</v>
      </c>
      <c r="AI8" s="1">
        <v>0</v>
      </c>
      <c r="AJ8" s="1">
        <v>0</v>
      </c>
      <c r="AK8" s="1">
        <v>0</v>
      </c>
      <c r="AL8" s="1">
        <v>1</v>
      </c>
      <c r="AM8" s="1">
        <v>86400</v>
      </c>
      <c r="AN8" s="1">
        <v>81448</v>
      </c>
      <c r="AO8" s="1">
        <v>4952</v>
      </c>
      <c r="AP8" s="1">
        <v>46832</v>
      </c>
      <c r="AQ8" s="1">
        <v>14.726650808541009</v>
      </c>
    </row>
    <row r="9" spans="1:43" x14ac:dyDescent="0.45">
      <c r="A9" s="1">
        <v>8</v>
      </c>
      <c r="B9" s="1">
        <v>26</v>
      </c>
      <c r="C9" s="1">
        <v>126</v>
      </c>
      <c r="D9" s="1" t="s">
        <v>51</v>
      </c>
      <c r="E9" s="1" t="s">
        <v>52</v>
      </c>
      <c r="F9" s="1" t="s">
        <v>53</v>
      </c>
      <c r="G9" s="1" t="s">
        <v>54</v>
      </c>
      <c r="H9" s="1" t="s">
        <v>47</v>
      </c>
      <c r="I9" s="1">
        <v>1113</v>
      </c>
      <c r="J9" s="1">
        <v>60690</v>
      </c>
      <c r="K9" s="1">
        <v>1</v>
      </c>
      <c r="L9" s="1">
        <v>125</v>
      </c>
      <c r="M9" s="1">
        <v>745</v>
      </c>
      <c r="N9" s="1" t="s">
        <v>48</v>
      </c>
      <c r="O9" s="1">
        <v>13937</v>
      </c>
      <c r="P9" s="1">
        <v>93</v>
      </c>
      <c r="Q9" s="1" t="s">
        <v>111</v>
      </c>
      <c r="R9" s="1" t="s">
        <v>50</v>
      </c>
      <c r="S9" s="1">
        <v>0</v>
      </c>
      <c r="T9" s="1">
        <v>0</v>
      </c>
      <c r="U9" s="1">
        <v>96.623000000000005</v>
      </c>
      <c r="V9" s="1">
        <v>25.923999999999999</v>
      </c>
      <c r="W9" s="1">
        <v>1.25</v>
      </c>
      <c r="X9" s="1">
        <v>1.0109999999999999</v>
      </c>
      <c r="Y9" s="1">
        <v>26.934000000000001</v>
      </c>
      <c r="Z9" s="1">
        <v>1.028</v>
      </c>
      <c r="AA9" s="1">
        <v>0.5</v>
      </c>
      <c r="AB9" s="1">
        <v>0.5</v>
      </c>
      <c r="AC9" s="1">
        <v>0.5</v>
      </c>
      <c r="AD9" s="1">
        <v>1.0109999999999999</v>
      </c>
      <c r="AE9" s="1">
        <v>1.0269999999999999</v>
      </c>
      <c r="AF9" s="1">
        <v>1.0389999999999999</v>
      </c>
      <c r="AG9" s="1">
        <v>0.5</v>
      </c>
      <c r="AI9" s="1">
        <v>0</v>
      </c>
      <c r="AJ9" s="1">
        <v>0</v>
      </c>
      <c r="AK9" s="1">
        <v>0</v>
      </c>
      <c r="AL9" s="1">
        <v>1</v>
      </c>
      <c r="AM9" s="1">
        <v>86400</v>
      </c>
      <c r="AN9" s="1">
        <v>81571</v>
      </c>
      <c r="AO9" s="1">
        <v>4829</v>
      </c>
      <c r="AP9" s="1">
        <v>46868</v>
      </c>
      <c r="AQ9" s="1">
        <v>13.826346560234111</v>
      </c>
    </row>
    <row r="10" spans="1:43" x14ac:dyDescent="0.45">
      <c r="A10" s="1">
        <v>9</v>
      </c>
      <c r="B10" s="1">
        <v>26</v>
      </c>
      <c r="C10" s="1">
        <v>126</v>
      </c>
      <c r="D10" s="1" t="s">
        <v>51</v>
      </c>
      <c r="E10" s="1" t="s">
        <v>52</v>
      </c>
      <c r="F10" s="1" t="s">
        <v>53</v>
      </c>
      <c r="G10" s="1" t="s">
        <v>54</v>
      </c>
      <c r="H10" s="1" t="s">
        <v>47</v>
      </c>
      <c r="I10" s="1">
        <v>1113</v>
      </c>
      <c r="J10" s="1">
        <v>60690</v>
      </c>
      <c r="K10" s="1">
        <v>1</v>
      </c>
      <c r="L10" s="1">
        <v>125</v>
      </c>
      <c r="M10" s="1">
        <v>746</v>
      </c>
      <c r="N10" s="1" t="s">
        <v>48</v>
      </c>
      <c r="O10" s="1">
        <v>13939</v>
      </c>
      <c r="P10" s="1">
        <v>93</v>
      </c>
      <c r="Q10" s="1" t="s">
        <v>111</v>
      </c>
      <c r="R10" s="1" t="s">
        <v>50</v>
      </c>
      <c r="S10" s="1">
        <v>0</v>
      </c>
      <c r="T10" s="1">
        <v>0</v>
      </c>
      <c r="U10" s="1">
        <v>50.188000000000002</v>
      </c>
      <c r="V10" s="1">
        <v>26.661999999999999</v>
      </c>
      <c r="W10" s="1">
        <v>0.56999999999999995</v>
      </c>
      <c r="X10" s="1">
        <v>0.27800000000000002</v>
      </c>
      <c r="Y10" s="1">
        <v>26.94</v>
      </c>
      <c r="Z10" s="1">
        <v>1.0329999999999999</v>
      </c>
      <c r="AA10" s="1">
        <v>0.4</v>
      </c>
      <c r="AB10" s="1">
        <v>0.4</v>
      </c>
      <c r="AC10" s="1">
        <v>0.4</v>
      </c>
      <c r="AD10" s="1">
        <v>0.27800000000000002</v>
      </c>
      <c r="AE10" s="1">
        <v>1.032</v>
      </c>
      <c r="AF10" s="1">
        <v>0.28699999999999998</v>
      </c>
      <c r="AG10" s="1">
        <v>0.4</v>
      </c>
      <c r="AI10" s="1">
        <v>0</v>
      </c>
      <c r="AJ10" s="1">
        <v>0</v>
      </c>
      <c r="AK10" s="1">
        <v>0</v>
      </c>
      <c r="AL10" s="1">
        <v>1</v>
      </c>
      <c r="AM10" s="1">
        <v>86400</v>
      </c>
      <c r="AN10" s="1">
        <v>74587</v>
      </c>
      <c r="AO10" s="1">
        <v>11813</v>
      </c>
      <c r="AP10" s="1">
        <v>47006</v>
      </c>
      <c r="AQ10" s="1">
        <v>2.0159687930275378</v>
      </c>
    </row>
    <row r="11" spans="1:43" x14ac:dyDescent="0.45">
      <c r="A11" s="1">
        <v>10</v>
      </c>
      <c r="B11" s="1">
        <v>26</v>
      </c>
      <c r="C11" s="1">
        <v>126</v>
      </c>
      <c r="D11" s="1" t="s">
        <v>51</v>
      </c>
      <c r="E11" s="1" t="s">
        <v>52</v>
      </c>
      <c r="F11" s="1" t="s">
        <v>53</v>
      </c>
      <c r="G11" s="1" t="s">
        <v>54</v>
      </c>
      <c r="H11" s="1" t="s">
        <v>47</v>
      </c>
      <c r="I11" s="1">
        <v>1113</v>
      </c>
      <c r="J11" s="1">
        <v>60690</v>
      </c>
      <c r="K11" s="1">
        <v>1</v>
      </c>
      <c r="L11" s="1">
        <v>125</v>
      </c>
      <c r="M11" s="1">
        <v>747</v>
      </c>
      <c r="N11" s="1" t="s">
        <v>48</v>
      </c>
      <c r="O11" s="1">
        <v>13942</v>
      </c>
      <c r="P11" s="1">
        <v>93</v>
      </c>
      <c r="Q11" s="1" t="s">
        <v>111</v>
      </c>
      <c r="R11" s="1" t="s">
        <v>50</v>
      </c>
      <c r="S11" s="1">
        <v>0</v>
      </c>
      <c r="T11" s="1">
        <v>0</v>
      </c>
      <c r="U11" s="1">
        <v>103.935</v>
      </c>
      <c r="V11" s="1">
        <v>26.231999999999999</v>
      </c>
      <c r="W11" s="1">
        <v>0.55000000000000004</v>
      </c>
      <c r="X11" s="1">
        <v>0.17799999999999999</v>
      </c>
      <c r="Y11" s="1">
        <v>26.41</v>
      </c>
      <c r="Z11" s="1">
        <v>1.3380000000000001</v>
      </c>
      <c r="AA11" s="1">
        <v>0.7</v>
      </c>
      <c r="AB11" s="1">
        <v>0.7</v>
      </c>
      <c r="AC11" s="1">
        <v>0.7</v>
      </c>
      <c r="AD11" s="1">
        <v>0.17799999999999999</v>
      </c>
      <c r="AE11" s="1">
        <v>1.3360000000000001</v>
      </c>
      <c r="AF11" s="1">
        <v>0.23799999999999999</v>
      </c>
      <c r="AG11" s="1">
        <v>0.7</v>
      </c>
      <c r="AI11" s="1">
        <v>0</v>
      </c>
      <c r="AJ11" s="1">
        <v>0</v>
      </c>
      <c r="AK11" s="1">
        <v>0</v>
      </c>
      <c r="AL11" s="1">
        <v>1</v>
      </c>
      <c r="AM11" s="1">
        <v>86400</v>
      </c>
      <c r="AN11" s="1">
        <v>81467</v>
      </c>
      <c r="AO11" s="1">
        <v>4933</v>
      </c>
      <c r="AP11" s="1">
        <v>46804</v>
      </c>
      <c r="AQ11" s="1">
        <v>13.86191296548439</v>
      </c>
    </row>
    <row r="12" spans="1:43" x14ac:dyDescent="0.45">
      <c r="A12" s="1">
        <v>11</v>
      </c>
      <c r="B12" s="1">
        <v>26</v>
      </c>
      <c r="C12" s="1">
        <v>126</v>
      </c>
      <c r="D12" s="1" t="s">
        <v>51</v>
      </c>
      <c r="E12" s="1" t="s">
        <v>52</v>
      </c>
      <c r="F12" s="1" t="s">
        <v>53</v>
      </c>
      <c r="G12" s="1" t="s">
        <v>54</v>
      </c>
      <c r="H12" s="1" t="s">
        <v>47</v>
      </c>
      <c r="I12" s="1">
        <v>1113</v>
      </c>
      <c r="J12" s="1">
        <v>60690</v>
      </c>
      <c r="K12" s="1">
        <v>1</v>
      </c>
      <c r="L12" s="1">
        <v>125</v>
      </c>
      <c r="M12" s="1">
        <v>748</v>
      </c>
      <c r="N12" s="1" t="s">
        <v>48</v>
      </c>
      <c r="O12" s="1">
        <v>13947</v>
      </c>
      <c r="P12" s="1">
        <v>93</v>
      </c>
      <c r="Q12" s="1" t="s">
        <v>111</v>
      </c>
      <c r="R12" s="1" t="s">
        <v>50</v>
      </c>
      <c r="S12" s="1">
        <v>0</v>
      </c>
      <c r="T12" s="1">
        <v>0</v>
      </c>
      <c r="U12" s="1">
        <v>65.254999999999995</v>
      </c>
      <c r="V12" s="1">
        <v>25.541</v>
      </c>
      <c r="W12" s="1">
        <v>0.55000000000000004</v>
      </c>
      <c r="X12" s="1">
        <v>0.17499999999999999</v>
      </c>
      <c r="Y12" s="1">
        <v>25.716000000000001</v>
      </c>
      <c r="Z12" s="1">
        <v>1.1459999999999999</v>
      </c>
      <c r="AA12" s="1">
        <v>1</v>
      </c>
      <c r="AB12" s="1">
        <v>1</v>
      </c>
      <c r="AC12" s="1">
        <v>1</v>
      </c>
      <c r="AD12" s="1">
        <v>0.17499999999999999</v>
      </c>
      <c r="AE12" s="1">
        <v>1.1439999999999999</v>
      </c>
      <c r="AF12" s="1">
        <v>0.2</v>
      </c>
      <c r="AG12" s="1">
        <v>1</v>
      </c>
      <c r="AI12" s="1">
        <v>0</v>
      </c>
      <c r="AJ12" s="1">
        <v>0</v>
      </c>
      <c r="AK12" s="1">
        <v>0</v>
      </c>
      <c r="AL12" s="1">
        <v>1</v>
      </c>
      <c r="AM12" s="1">
        <v>86400</v>
      </c>
      <c r="AN12" s="1">
        <v>81764</v>
      </c>
      <c r="AO12" s="1">
        <v>4636</v>
      </c>
      <c r="AP12" s="1">
        <v>44056</v>
      </c>
      <c r="AQ12" s="1">
        <v>8.1583103042716871</v>
      </c>
    </row>
    <row r="13" spans="1:43" x14ac:dyDescent="0.45">
      <c r="A13" s="1">
        <v>12</v>
      </c>
      <c r="B13" s="1">
        <v>26</v>
      </c>
      <c r="C13" s="1">
        <v>126</v>
      </c>
      <c r="D13" s="1" t="s">
        <v>51</v>
      </c>
      <c r="E13" s="1" t="s">
        <v>52</v>
      </c>
      <c r="F13" s="1" t="s">
        <v>53</v>
      </c>
      <c r="G13" s="1" t="s">
        <v>54</v>
      </c>
      <c r="H13" s="1" t="s">
        <v>47</v>
      </c>
      <c r="I13" s="1">
        <v>1113</v>
      </c>
      <c r="J13" s="1">
        <v>60690</v>
      </c>
      <c r="K13" s="1">
        <v>1</v>
      </c>
      <c r="L13" s="1">
        <v>125</v>
      </c>
      <c r="M13" s="1">
        <v>749</v>
      </c>
      <c r="N13" s="1" t="s">
        <v>48</v>
      </c>
      <c r="O13" s="1">
        <v>13948</v>
      </c>
      <c r="P13" s="1">
        <v>93</v>
      </c>
      <c r="Q13" s="1" t="s">
        <v>111</v>
      </c>
      <c r="R13" s="1" t="s">
        <v>50</v>
      </c>
      <c r="S13" s="1">
        <v>0</v>
      </c>
      <c r="T13" s="1">
        <v>0</v>
      </c>
      <c r="U13" s="1">
        <v>78.772000000000006</v>
      </c>
      <c r="V13" s="1">
        <v>25.585000000000001</v>
      </c>
      <c r="W13" s="1">
        <v>0.53</v>
      </c>
      <c r="X13" s="1">
        <v>0.11799999999999999</v>
      </c>
      <c r="Y13" s="1">
        <v>25.702999999999999</v>
      </c>
      <c r="Z13" s="1">
        <v>1.347</v>
      </c>
      <c r="AA13" s="1">
        <v>0.9</v>
      </c>
      <c r="AB13" s="1">
        <v>0.9</v>
      </c>
      <c r="AC13" s="1">
        <v>0.9</v>
      </c>
      <c r="AD13" s="1">
        <v>0.11799999999999999</v>
      </c>
      <c r="AE13" s="1">
        <v>1.3460000000000001</v>
      </c>
      <c r="AF13" s="1">
        <v>0.159</v>
      </c>
      <c r="AG13" s="1">
        <v>0.9</v>
      </c>
      <c r="AI13" s="1">
        <v>0</v>
      </c>
      <c r="AJ13" s="1">
        <v>0</v>
      </c>
      <c r="AK13" s="1">
        <v>0</v>
      </c>
      <c r="AL13" s="1">
        <v>1</v>
      </c>
      <c r="AM13" s="1">
        <v>86400</v>
      </c>
      <c r="AN13" s="1">
        <v>67761</v>
      </c>
      <c r="AO13" s="1">
        <v>18639</v>
      </c>
      <c r="AP13" s="1">
        <v>43811</v>
      </c>
      <c r="AQ13" s="1">
        <v>3.1463352407707261</v>
      </c>
    </row>
    <row r="14" spans="1:43" x14ac:dyDescent="0.45">
      <c r="A14" s="1">
        <v>13</v>
      </c>
      <c r="B14" s="1">
        <v>26</v>
      </c>
      <c r="C14" s="1">
        <v>126</v>
      </c>
      <c r="D14" s="1" t="s">
        <v>51</v>
      </c>
      <c r="E14" s="1" t="s">
        <v>52</v>
      </c>
      <c r="F14" s="1" t="s">
        <v>53</v>
      </c>
      <c r="G14" s="1" t="s">
        <v>54</v>
      </c>
      <c r="H14" s="1" t="s">
        <v>47</v>
      </c>
      <c r="I14" s="1">
        <v>1113</v>
      </c>
      <c r="J14" s="1">
        <v>60690</v>
      </c>
      <c r="K14" s="1">
        <v>1</v>
      </c>
      <c r="L14" s="1">
        <v>125</v>
      </c>
      <c r="M14" s="1">
        <v>751</v>
      </c>
      <c r="N14" s="1" t="s">
        <v>48</v>
      </c>
      <c r="O14" s="1">
        <v>13980</v>
      </c>
      <c r="P14" s="1">
        <v>93</v>
      </c>
      <c r="Q14" s="1" t="s">
        <v>111</v>
      </c>
      <c r="R14" s="1" t="s">
        <v>50</v>
      </c>
      <c r="S14" s="1">
        <v>0</v>
      </c>
      <c r="T14" s="1">
        <v>0</v>
      </c>
      <c r="U14" s="1">
        <v>129.672</v>
      </c>
      <c r="V14" s="1">
        <v>26.687000000000001</v>
      </c>
      <c r="W14" s="1">
        <v>1.24</v>
      </c>
      <c r="X14" s="1">
        <v>1.258</v>
      </c>
      <c r="Y14" s="1">
        <v>27.943999999999999</v>
      </c>
      <c r="Z14" s="1">
        <v>0.45400000000000001</v>
      </c>
      <c r="AA14" s="1">
        <v>1.7</v>
      </c>
      <c r="AB14" s="1">
        <v>1.7</v>
      </c>
      <c r="AC14" s="1">
        <v>1.7</v>
      </c>
      <c r="AD14" s="1">
        <v>1.258</v>
      </c>
      <c r="AE14" s="1">
        <v>0.45400000000000001</v>
      </c>
      <c r="AF14" s="1">
        <v>0.57099999999999995</v>
      </c>
      <c r="AG14" s="1">
        <v>1.7</v>
      </c>
      <c r="AI14" s="1">
        <v>0</v>
      </c>
      <c r="AJ14" s="1">
        <v>0</v>
      </c>
      <c r="AK14" s="1">
        <v>0</v>
      </c>
      <c r="AL14" s="1">
        <v>1</v>
      </c>
      <c r="AM14" s="1">
        <v>86400</v>
      </c>
      <c r="AN14" s="1">
        <v>81653</v>
      </c>
      <c r="AO14" s="1">
        <v>4747</v>
      </c>
      <c r="AP14" s="1">
        <v>44102</v>
      </c>
      <c r="AQ14" s="1">
        <v>16.446085103472111</v>
      </c>
    </row>
    <row r="15" spans="1:43" x14ac:dyDescent="0.45">
      <c r="A15" s="1">
        <v>14</v>
      </c>
      <c r="B15" s="1">
        <v>26</v>
      </c>
      <c r="C15" s="1">
        <v>126</v>
      </c>
      <c r="D15" s="1" t="s">
        <v>51</v>
      </c>
      <c r="E15" s="1" t="s">
        <v>52</v>
      </c>
      <c r="F15" s="1" t="s">
        <v>53</v>
      </c>
      <c r="G15" s="1" t="s">
        <v>54</v>
      </c>
      <c r="H15" s="1" t="s">
        <v>47</v>
      </c>
      <c r="I15" s="1">
        <v>1113</v>
      </c>
      <c r="J15" s="1">
        <v>60690</v>
      </c>
      <c r="K15" s="1">
        <v>1</v>
      </c>
      <c r="L15" s="1">
        <v>125</v>
      </c>
      <c r="M15" s="1">
        <v>752</v>
      </c>
      <c r="N15" s="1" t="s">
        <v>48</v>
      </c>
      <c r="O15" s="1">
        <v>13981</v>
      </c>
      <c r="P15" s="1">
        <v>93</v>
      </c>
      <c r="Q15" s="1" t="s">
        <v>111</v>
      </c>
      <c r="R15" s="1" t="s">
        <v>50</v>
      </c>
      <c r="S15" s="1">
        <v>0</v>
      </c>
      <c r="T15" s="1">
        <v>0</v>
      </c>
      <c r="U15" s="1">
        <v>101.494</v>
      </c>
      <c r="V15" s="1">
        <v>27.503</v>
      </c>
      <c r="W15" s="1">
        <v>0.56999999999999995</v>
      </c>
      <c r="X15" s="1">
        <v>0.442</v>
      </c>
      <c r="Y15" s="1">
        <v>27.945</v>
      </c>
      <c r="Z15" s="1">
        <v>9.4E-2</v>
      </c>
      <c r="AA15" s="1">
        <v>1</v>
      </c>
      <c r="AB15" s="1">
        <v>1</v>
      </c>
      <c r="AC15" s="1">
        <v>1</v>
      </c>
      <c r="AD15" s="1">
        <v>0.442</v>
      </c>
      <c r="AE15" s="1">
        <v>9.4E-2</v>
      </c>
      <c r="AF15" s="1">
        <v>4.2000000000000003E-2</v>
      </c>
      <c r="AG15" s="1">
        <v>1</v>
      </c>
      <c r="AI15" s="1">
        <v>0</v>
      </c>
      <c r="AJ15" s="1">
        <v>0</v>
      </c>
      <c r="AK15" s="1">
        <v>0</v>
      </c>
      <c r="AL15" s="1">
        <v>1</v>
      </c>
      <c r="AM15" s="1">
        <v>86400</v>
      </c>
      <c r="AN15" s="1">
        <v>71644</v>
      </c>
      <c r="AO15" s="1">
        <v>14756</v>
      </c>
      <c r="AP15" s="1">
        <v>47000</v>
      </c>
      <c r="AQ15" s="1">
        <v>2.550246115372929</v>
      </c>
    </row>
    <row r="16" spans="1:43" x14ac:dyDescent="0.45">
      <c r="A16" s="1">
        <v>15</v>
      </c>
      <c r="B16" s="1">
        <v>26</v>
      </c>
      <c r="C16" s="1">
        <v>126</v>
      </c>
      <c r="D16" s="1" t="s">
        <v>51</v>
      </c>
      <c r="E16" s="1" t="s">
        <v>52</v>
      </c>
      <c r="F16" s="1" t="s">
        <v>53</v>
      </c>
      <c r="G16" s="1" t="s">
        <v>54</v>
      </c>
      <c r="H16" s="1" t="s">
        <v>47</v>
      </c>
      <c r="I16" s="1">
        <v>1113</v>
      </c>
      <c r="J16" s="1">
        <v>60690</v>
      </c>
      <c r="K16" s="1">
        <v>1</v>
      </c>
      <c r="L16" s="1">
        <v>125</v>
      </c>
      <c r="M16" s="1">
        <v>753</v>
      </c>
      <c r="N16" s="1" t="s">
        <v>48</v>
      </c>
      <c r="O16" s="1">
        <v>13983</v>
      </c>
      <c r="P16" s="1">
        <v>93</v>
      </c>
      <c r="Q16" s="1" t="s">
        <v>111</v>
      </c>
      <c r="R16" s="1" t="s">
        <v>50</v>
      </c>
      <c r="S16" s="1">
        <v>0</v>
      </c>
      <c r="T16" s="1">
        <v>0</v>
      </c>
      <c r="U16" s="1">
        <v>120.179</v>
      </c>
      <c r="V16" s="1">
        <v>26.143000000000001</v>
      </c>
      <c r="W16" s="1">
        <v>1.28</v>
      </c>
      <c r="X16" s="1">
        <v>1.8009999999999999</v>
      </c>
      <c r="Y16" s="1">
        <v>27.943999999999999</v>
      </c>
      <c r="Z16" s="1">
        <v>2.5999999999999999E-2</v>
      </c>
      <c r="AA16" s="1">
        <v>-0.2</v>
      </c>
      <c r="AB16" s="1">
        <v>0.4</v>
      </c>
      <c r="AC16" s="1">
        <v>0.4</v>
      </c>
      <c r="AD16" s="1">
        <v>1.8009999999999999</v>
      </c>
      <c r="AE16" s="1">
        <v>2.3E-2</v>
      </c>
      <c r="AF16" s="1">
        <v>4.2000000000000003E-2</v>
      </c>
      <c r="AG16" s="1">
        <v>-0.2</v>
      </c>
      <c r="AI16" s="1">
        <v>0</v>
      </c>
      <c r="AJ16" s="1">
        <v>0</v>
      </c>
      <c r="AK16" s="1">
        <v>0</v>
      </c>
      <c r="AL16" s="1">
        <v>1</v>
      </c>
      <c r="AM16" s="1">
        <v>86400</v>
      </c>
      <c r="AN16" s="1">
        <v>81769</v>
      </c>
      <c r="AO16" s="1">
        <v>4631</v>
      </c>
      <c r="AP16" s="1">
        <v>46859</v>
      </c>
      <c r="AQ16" s="1">
        <v>18.214009098420071</v>
      </c>
    </row>
    <row r="17" spans="1:43" x14ac:dyDescent="0.45">
      <c r="A17" s="1">
        <v>16</v>
      </c>
      <c r="B17" s="1">
        <v>26</v>
      </c>
      <c r="C17" s="1">
        <v>126</v>
      </c>
      <c r="D17" s="1" t="s">
        <v>51</v>
      </c>
      <c r="E17" s="1" t="s">
        <v>52</v>
      </c>
      <c r="F17" s="1" t="s">
        <v>53</v>
      </c>
      <c r="G17" s="1" t="s">
        <v>54</v>
      </c>
      <c r="H17" s="1" t="s">
        <v>47</v>
      </c>
      <c r="I17" s="1">
        <v>1113</v>
      </c>
      <c r="J17" s="1">
        <v>60690</v>
      </c>
      <c r="K17" s="1">
        <v>1</v>
      </c>
      <c r="L17" s="1">
        <v>125</v>
      </c>
      <c r="M17" s="1">
        <v>754</v>
      </c>
      <c r="N17" s="1" t="s">
        <v>48</v>
      </c>
      <c r="O17" s="1">
        <v>13984</v>
      </c>
      <c r="P17" s="1">
        <v>93</v>
      </c>
      <c r="Q17" s="1" t="s">
        <v>111</v>
      </c>
      <c r="R17" s="1" t="s">
        <v>50</v>
      </c>
      <c r="S17" s="1">
        <v>0</v>
      </c>
      <c r="T17" s="1">
        <v>0</v>
      </c>
      <c r="U17" s="1">
        <v>56.768999999999998</v>
      </c>
      <c r="V17" s="1">
        <v>26.436</v>
      </c>
      <c r="W17" s="1">
        <v>1.24</v>
      </c>
      <c r="X17" s="1">
        <v>1.508</v>
      </c>
      <c r="Y17" s="1">
        <v>27.945</v>
      </c>
      <c r="Z17" s="1">
        <v>0.104</v>
      </c>
      <c r="AA17" s="1">
        <v>2</v>
      </c>
      <c r="AB17" s="1">
        <v>2</v>
      </c>
      <c r="AC17" s="1">
        <v>2</v>
      </c>
      <c r="AD17" s="1">
        <v>1.508</v>
      </c>
      <c r="AE17" s="1">
        <v>0.104</v>
      </c>
      <c r="AF17" s="1">
        <v>0.156</v>
      </c>
      <c r="AG17" s="1">
        <v>2</v>
      </c>
      <c r="AI17" s="1">
        <v>0</v>
      </c>
      <c r="AJ17" s="1">
        <v>0</v>
      </c>
      <c r="AK17" s="1">
        <v>0</v>
      </c>
      <c r="AL17" s="1">
        <v>1</v>
      </c>
      <c r="AM17" s="1">
        <v>86400</v>
      </c>
      <c r="AN17" s="1">
        <v>80246</v>
      </c>
      <c r="AO17" s="1">
        <v>6154</v>
      </c>
      <c r="AP17" s="1">
        <v>46962</v>
      </c>
      <c r="AQ17" s="1">
        <v>8.1239243294216497</v>
      </c>
    </row>
    <row r="18" spans="1:43" x14ac:dyDescent="0.45">
      <c r="A18" s="1">
        <v>17</v>
      </c>
      <c r="B18" s="1">
        <v>26</v>
      </c>
      <c r="C18" s="1">
        <v>126</v>
      </c>
      <c r="D18" s="1" t="s">
        <v>51</v>
      </c>
      <c r="E18" s="1" t="s">
        <v>52</v>
      </c>
      <c r="F18" s="1" t="s">
        <v>53</v>
      </c>
      <c r="G18" s="1" t="s">
        <v>54</v>
      </c>
      <c r="H18" s="1" t="s">
        <v>47</v>
      </c>
      <c r="I18" s="1">
        <v>1113</v>
      </c>
      <c r="J18" s="1">
        <v>60690</v>
      </c>
      <c r="K18" s="1">
        <v>1</v>
      </c>
      <c r="L18" s="1">
        <v>125</v>
      </c>
      <c r="M18" s="1">
        <v>755</v>
      </c>
      <c r="N18" s="1" t="s">
        <v>48</v>
      </c>
      <c r="O18" s="1">
        <v>13985</v>
      </c>
      <c r="P18" s="1">
        <v>93</v>
      </c>
      <c r="Q18" s="1" t="s">
        <v>111</v>
      </c>
      <c r="R18" s="1" t="s">
        <v>50</v>
      </c>
      <c r="S18" s="1">
        <v>0</v>
      </c>
      <c r="T18" s="1">
        <v>0</v>
      </c>
      <c r="U18" s="1">
        <v>123.34399999999999</v>
      </c>
      <c r="V18" s="1">
        <v>26.719000000000001</v>
      </c>
      <c r="W18" s="1">
        <v>1.22</v>
      </c>
      <c r="X18" s="1">
        <v>1.2250000000000001</v>
      </c>
      <c r="Y18" s="1">
        <v>27.945</v>
      </c>
      <c r="Z18" s="1">
        <v>0.27800000000000002</v>
      </c>
      <c r="AA18" s="1">
        <v>1</v>
      </c>
      <c r="AB18" s="1">
        <v>1</v>
      </c>
      <c r="AC18" s="1">
        <v>1</v>
      </c>
      <c r="AD18" s="1">
        <v>1.2250000000000001</v>
      </c>
      <c r="AE18" s="1">
        <v>0.27700000000000002</v>
      </c>
      <c r="AF18" s="1">
        <v>0.34</v>
      </c>
      <c r="AG18" s="1">
        <v>1</v>
      </c>
      <c r="AI18" s="1">
        <v>0</v>
      </c>
      <c r="AJ18" s="1">
        <v>0</v>
      </c>
      <c r="AK18" s="1">
        <v>0</v>
      </c>
      <c r="AL18" s="1">
        <v>1</v>
      </c>
      <c r="AM18" s="1">
        <v>86400</v>
      </c>
      <c r="AN18" s="1">
        <v>78209</v>
      </c>
      <c r="AO18" s="1">
        <v>8191</v>
      </c>
      <c r="AP18" s="1">
        <v>47222</v>
      </c>
      <c r="AQ18" s="1">
        <v>19.124216548558131</v>
      </c>
    </row>
    <row r="19" spans="1:43" x14ac:dyDescent="0.45">
      <c r="A19" s="1">
        <v>18</v>
      </c>
      <c r="B19" s="1">
        <v>26</v>
      </c>
      <c r="C19" s="1">
        <v>126</v>
      </c>
      <c r="D19" s="1" t="s">
        <v>51</v>
      </c>
      <c r="E19" s="1" t="s">
        <v>52</v>
      </c>
      <c r="F19" s="1" t="s">
        <v>53</v>
      </c>
      <c r="G19" s="1" t="s">
        <v>54</v>
      </c>
      <c r="H19" s="1" t="s">
        <v>47</v>
      </c>
      <c r="I19" s="1">
        <v>1113</v>
      </c>
      <c r="J19" s="1">
        <v>60690</v>
      </c>
      <c r="K19" s="1">
        <v>1</v>
      </c>
      <c r="L19" s="1">
        <v>125</v>
      </c>
      <c r="M19" s="1">
        <v>756</v>
      </c>
      <c r="N19" s="1" t="s">
        <v>48</v>
      </c>
      <c r="O19" s="1">
        <v>13991</v>
      </c>
      <c r="P19" s="1">
        <v>93</v>
      </c>
      <c r="Q19" s="1" t="s">
        <v>111</v>
      </c>
      <c r="R19" s="1" t="s">
        <v>50</v>
      </c>
      <c r="S19" s="1">
        <v>0</v>
      </c>
      <c r="T19" s="1">
        <v>0</v>
      </c>
      <c r="U19" s="1">
        <v>207.12200000000001</v>
      </c>
      <c r="V19" s="1">
        <v>27.35</v>
      </c>
      <c r="W19" s="1">
        <v>0.63</v>
      </c>
      <c r="X19" s="1">
        <v>0.749</v>
      </c>
      <c r="Y19" s="1">
        <v>28.097999999999999</v>
      </c>
      <c r="Z19" s="1">
        <v>0.22900000000000001</v>
      </c>
      <c r="AA19" s="1">
        <v>1.1000000000000001</v>
      </c>
      <c r="AB19" s="1">
        <v>1.1000000000000001</v>
      </c>
      <c r="AC19" s="1">
        <v>1.1000000000000001</v>
      </c>
      <c r="AD19" s="1">
        <v>0.749</v>
      </c>
      <c r="AE19" s="1">
        <v>0.22900000000000001</v>
      </c>
      <c r="AF19" s="1">
        <v>0.17100000000000001</v>
      </c>
      <c r="AG19" s="1">
        <v>1.1000000000000001</v>
      </c>
      <c r="AI19" s="1">
        <v>0</v>
      </c>
      <c r="AJ19" s="1">
        <v>0</v>
      </c>
      <c r="AK19" s="1">
        <v>0</v>
      </c>
      <c r="AL19" s="1">
        <v>1</v>
      </c>
      <c r="AM19" s="1">
        <v>86400</v>
      </c>
      <c r="AN19" s="1">
        <v>80980</v>
      </c>
      <c r="AO19" s="1">
        <v>5420</v>
      </c>
      <c r="AP19" s="1">
        <v>43458</v>
      </c>
      <c r="AQ19" s="1">
        <v>19.211231599200559</v>
      </c>
    </row>
    <row r="20" spans="1:43" x14ac:dyDescent="0.45">
      <c r="A20" s="1">
        <v>19</v>
      </c>
      <c r="B20" s="1">
        <v>26</v>
      </c>
      <c r="C20" s="1">
        <v>126</v>
      </c>
      <c r="D20" s="1" t="s">
        <v>51</v>
      </c>
      <c r="E20" s="1" t="s">
        <v>52</v>
      </c>
      <c r="F20" s="1" t="s">
        <v>53</v>
      </c>
      <c r="G20" s="1" t="s">
        <v>54</v>
      </c>
      <c r="H20" s="1" t="s">
        <v>47</v>
      </c>
      <c r="I20" s="1">
        <v>1113</v>
      </c>
      <c r="J20" s="1">
        <v>60690</v>
      </c>
      <c r="K20" s="1">
        <v>1</v>
      </c>
      <c r="L20" s="1">
        <v>125</v>
      </c>
      <c r="M20" s="1">
        <v>758</v>
      </c>
      <c r="N20" s="1" t="s">
        <v>48</v>
      </c>
      <c r="O20" s="1">
        <v>13995</v>
      </c>
      <c r="P20" s="1">
        <v>93</v>
      </c>
      <c r="Q20" s="1" t="s">
        <v>111</v>
      </c>
      <c r="R20" s="1" t="s">
        <v>50</v>
      </c>
      <c r="S20" s="1">
        <v>0</v>
      </c>
      <c r="T20" s="1">
        <v>0</v>
      </c>
      <c r="U20" s="1">
        <v>115.254</v>
      </c>
      <c r="V20" s="1">
        <v>27.329000000000001</v>
      </c>
      <c r="W20" s="1">
        <v>0.57999999999999996</v>
      </c>
      <c r="X20" s="1">
        <v>0.46100000000000002</v>
      </c>
      <c r="Y20" s="1">
        <v>27.79</v>
      </c>
      <c r="Z20" s="1">
        <v>0.34200000000000003</v>
      </c>
      <c r="AA20" s="1">
        <v>-2.4</v>
      </c>
      <c r="AB20" s="1">
        <v>-2.4</v>
      </c>
      <c r="AC20" s="1">
        <v>-2.4</v>
      </c>
      <c r="AD20" s="1">
        <v>0.46100000000000002</v>
      </c>
      <c r="AE20" s="1">
        <v>0.34200000000000003</v>
      </c>
      <c r="AF20" s="1">
        <v>0.158</v>
      </c>
      <c r="AG20" s="1">
        <v>-2.4</v>
      </c>
      <c r="AI20" s="1">
        <v>0</v>
      </c>
      <c r="AJ20" s="1">
        <v>0</v>
      </c>
      <c r="AK20" s="1">
        <v>0</v>
      </c>
      <c r="AL20" s="1">
        <v>1</v>
      </c>
      <c r="AM20" s="1">
        <v>86400</v>
      </c>
      <c r="AN20" s="1">
        <v>75161</v>
      </c>
      <c r="AO20" s="1">
        <v>11239</v>
      </c>
      <c r="AP20" s="1">
        <v>47469</v>
      </c>
      <c r="AQ20" s="1">
        <v>6.4405774991027416</v>
      </c>
    </row>
    <row r="21" spans="1:43" x14ac:dyDescent="0.45">
      <c r="A21" s="1">
        <v>20</v>
      </c>
      <c r="B21" s="1">
        <v>26</v>
      </c>
      <c r="C21" s="1">
        <v>126</v>
      </c>
      <c r="D21" s="1" t="s">
        <v>51</v>
      </c>
      <c r="E21" s="1" t="s">
        <v>52</v>
      </c>
      <c r="F21" s="1" t="s">
        <v>53</v>
      </c>
      <c r="G21" s="1" t="s">
        <v>54</v>
      </c>
      <c r="H21" s="1" t="s">
        <v>47</v>
      </c>
      <c r="I21" s="1">
        <v>1113</v>
      </c>
      <c r="J21" s="1">
        <v>60690</v>
      </c>
      <c r="K21" s="1">
        <v>1</v>
      </c>
      <c r="L21" s="1">
        <v>125</v>
      </c>
      <c r="M21" s="1">
        <v>760</v>
      </c>
      <c r="N21" s="1" t="s">
        <v>48</v>
      </c>
      <c r="O21" s="1">
        <v>13998</v>
      </c>
      <c r="P21" s="1">
        <v>93</v>
      </c>
      <c r="Q21" s="1" t="s">
        <v>111</v>
      </c>
      <c r="R21" s="1" t="s">
        <v>50</v>
      </c>
      <c r="S21" s="1">
        <v>0</v>
      </c>
      <c r="T21" s="1">
        <v>0</v>
      </c>
      <c r="U21" s="1">
        <v>119.096</v>
      </c>
      <c r="V21" s="1">
        <v>27.666</v>
      </c>
      <c r="W21" s="1">
        <v>0.53</v>
      </c>
      <c r="X21" s="1">
        <v>0.13800000000000001</v>
      </c>
      <c r="Y21" s="1">
        <v>27.803000000000001</v>
      </c>
      <c r="Z21" s="1">
        <v>0.53800000000000003</v>
      </c>
      <c r="AA21" s="1">
        <v>1</v>
      </c>
      <c r="AB21" s="1">
        <v>1</v>
      </c>
      <c r="AC21" s="1">
        <v>1</v>
      </c>
      <c r="AD21" s="1">
        <v>0.13800000000000001</v>
      </c>
      <c r="AE21" s="1">
        <v>0.53500000000000003</v>
      </c>
      <c r="AF21" s="1">
        <v>7.3999999999999996E-2</v>
      </c>
      <c r="AG21" s="1">
        <v>1</v>
      </c>
      <c r="AI21" s="1">
        <v>0</v>
      </c>
      <c r="AJ21" s="1">
        <v>0</v>
      </c>
      <c r="AK21" s="1">
        <v>0</v>
      </c>
      <c r="AL21" s="1">
        <v>1</v>
      </c>
      <c r="AM21" s="1">
        <v>86400</v>
      </c>
      <c r="AN21" s="1">
        <v>80764</v>
      </c>
      <c r="AO21" s="1">
        <v>5636</v>
      </c>
      <c r="AP21" s="1">
        <v>47008</v>
      </c>
      <c r="AQ21" s="1">
        <v>10.97122603180012</v>
      </c>
    </row>
    <row r="22" spans="1:43" x14ac:dyDescent="0.45">
      <c r="A22" s="1">
        <v>21</v>
      </c>
      <c r="B22" s="1">
        <v>26</v>
      </c>
      <c r="C22" s="1">
        <v>126</v>
      </c>
      <c r="D22" s="1" t="s">
        <v>51</v>
      </c>
      <c r="E22" s="1" t="s">
        <v>52</v>
      </c>
      <c r="F22" s="1" t="s">
        <v>53</v>
      </c>
      <c r="G22" s="1" t="s">
        <v>54</v>
      </c>
      <c r="H22" s="1" t="s">
        <v>47</v>
      </c>
      <c r="I22" s="1">
        <v>1113</v>
      </c>
      <c r="J22" s="1">
        <v>60690</v>
      </c>
      <c r="K22" s="1">
        <v>1</v>
      </c>
      <c r="L22" s="1">
        <v>125</v>
      </c>
      <c r="M22" s="1">
        <v>761</v>
      </c>
      <c r="N22" s="1" t="s">
        <v>48</v>
      </c>
      <c r="O22" s="1">
        <v>14003</v>
      </c>
      <c r="P22" s="1">
        <v>93</v>
      </c>
      <c r="Q22" s="1" t="s">
        <v>111</v>
      </c>
      <c r="R22" s="1" t="s">
        <v>50</v>
      </c>
      <c r="S22" s="1">
        <v>0</v>
      </c>
      <c r="T22" s="1">
        <v>0</v>
      </c>
      <c r="U22" s="1">
        <v>228.09399999999999</v>
      </c>
      <c r="V22" s="1">
        <v>27.916</v>
      </c>
      <c r="W22" s="1">
        <v>0.54</v>
      </c>
      <c r="X22" s="1">
        <v>0.20100000000000001</v>
      </c>
      <c r="Y22" s="1">
        <v>28.117000000000001</v>
      </c>
      <c r="Z22" s="1">
        <v>0.42</v>
      </c>
      <c r="AA22" s="1">
        <v>1</v>
      </c>
      <c r="AB22" s="1">
        <v>1</v>
      </c>
      <c r="AC22" s="1">
        <v>1</v>
      </c>
      <c r="AD22" s="1">
        <v>0.20100000000000001</v>
      </c>
      <c r="AE22" s="1">
        <v>0.41899999999999998</v>
      </c>
      <c r="AF22" s="1">
        <v>8.4000000000000005E-2</v>
      </c>
      <c r="AG22" s="1">
        <v>1</v>
      </c>
      <c r="AI22" s="1">
        <v>0</v>
      </c>
      <c r="AJ22" s="1">
        <v>0</v>
      </c>
      <c r="AK22" s="1">
        <v>0</v>
      </c>
      <c r="AL22" s="1">
        <v>1</v>
      </c>
      <c r="AM22" s="1">
        <v>86400</v>
      </c>
      <c r="AN22" s="1">
        <v>81057</v>
      </c>
      <c r="AO22" s="1">
        <v>5343</v>
      </c>
      <c r="AP22" s="1">
        <v>43560</v>
      </c>
      <c r="AQ22" s="1">
        <v>19.374882702662571</v>
      </c>
    </row>
    <row r="23" spans="1:43" x14ac:dyDescent="0.45">
      <c r="A23" s="1">
        <v>22</v>
      </c>
      <c r="B23" s="1">
        <v>26</v>
      </c>
      <c r="C23" s="1">
        <v>126</v>
      </c>
      <c r="D23" s="1" t="s">
        <v>51</v>
      </c>
      <c r="E23" s="1" t="s">
        <v>52</v>
      </c>
      <c r="F23" s="1" t="s">
        <v>53</v>
      </c>
      <c r="G23" s="1" t="s">
        <v>54</v>
      </c>
      <c r="H23" s="1" t="s">
        <v>47</v>
      </c>
      <c r="I23" s="1">
        <v>1113</v>
      </c>
      <c r="J23" s="1">
        <v>60690</v>
      </c>
      <c r="K23" s="1">
        <v>1</v>
      </c>
      <c r="L23" s="1">
        <v>125</v>
      </c>
      <c r="M23" s="1">
        <v>763</v>
      </c>
      <c r="N23" s="1" t="s">
        <v>48</v>
      </c>
      <c r="O23" s="1">
        <v>14013</v>
      </c>
      <c r="P23" s="1">
        <v>93</v>
      </c>
      <c r="Q23" s="1" t="s">
        <v>111</v>
      </c>
      <c r="R23" s="1" t="s">
        <v>50</v>
      </c>
      <c r="S23" s="1">
        <v>0</v>
      </c>
      <c r="T23" s="1">
        <v>0</v>
      </c>
      <c r="U23" s="1">
        <v>294.262</v>
      </c>
      <c r="V23" s="1">
        <v>27.864000000000001</v>
      </c>
      <c r="W23" s="1">
        <v>0.52</v>
      </c>
      <c r="X23" s="1">
        <v>0.108</v>
      </c>
      <c r="Y23" s="1">
        <v>27.972000000000001</v>
      </c>
      <c r="Z23" s="1">
        <v>0.47599999999999998</v>
      </c>
      <c r="AA23" s="1">
        <v>1</v>
      </c>
      <c r="AB23" s="1">
        <v>1</v>
      </c>
      <c r="AC23" s="1">
        <v>1</v>
      </c>
      <c r="AD23" s="1">
        <v>0.108</v>
      </c>
      <c r="AE23" s="1">
        <v>0.47499999999999998</v>
      </c>
      <c r="AF23" s="1">
        <v>5.0999999999999997E-2</v>
      </c>
      <c r="AG23" s="1">
        <v>1</v>
      </c>
      <c r="AI23" s="1">
        <v>0</v>
      </c>
      <c r="AJ23" s="1">
        <v>0</v>
      </c>
      <c r="AK23" s="1">
        <v>0</v>
      </c>
      <c r="AL23" s="1">
        <v>1</v>
      </c>
      <c r="AM23" s="1">
        <v>86400</v>
      </c>
      <c r="AN23" s="1">
        <v>80586</v>
      </c>
      <c r="AO23" s="1">
        <v>5814</v>
      </c>
      <c r="AP23" s="1">
        <v>46823</v>
      </c>
      <c r="AQ23" s="1">
        <v>22.582569825451209</v>
      </c>
    </row>
    <row r="24" spans="1:43" x14ac:dyDescent="0.45">
      <c r="A24" s="1">
        <v>23</v>
      </c>
      <c r="B24" s="1">
        <v>26</v>
      </c>
      <c r="C24" s="1">
        <v>126</v>
      </c>
      <c r="D24" s="1" t="s">
        <v>51</v>
      </c>
      <c r="E24" s="1" t="s">
        <v>52</v>
      </c>
      <c r="F24" s="1" t="s">
        <v>53</v>
      </c>
      <c r="G24" s="1" t="s">
        <v>54</v>
      </c>
      <c r="H24" s="1" t="s">
        <v>47</v>
      </c>
      <c r="I24" s="1">
        <v>1113</v>
      </c>
      <c r="J24" s="1">
        <v>60690</v>
      </c>
      <c r="K24" s="1">
        <v>1</v>
      </c>
      <c r="L24" s="1">
        <v>125</v>
      </c>
      <c r="M24" s="1">
        <v>764</v>
      </c>
      <c r="N24" s="1" t="s">
        <v>48</v>
      </c>
      <c r="O24" s="1">
        <v>14028</v>
      </c>
      <c r="P24" s="1">
        <v>93</v>
      </c>
      <c r="Q24" s="1" t="s">
        <v>111</v>
      </c>
      <c r="R24" s="1" t="s">
        <v>50</v>
      </c>
      <c r="S24" s="1">
        <v>0</v>
      </c>
      <c r="T24" s="1">
        <v>0</v>
      </c>
      <c r="U24" s="1">
        <v>53.363999999999997</v>
      </c>
      <c r="V24" s="1">
        <v>26.815000000000001</v>
      </c>
      <c r="W24" s="1">
        <v>1.1599999999999999</v>
      </c>
      <c r="X24" s="1">
        <v>0.97699999999999998</v>
      </c>
      <c r="Y24" s="1">
        <v>27.792000000000002</v>
      </c>
      <c r="Z24" s="1">
        <v>0.16400000000000001</v>
      </c>
      <c r="AA24" s="1">
        <v>-0.8</v>
      </c>
      <c r="AB24" s="1">
        <v>-0.7</v>
      </c>
      <c r="AC24" s="1">
        <v>-0.7</v>
      </c>
      <c r="AD24" s="1">
        <v>0.97599999999999998</v>
      </c>
      <c r="AE24" s="1">
        <v>0.14699999999999999</v>
      </c>
      <c r="AF24" s="1">
        <v>0.155</v>
      </c>
      <c r="AG24" s="1">
        <v>-0.8</v>
      </c>
      <c r="AI24" s="1">
        <v>0</v>
      </c>
      <c r="AJ24" s="1">
        <v>0</v>
      </c>
      <c r="AK24" s="1">
        <v>0</v>
      </c>
      <c r="AL24" s="1">
        <v>1</v>
      </c>
      <c r="AM24" s="1">
        <v>86400</v>
      </c>
      <c r="AN24" s="1">
        <v>80865</v>
      </c>
      <c r="AO24" s="1">
        <v>5535</v>
      </c>
      <c r="AP24" s="1">
        <v>47133</v>
      </c>
      <c r="AQ24" s="1">
        <v>8.9482359510857084</v>
      </c>
    </row>
    <row r="25" spans="1:43" x14ac:dyDescent="0.45">
      <c r="A25" s="1">
        <v>24</v>
      </c>
      <c r="B25" s="1">
        <v>26</v>
      </c>
      <c r="C25" s="1">
        <v>126</v>
      </c>
      <c r="D25" s="1" t="s">
        <v>51</v>
      </c>
      <c r="E25" s="1" t="s">
        <v>52</v>
      </c>
      <c r="F25" s="1" t="s">
        <v>53</v>
      </c>
      <c r="G25" s="1" t="s">
        <v>54</v>
      </c>
      <c r="H25" s="1" t="s">
        <v>47</v>
      </c>
      <c r="I25" s="1">
        <v>1113</v>
      </c>
      <c r="J25" s="1">
        <v>60690</v>
      </c>
      <c r="K25" s="1">
        <v>1</v>
      </c>
      <c r="L25" s="1">
        <v>125</v>
      </c>
      <c r="M25" s="1">
        <v>765</v>
      </c>
      <c r="N25" s="1" t="s">
        <v>48</v>
      </c>
      <c r="O25" s="1">
        <v>14029</v>
      </c>
      <c r="P25" s="1">
        <v>93</v>
      </c>
      <c r="Q25" s="1" t="s">
        <v>111</v>
      </c>
      <c r="R25" s="1" t="s">
        <v>50</v>
      </c>
      <c r="S25" s="1">
        <v>0</v>
      </c>
      <c r="T25" s="1">
        <v>0</v>
      </c>
      <c r="U25" s="1">
        <v>87.582999999999998</v>
      </c>
      <c r="V25" s="1">
        <v>26.785</v>
      </c>
      <c r="W25" s="1">
        <v>1.1599999999999999</v>
      </c>
      <c r="X25" s="1">
        <v>1.004</v>
      </c>
      <c r="Y25" s="1">
        <v>27.789000000000001</v>
      </c>
      <c r="Z25" s="1">
        <v>0.10100000000000001</v>
      </c>
      <c r="AA25" s="1">
        <v>2.2000000000000002</v>
      </c>
      <c r="AB25" s="1">
        <v>2.2000000000000002</v>
      </c>
      <c r="AC25" s="1">
        <v>2.2000000000000002</v>
      </c>
      <c r="AD25" s="1">
        <v>1.004</v>
      </c>
      <c r="AE25" s="1">
        <v>0.10100000000000001</v>
      </c>
      <c r="AF25" s="1">
        <v>0.10199999999999999</v>
      </c>
      <c r="AG25" s="1">
        <v>2.2000000000000002</v>
      </c>
      <c r="AI25" s="1">
        <v>0</v>
      </c>
      <c r="AJ25" s="1">
        <v>0</v>
      </c>
      <c r="AK25" s="1">
        <v>0</v>
      </c>
      <c r="AL25" s="1">
        <v>1</v>
      </c>
      <c r="AM25" s="1">
        <v>86400</v>
      </c>
      <c r="AN25" s="1">
        <v>81574</v>
      </c>
      <c r="AO25" s="1">
        <v>4826</v>
      </c>
      <c r="AP25" s="1">
        <v>47067</v>
      </c>
      <c r="AQ25" s="1">
        <v>5.2917711164931864</v>
      </c>
    </row>
    <row r="26" spans="1:43" x14ac:dyDescent="0.45">
      <c r="A26" s="1">
        <v>25</v>
      </c>
      <c r="B26" s="1">
        <v>26</v>
      </c>
      <c r="C26" s="1">
        <v>126</v>
      </c>
      <c r="D26" s="1" t="s">
        <v>51</v>
      </c>
      <c r="E26" s="1" t="s">
        <v>52</v>
      </c>
      <c r="F26" s="1" t="s">
        <v>53</v>
      </c>
      <c r="G26" s="1" t="s">
        <v>54</v>
      </c>
      <c r="H26" s="1" t="s">
        <v>47</v>
      </c>
      <c r="I26" s="1">
        <v>1113</v>
      </c>
      <c r="J26" s="1">
        <v>60690</v>
      </c>
      <c r="K26" s="1">
        <v>1</v>
      </c>
      <c r="L26" s="1">
        <v>125</v>
      </c>
      <c r="M26" s="1">
        <v>1168</v>
      </c>
      <c r="N26" s="1" t="s">
        <v>48</v>
      </c>
      <c r="O26" s="1">
        <v>14674</v>
      </c>
      <c r="P26" s="1">
        <v>93</v>
      </c>
      <c r="Q26" s="1" t="s">
        <v>111</v>
      </c>
      <c r="R26" s="1" t="s">
        <v>50</v>
      </c>
      <c r="S26" s="1">
        <v>0</v>
      </c>
      <c r="T26" s="1">
        <v>0</v>
      </c>
      <c r="U26" s="1">
        <v>161.94</v>
      </c>
      <c r="V26" s="1">
        <v>27.719000000000001</v>
      </c>
      <c r="W26" s="1">
        <v>0.56999999999999995</v>
      </c>
      <c r="X26" s="1">
        <v>0.36199999999999999</v>
      </c>
      <c r="Y26" s="1">
        <v>28.081</v>
      </c>
      <c r="Z26" s="1">
        <v>0.45400000000000001</v>
      </c>
      <c r="AA26" s="1">
        <v>-2.4</v>
      </c>
      <c r="AB26" s="1">
        <v>-2.4</v>
      </c>
      <c r="AC26" s="1">
        <v>-2.4</v>
      </c>
      <c r="AD26" s="1">
        <v>0.36199999999999999</v>
      </c>
      <c r="AE26" s="1">
        <v>0.45400000000000001</v>
      </c>
      <c r="AF26" s="1">
        <v>0.16400000000000001</v>
      </c>
      <c r="AG26" s="1">
        <v>-2.4</v>
      </c>
      <c r="AI26" s="1">
        <v>0</v>
      </c>
      <c r="AJ26" s="1">
        <v>0</v>
      </c>
      <c r="AK26" s="1">
        <v>0</v>
      </c>
      <c r="AL26" s="1">
        <v>1</v>
      </c>
      <c r="AM26" s="1">
        <v>86400</v>
      </c>
      <c r="AN26" s="1">
        <v>80690</v>
      </c>
      <c r="AO26" s="1">
        <v>5710</v>
      </c>
      <c r="AP26" s="1">
        <v>43517</v>
      </c>
      <c r="AQ26" s="1">
        <v>18.43219016539382</v>
      </c>
    </row>
    <row r="27" spans="1:43" x14ac:dyDescent="0.45">
      <c r="A27" s="1">
        <v>26</v>
      </c>
      <c r="B27" s="1">
        <v>26</v>
      </c>
      <c r="C27" s="1">
        <v>126</v>
      </c>
      <c r="D27" s="1" t="s">
        <v>51</v>
      </c>
      <c r="E27" s="1" t="s">
        <v>52</v>
      </c>
      <c r="F27" s="1" t="s">
        <v>53</v>
      </c>
      <c r="G27" s="1" t="s">
        <v>54</v>
      </c>
      <c r="H27" s="1" t="s">
        <v>47</v>
      </c>
      <c r="I27" s="1">
        <v>1113</v>
      </c>
      <c r="J27" s="1">
        <v>60690</v>
      </c>
      <c r="K27" s="1">
        <v>1</v>
      </c>
      <c r="L27" s="1">
        <v>125</v>
      </c>
      <c r="M27" s="1">
        <v>1169</v>
      </c>
      <c r="N27" s="1" t="s">
        <v>48</v>
      </c>
      <c r="O27" s="1">
        <v>14682</v>
      </c>
      <c r="P27" s="1">
        <v>93</v>
      </c>
      <c r="Q27" s="1" t="s">
        <v>111</v>
      </c>
      <c r="R27" s="1" t="s">
        <v>50</v>
      </c>
      <c r="S27" s="1">
        <v>0</v>
      </c>
      <c r="T27" s="1">
        <v>0</v>
      </c>
      <c r="U27" s="1">
        <v>108.435</v>
      </c>
      <c r="V27" s="1">
        <v>26.504999999999999</v>
      </c>
      <c r="W27" s="1">
        <v>0.54</v>
      </c>
      <c r="X27" s="1">
        <v>0.10199999999999999</v>
      </c>
      <c r="Y27" s="1">
        <v>26.606999999999999</v>
      </c>
      <c r="Z27" s="1">
        <v>2.1789999999999998</v>
      </c>
      <c r="AA27" s="1">
        <v>-0.3</v>
      </c>
      <c r="AB27" s="1">
        <v>-0.3</v>
      </c>
      <c r="AC27" s="1">
        <v>-0.3</v>
      </c>
      <c r="AD27" s="1">
        <v>0.10199999999999999</v>
      </c>
      <c r="AE27" s="1">
        <v>2.1749999999999998</v>
      </c>
      <c r="AF27" s="1">
        <v>0.222</v>
      </c>
      <c r="AG27" s="1">
        <v>-0.3</v>
      </c>
      <c r="AI27" s="1">
        <v>0</v>
      </c>
      <c r="AJ27" s="1">
        <v>0</v>
      </c>
      <c r="AK27" s="1">
        <v>0</v>
      </c>
      <c r="AL27" s="1">
        <v>1</v>
      </c>
      <c r="AM27" s="1">
        <v>51610</v>
      </c>
      <c r="AN27" s="1">
        <v>7601</v>
      </c>
      <c r="AO27" s="1">
        <v>44009</v>
      </c>
      <c r="AP27" s="1">
        <v>47265</v>
      </c>
      <c r="AQ27" s="1">
        <v>9.6151972878007541</v>
      </c>
    </row>
    <row r="28" spans="1:43" x14ac:dyDescent="0.45">
      <c r="A28" s="1">
        <v>27</v>
      </c>
      <c r="B28" s="1">
        <v>26</v>
      </c>
      <c r="C28" s="1">
        <v>126</v>
      </c>
      <c r="D28" s="1" t="s">
        <v>51</v>
      </c>
      <c r="E28" s="1" t="s">
        <v>52</v>
      </c>
      <c r="F28" s="1" t="s">
        <v>53</v>
      </c>
      <c r="G28" s="1" t="s">
        <v>54</v>
      </c>
      <c r="H28" s="1" t="s">
        <v>47</v>
      </c>
      <c r="I28" s="1">
        <v>1113</v>
      </c>
      <c r="J28" s="1">
        <v>60690</v>
      </c>
      <c r="K28" s="1">
        <v>1</v>
      </c>
      <c r="L28" s="1">
        <v>125</v>
      </c>
      <c r="M28" s="1">
        <v>1172</v>
      </c>
      <c r="N28" s="1" t="s">
        <v>48</v>
      </c>
      <c r="O28" s="1">
        <v>14686</v>
      </c>
      <c r="P28" s="1">
        <v>93</v>
      </c>
      <c r="Q28" s="1" t="s">
        <v>111</v>
      </c>
      <c r="R28" s="1" t="s">
        <v>50</v>
      </c>
      <c r="S28" s="1">
        <v>0</v>
      </c>
      <c r="T28" s="1">
        <v>0</v>
      </c>
      <c r="U28" s="1">
        <v>116.11799999999999</v>
      </c>
      <c r="V28" s="1">
        <v>26.023</v>
      </c>
      <c r="W28" s="1">
        <v>0.56999999999999995</v>
      </c>
      <c r="X28" s="1">
        <v>0.161</v>
      </c>
      <c r="Y28" s="1">
        <v>26.184999999999999</v>
      </c>
      <c r="Z28" s="1">
        <v>2.702</v>
      </c>
      <c r="AA28" s="1">
        <v>-0.2</v>
      </c>
      <c r="AB28" s="1">
        <v>-0.2</v>
      </c>
      <c r="AC28" s="1">
        <v>-0.2</v>
      </c>
      <c r="AD28" s="1">
        <v>0.161</v>
      </c>
      <c r="AE28" s="1">
        <v>2.6989999999999998</v>
      </c>
      <c r="AF28" s="1">
        <v>0.436</v>
      </c>
      <c r="AG28" s="1">
        <v>-0.2</v>
      </c>
      <c r="AI28" s="1">
        <v>0</v>
      </c>
      <c r="AJ28" s="1">
        <v>0</v>
      </c>
      <c r="AK28" s="1">
        <v>0</v>
      </c>
      <c r="AL28" s="1">
        <v>1</v>
      </c>
      <c r="AM28" s="1">
        <v>54825</v>
      </c>
      <c r="AN28" s="1">
        <v>11579</v>
      </c>
      <c r="AO28" s="1">
        <v>43246</v>
      </c>
      <c r="AP28" s="1">
        <v>47355</v>
      </c>
      <c r="AQ28" s="1">
        <v>12.08164785479444</v>
      </c>
    </row>
    <row r="29" spans="1:43" x14ac:dyDescent="0.45">
      <c r="A29" s="1">
        <v>28</v>
      </c>
      <c r="B29" s="1">
        <v>26</v>
      </c>
      <c r="C29" s="1">
        <v>126</v>
      </c>
      <c r="D29" s="1" t="s">
        <v>51</v>
      </c>
      <c r="E29" s="1" t="s">
        <v>52</v>
      </c>
      <c r="F29" s="1" t="s">
        <v>53</v>
      </c>
      <c r="G29" s="1" t="s">
        <v>54</v>
      </c>
      <c r="H29" s="1" t="s">
        <v>47</v>
      </c>
      <c r="I29" s="1">
        <v>1113</v>
      </c>
      <c r="J29" s="1">
        <v>60690</v>
      </c>
      <c r="K29" s="1">
        <v>1</v>
      </c>
      <c r="L29" s="1">
        <v>125</v>
      </c>
      <c r="M29" s="1">
        <v>1389</v>
      </c>
      <c r="N29" s="1" t="s">
        <v>48</v>
      </c>
      <c r="O29" s="1">
        <v>15184</v>
      </c>
      <c r="P29" s="1">
        <v>93</v>
      </c>
      <c r="Q29" s="1" t="s">
        <v>111</v>
      </c>
      <c r="R29" s="1" t="s">
        <v>50</v>
      </c>
      <c r="S29" s="1">
        <v>0</v>
      </c>
      <c r="T29" s="1">
        <v>0</v>
      </c>
      <c r="U29" s="1">
        <v>94.39</v>
      </c>
      <c r="V29" s="1">
        <v>24.486000000000001</v>
      </c>
      <c r="W29" s="1">
        <v>0.6</v>
      </c>
      <c r="X29" s="1">
        <v>0.22500000000000001</v>
      </c>
      <c r="Y29" s="1">
        <v>24.71</v>
      </c>
      <c r="Z29" s="1">
        <v>3.1890000000000001</v>
      </c>
      <c r="AA29" s="1">
        <v>-0.6</v>
      </c>
      <c r="AB29" s="1">
        <v>-0.6</v>
      </c>
      <c r="AC29" s="1">
        <v>-0.6</v>
      </c>
      <c r="AD29" s="1">
        <v>0.22500000000000001</v>
      </c>
      <c r="AE29" s="1">
        <v>3.1859999999999999</v>
      </c>
      <c r="AF29" s="1">
        <v>0.71599999999999997</v>
      </c>
      <c r="AG29" s="1">
        <v>-0.6</v>
      </c>
      <c r="AI29" s="1">
        <v>0</v>
      </c>
      <c r="AJ29" s="1">
        <v>0</v>
      </c>
      <c r="AK29" s="1">
        <v>0</v>
      </c>
      <c r="AL29" s="1">
        <v>1</v>
      </c>
      <c r="AM29" s="1">
        <v>54927</v>
      </c>
      <c r="AN29" s="1">
        <v>11712</v>
      </c>
      <c r="AO29" s="1">
        <v>43215</v>
      </c>
      <c r="AP29" s="1">
        <v>47805</v>
      </c>
      <c r="AQ29" s="1">
        <v>12.83758631169958</v>
      </c>
    </row>
    <row r="30" spans="1:43" x14ac:dyDescent="0.45">
      <c r="A30" s="1">
        <v>29</v>
      </c>
      <c r="B30" s="1">
        <v>26</v>
      </c>
      <c r="C30" s="1">
        <v>126</v>
      </c>
      <c r="D30" s="1" t="s">
        <v>51</v>
      </c>
      <c r="E30" s="1" t="s">
        <v>52</v>
      </c>
      <c r="F30" s="1" t="s">
        <v>53</v>
      </c>
      <c r="G30" s="1" t="s">
        <v>54</v>
      </c>
      <c r="H30" s="1" t="s">
        <v>47</v>
      </c>
      <c r="I30" s="1">
        <v>1113</v>
      </c>
      <c r="J30" s="1">
        <v>60690</v>
      </c>
      <c r="K30" s="1">
        <v>1</v>
      </c>
      <c r="L30" s="1">
        <v>125</v>
      </c>
      <c r="M30" s="1">
        <v>1390</v>
      </c>
      <c r="N30" s="1" t="s">
        <v>48</v>
      </c>
      <c r="O30" s="1">
        <v>15185</v>
      </c>
      <c r="P30" s="1">
        <v>93</v>
      </c>
      <c r="Q30" s="1" t="s">
        <v>111</v>
      </c>
      <c r="R30" s="1" t="s">
        <v>50</v>
      </c>
      <c r="S30" s="1">
        <v>0</v>
      </c>
      <c r="T30" s="1">
        <v>0</v>
      </c>
      <c r="U30" s="1">
        <v>93.272000000000006</v>
      </c>
      <c r="V30" s="1">
        <v>24.382000000000001</v>
      </c>
      <c r="W30" s="1">
        <v>0.56000000000000005</v>
      </c>
      <c r="X30" s="1">
        <v>0.14000000000000001</v>
      </c>
      <c r="Y30" s="1">
        <v>24.521999999999998</v>
      </c>
      <c r="Z30" s="1">
        <v>3.343</v>
      </c>
      <c r="AA30" s="1">
        <v>-0.8</v>
      </c>
      <c r="AB30" s="1">
        <v>-0.9</v>
      </c>
      <c r="AC30" s="1">
        <v>-0.9</v>
      </c>
      <c r="AD30" s="1">
        <v>0.14000000000000001</v>
      </c>
      <c r="AE30" s="1">
        <v>3.34</v>
      </c>
      <c r="AF30" s="1">
        <v>0.46700000000000003</v>
      </c>
      <c r="AG30" s="1">
        <v>-0.8</v>
      </c>
      <c r="AI30" s="1">
        <v>0</v>
      </c>
      <c r="AJ30" s="1">
        <v>0</v>
      </c>
      <c r="AK30" s="1">
        <v>0</v>
      </c>
      <c r="AL30" s="1">
        <v>1</v>
      </c>
      <c r="AM30" s="1">
        <v>54050</v>
      </c>
      <c r="AN30" s="1">
        <v>10724</v>
      </c>
      <c r="AO30" s="1">
        <v>43326</v>
      </c>
      <c r="AP30" s="1">
        <v>49458</v>
      </c>
      <c r="AQ30" s="1">
        <v>12.84040706273565</v>
      </c>
    </row>
    <row r="31" spans="1:43" x14ac:dyDescent="0.45">
      <c r="A31" s="1">
        <v>30</v>
      </c>
      <c r="B31" s="1">
        <v>26</v>
      </c>
      <c r="C31" s="1">
        <v>126</v>
      </c>
      <c r="D31" s="1" t="s">
        <v>51</v>
      </c>
      <c r="E31" s="1" t="s">
        <v>52</v>
      </c>
      <c r="F31" s="1" t="s">
        <v>53</v>
      </c>
      <c r="G31" s="1" t="s">
        <v>54</v>
      </c>
      <c r="H31" s="1" t="s">
        <v>47</v>
      </c>
      <c r="I31" s="1">
        <v>1113</v>
      </c>
      <c r="J31" s="1">
        <v>60690</v>
      </c>
      <c r="K31" s="1">
        <v>1</v>
      </c>
      <c r="L31" s="1">
        <v>125</v>
      </c>
      <c r="M31" s="1">
        <v>1392</v>
      </c>
      <c r="N31" s="1" t="s">
        <v>48</v>
      </c>
      <c r="O31" s="1">
        <v>15191</v>
      </c>
      <c r="P31" s="1">
        <v>93</v>
      </c>
      <c r="Q31" s="1" t="s">
        <v>111</v>
      </c>
      <c r="R31" s="1" t="s">
        <v>50</v>
      </c>
      <c r="S31" s="1">
        <v>0</v>
      </c>
      <c r="T31" s="1">
        <v>0</v>
      </c>
      <c r="U31" s="1">
        <v>107.297</v>
      </c>
      <c r="V31" s="1">
        <v>23.977</v>
      </c>
      <c r="W31" s="1">
        <v>0.55000000000000004</v>
      </c>
      <c r="X31" s="1">
        <v>0.115</v>
      </c>
      <c r="Y31" s="1">
        <v>24.091000000000001</v>
      </c>
      <c r="Z31" s="1">
        <v>2.9180000000000001</v>
      </c>
      <c r="AA31" s="1">
        <v>-0.9</v>
      </c>
      <c r="AB31" s="1">
        <v>-0.9</v>
      </c>
      <c r="AC31" s="1">
        <v>-0.9</v>
      </c>
      <c r="AD31" s="1">
        <v>0.115</v>
      </c>
      <c r="AE31" s="1">
        <v>2.9140000000000001</v>
      </c>
      <c r="AF31" s="1">
        <v>0.33400000000000002</v>
      </c>
      <c r="AG31" s="1">
        <v>-0.9</v>
      </c>
      <c r="AI31" s="1">
        <v>0</v>
      </c>
      <c r="AJ31" s="1">
        <v>0</v>
      </c>
      <c r="AK31" s="1">
        <v>0</v>
      </c>
      <c r="AL31" s="1">
        <v>1</v>
      </c>
      <c r="AM31" s="1">
        <v>51958</v>
      </c>
      <c r="AN31" s="1">
        <v>8491</v>
      </c>
      <c r="AO31" s="1">
        <v>43468</v>
      </c>
      <c r="AP31" s="1">
        <v>47972</v>
      </c>
      <c r="AQ31" s="1">
        <v>12.987854143834699</v>
      </c>
    </row>
    <row r="32" spans="1:43" x14ac:dyDescent="0.45">
      <c r="A32" s="1">
        <v>31</v>
      </c>
      <c r="B32" s="1">
        <v>26</v>
      </c>
      <c r="C32" s="1">
        <v>126</v>
      </c>
      <c r="D32" s="1" t="s">
        <v>51</v>
      </c>
      <c r="E32" s="1" t="s">
        <v>52</v>
      </c>
      <c r="F32" s="1" t="s">
        <v>53</v>
      </c>
      <c r="G32" s="1" t="s">
        <v>54</v>
      </c>
      <c r="H32" s="1" t="s">
        <v>47</v>
      </c>
      <c r="I32" s="1">
        <v>1113</v>
      </c>
      <c r="J32" s="1">
        <v>60690</v>
      </c>
      <c r="K32" s="1">
        <v>1</v>
      </c>
      <c r="L32" s="1">
        <v>125</v>
      </c>
      <c r="M32" s="1">
        <v>1400</v>
      </c>
      <c r="N32" s="1" t="s">
        <v>48</v>
      </c>
      <c r="O32" s="1">
        <v>15204</v>
      </c>
      <c r="P32" s="1">
        <v>93</v>
      </c>
      <c r="Q32" s="1" t="s">
        <v>111</v>
      </c>
      <c r="R32" s="1" t="s">
        <v>50</v>
      </c>
      <c r="S32" s="1">
        <v>0</v>
      </c>
      <c r="T32" s="1">
        <v>0</v>
      </c>
      <c r="U32" s="1">
        <v>79.594999999999999</v>
      </c>
      <c r="V32" s="1">
        <v>24.753</v>
      </c>
      <c r="W32" s="1">
        <v>0.6</v>
      </c>
      <c r="X32" s="1">
        <v>0.22</v>
      </c>
      <c r="Y32" s="1">
        <v>24.972999999999999</v>
      </c>
      <c r="Z32" s="1">
        <v>3.056</v>
      </c>
      <c r="AA32" s="1">
        <v>-0.4</v>
      </c>
      <c r="AB32" s="1">
        <v>-0.4</v>
      </c>
      <c r="AC32" s="1">
        <v>-0.4</v>
      </c>
      <c r="AD32" s="1">
        <v>0.22</v>
      </c>
      <c r="AE32" s="1">
        <v>3.0529999999999999</v>
      </c>
      <c r="AF32" s="1">
        <v>0.67200000000000004</v>
      </c>
      <c r="AG32" s="1">
        <v>-0.4</v>
      </c>
      <c r="AI32" s="1">
        <v>0</v>
      </c>
      <c r="AJ32" s="1">
        <v>0</v>
      </c>
      <c r="AK32" s="1">
        <v>0</v>
      </c>
      <c r="AL32" s="1">
        <v>1</v>
      </c>
      <c r="AM32" s="1">
        <v>54515</v>
      </c>
      <c r="AN32" s="1">
        <v>11241</v>
      </c>
      <c r="AO32" s="1">
        <v>43274</v>
      </c>
      <c r="AP32" s="1">
        <v>47836</v>
      </c>
      <c r="AQ32" s="1">
        <v>19.459536924004158</v>
      </c>
    </row>
    <row r="33" spans="1:43" x14ac:dyDescent="0.45">
      <c r="A33" s="1">
        <v>32</v>
      </c>
      <c r="B33" s="1">
        <v>26</v>
      </c>
      <c r="C33" s="1">
        <v>126</v>
      </c>
      <c r="D33" s="1" t="s">
        <v>51</v>
      </c>
      <c r="E33" s="1" t="s">
        <v>52</v>
      </c>
      <c r="F33" s="1" t="s">
        <v>53</v>
      </c>
      <c r="G33" s="1" t="s">
        <v>54</v>
      </c>
      <c r="H33" s="1" t="s">
        <v>47</v>
      </c>
      <c r="I33" s="1">
        <v>1113</v>
      </c>
      <c r="J33" s="1">
        <v>60690</v>
      </c>
      <c r="K33" s="1">
        <v>1</v>
      </c>
      <c r="L33" s="1">
        <v>125</v>
      </c>
      <c r="M33" s="1">
        <v>1401</v>
      </c>
      <c r="N33" s="1" t="s">
        <v>48</v>
      </c>
      <c r="O33" s="1">
        <v>15206</v>
      </c>
      <c r="P33" s="1">
        <v>93</v>
      </c>
      <c r="Q33" s="1" t="s">
        <v>111</v>
      </c>
      <c r="R33" s="1" t="s">
        <v>50</v>
      </c>
      <c r="S33" s="1">
        <v>0</v>
      </c>
      <c r="T33" s="1">
        <v>0</v>
      </c>
      <c r="U33" s="1">
        <v>97.302999999999997</v>
      </c>
      <c r="V33" s="1">
        <v>25.012</v>
      </c>
      <c r="W33" s="1">
        <v>0.56000000000000005</v>
      </c>
      <c r="X33" s="1">
        <v>0.14899999999999999</v>
      </c>
      <c r="Y33" s="1">
        <v>25.16</v>
      </c>
      <c r="Z33" s="1">
        <v>2.931</v>
      </c>
      <c r="AA33" s="1">
        <v>-0.6</v>
      </c>
      <c r="AB33" s="1">
        <v>-0.6</v>
      </c>
      <c r="AC33" s="1">
        <v>-0.6</v>
      </c>
      <c r="AD33" s="1">
        <v>0.14899999999999999</v>
      </c>
      <c r="AE33" s="1">
        <v>2.9289999999999998</v>
      </c>
      <c r="AF33" s="1">
        <v>0.435</v>
      </c>
      <c r="AG33" s="1">
        <v>-0.6</v>
      </c>
      <c r="AI33" s="1">
        <v>0</v>
      </c>
      <c r="AJ33" s="1">
        <v>0</v>
      </c>
      <c r="AK33" s="1">
        <v>0</v>
      </c>
      <c r="AL33" s="1">
        <v>1</v>
      </c>
      <c r="AM33" s="1">
        <v>54030</v>
      </c>
      <c r="AN33" s="1">
        <v>10621</v>
      </c>
      <c r="AO33" s="1">
        <v>43409</v>
      </c>
      <c r="AP33" s="1">
        <v>47375</v>
      </c>
      <c r="AQ33" s="1">
        <v>1.078657226174325</v>
      </c>
    </row>
    <row r="34" spans="1:43" x14ac:dyDescent="0.45">
      <c r="A34" s="1">
        <v>33</v>
      </c>
      <c r="B34" s="1">
        <v>26</v>
      </c>
      <c r="C34" s="1">
        <v>126</v>
      </c>
      <c r="D34" s="1" t="s">
        <v>51</v>
      </c>
      <c r="E34" s="1" t="s">
        <v>52</v>
      </c>
      <c r="F34" s="1" t="s">
        <v>53</v>
      </c>
      <c r="G34" s="1" t="s">
        <v>54</v>
      </c>
      <c r="H34" s="1" t="s">
        <v>47</v>
      </c>
      <c r="I34" s="1">
        <v>1113</v>
      </c>
      <c r="J34" s="1">
        <v>60690</v>
      </c>
      <c r="K34" s="1">
        <v>1</v>
      </c>
      <c r="L34" s="1">
        <v>125</v>
      </c>
      <c r="M34" s="1">
        <v>1404</v>
      </c>
      <c r="N34" s="1" t="s">
        <v>48</v>
      </c>
      <c r="O34" s="1">
        <v>15209</v>
      </c>
      <c r="P34" s="1">
        <v>93</v>
      </c>
      <c r="Q34" s="1" t="s">
        <v>111</v>
      </c>
      <c r="R34" s="1" t="s">
        <v>50</v>
      </c>
      <c r="S34" s="1">
        <v>0</v>
      </c>
      <c r="T34" s="1">
        <v>0</v>
      </c>
      <c r="U34" s="1">
        <v>81.462000000000003</v>
      </c>
      <c r="V34" s="1">
        <v>25.463000000000001</v>
      </c>
      <c r="W34" s="1">
        <v>0.59</v>
      </c>
      <c r="X34" s="1">
        <v>0.20799999999999999</v>
      </c>
      <c r="Y34" s="1">
        <v>25.670999999999999</v>
      </c>
      <c r="Z34" s="1">
        <v>2.9390000000000001</v>
      </c>
      <c r="AA34" s="1">
        <v>-0.3</v>
      </c>
      <c r="AB34" s="1">
        <v>-0.3</v>
      </c>
      <c r="AC34" s="1">
        <v>-0.3</v>
      </c>
      <c r="AD34" s="1">
        <v>0.20799999999999999</v>
      </c>
      <c r="AE34" s="1">
        <v>2.9350000000000001</v>
      </c>
      <c r="AF34" s="1">
        <v>0.61</v>
      </c>
      <c r="AG34" s="1">
        <v>-0.3</v>
      </c>
      <c r="AI34" s="1">
        <v>0</v>
      </c>
      <c r="AJ34" s="1">
        <v>0</v>
      </c>
      <c r="AK34" s="1">
        <v>0</v>
      </c>
      <c r="AL34" s="1">
        <v>1</v>
      </c>
      <c r="AM34" s="1">
        <v>54896</v>
      </c>
      <c r="AN34" s="1">
        <v>11657</v>
      </c>
      <c r="AO34" s="1">
        <v>43239</v>
      </c>
      <c r="AP34" s="1">
        <v>47425</v>
      </c>
      <c r="AQ34" s="1">
        <v>19.44385401632449</v>
      </c>
    </row>
    <row r="35" spans="1:43" x14ac:dyDescent="0.45">
      <c r="A35" s="1">
        <v>34</v>
      </c>
      <c r="B35" s="1">
        <v>26</v>
      </c>
      <c r="C35" s="1">
        <v>126</v>
      </c>
      <c r="D35" s="1" t="s">
        <v>51</v>
      </c>
      <c r="E35" s="1" t="s">
        <v>52</v>
      </c>
      <c r="F35" s="1" t="s">
        <v>53</v>
      </c>
      <c r="G35" s="1" t="s">
        <v>54</v>
      </c>
      <c r="H35" s="1" t="s">
        <v>47</v>
      </c>
      <c r="I35" s="1">
        <v>1113</v>
      </c>
      <c r="J35" s="1">
        <v>60690</v>
      </c>
      <c r="K35" s="1">
        <v>1</v>
      </c>
      <c r="L35" s="1">
        <v>125</v>
      </c>
      <c r="M35" s="1">
        <v>1405</v>
      </c>
      <c r="N35" s="1" t="s">
        <v>48</v>
      </c>
      <c r="O35" s="1">
        <v>15210</v>
      </c>
      <c r="P35" s="1">
        <v>93</v>
      </c>
      <c r="Q35" s="1" t="s">
        <v>111</v>
      </c>
      <c r="R35" s="1" t="s">
        <v>50</v>
      </c>
      <c r="S35" s="1">
        <v>0</v>
      </c>
      <c r="T35" s="1">
        <v>0</v>
      </c>
      <c r="U35" s="1">
        <v>105.574</v>
      </c>
      <c r="V35" s="1">
        <v>25.87</v>
      </c>
      <c r="W35" s="1">
        <v>0.56000000000000005</v>
      </c>
      <c r="X35" s="1">
        <v>0.13800000000000001</v>
      </c>
      <c r="Y35" s="1">
        <v>26.007999999999999</v>
      </c>
      <c r="Z35" s="1">
        <v>2.6659999999999999</v>
      </c>
      <c r="AA35" s="1">
        <v>-0.3</v>
      </c>
      <c r="AB35" s="1">
        <v>-0.3</v>
      </c>
      <c r="AC35" s="1">
        <v>-0.3</v>
      </c>
      <c r="AD35" s="1">
        <v>0.13800000000000001</v>
      </c>
      <c r="AE35" s="1">
        <v>2.6629999999999998</v>
      </c>
      <c r="AF35" s="1">
        <v>0.36699999999999999</v>
      </c>
      <c r="AG35" s="1">
        <v>-0.3</v>
      </c>
      <c r="AI35" s="1">
        <v>0</v>
      </c>
      <c r="AJ35" s="1">
        <v>0</v>
      </c>
      <c r="AK35" s="1">
        <v>0</v>
      </c>
      <c r="AL35" s="1">
        <v>1</v>
      </c>
      <c r="AM35" s="1">
        <v>54422</v>
      </c>
      <c r="AN35" s="1">
        <v>11113</v>
      </c>
      <c r="AO35" s="1">
        <v>43309</v>
      </c>
      <c r="AP35" s="1">
        <v>47417</v>
      </c>
      <c r="AQ35" s="1">
        <v>11.96136608012406</v>
      </c>
    </row>
    <row r="36" spans="1:43" x14ac:dyDescent="0.45">
      <c r="A36" s="1">
        <v>35</v>
      </c>
      <c r="B36" s="1">
        <v>26</v>
      </c>
      <c r="C36" s="1">
        <v>126</v>
      </c>
      <c r="D36" s="1" t="s">
        <v>51</v>
      </c>
      <c r="E36" s="1" t="s">
        <v>52</v>
      </c>
      <c r="F36" s="1" t="s">
        <v>53</v>
      </c>
      <c r="G36" s="1" t="s">
        <v>54</v>
      </c>
      <c r="H36" s="1" t="s">
        <v>47</v>
      </c>
      <c r="I36" s="1">
        <v>1113</v>
      </c>
      <c r="J36" s="1">
        <v>60690</v>
      </c>
      <c r="K36" s="1">
        <v>1</v>
      </c>
      <c r="L36" s="1">
        <v>125</v>
      </c>
      <c r="M36" s="1">
        <v>1406</v>
      </c>
      <c r="N36" s="1" t="s">
        <v>48</v>
      </c>
      <c r="O36" s="1">
        <v>15219</v>
      </c>
      <c r="P36" s="1">
        <v>93</v>
      </c>
      <c r="Q36" s="1" t="s">
        <v>111</v>
      </c>
      <c r="R36" s="1" t="s">
        <v>50</v>
      </c>
      <c r="S36" s="1">
        <v>0</v>
      </c>
      <c r="T36" s="1">
        <v>0</v>
      </c>
      <c r="U36" s="1">
        <v>162.55099999999999</v>
      </c>
      <c r="V36" s="1">
        <v>27.558</v>
      </c>
      <c r="W36" s="1">
        <v>0.62</v>
      </c>
      <c r="X36" s="1">
        <v>0.65</v>
      </c>
      <c r="Y36" s="1">
        <v>28.207999999999998</v>
      </c>
      <c r="Z36" s="1">
        <v>0.28000000000000003</v>
      </c>
      <c r="AA36" s="1">
        <v>-3.1</v>
      </c>
      <c r="AB36" s="1">
        <v>-3.1</v>
      </c>
      <c r="AC36" s="1">
        <v>-3.1</v>
      </c>
      <c r="AD36" s="1">
        <v>0.65</v>
      </c>
      <c r="AE36" s="1">
        <v>0.28000000000000003</v>
      </c>
      <c r="AF36" s="1">
        <v>0.182</v>
      </c>
      <c r="AG36" s="1">
        <v>-3.1</v>
      </c>
      <c r="AI36" s="1">
        <v>0</v>
      </c>
      <c r="AJ36" s="1">
        <v>0</v>
      </c>
      <c r="AK36" s="1">
        <v>0</v>
      </c>
      <c r="AL36" s="1">
        <v>1</v>
      </c>
      <c r="AM36" s="1">
        <v>86400</v>
      </c>
      <c r="AN36" s="1">
        <v>81252</v>
      </c>
      <c r="AO36" s="1">
        <v>5148</v>
      </c>
      <c r="AP36" s="1">
        <v>43431</v>
      </c>
      <c r="AQ36" s="1">
        <v>18.413686504200541</v>
      </c>
    </row>
    <row r="37" spans="1:43" x14ac:dyDescent="0.45">
      <c r="A37" s="1">
        <v>36</v>
      </c>
      <c r="B37" s="1">
        <v>26</v>
      </c>
      <c r="C37" s="1">
        <v>126</v>
      </c>
      <c r="D37" s="1" t="s">
        <v>51</v>
      </c>
      <c r="E37" s="1" t="s">
        <v>52</v>
      </c>
      <c r="F37" s="1" t="s">
        <v>53</v>
      </c>
      <c r="G37" s="1" t="s">
        <v>54</v>
      </c>
      <c r="H37" s="1" t="s">
        <v>47</v>
      </c>
      <c r="I37" s="1">
        <v>1113</v>
      </c>
      <c r="J37" s="1">
        <v>60690</v>
      </c>
      <c r="K37" s="1">
        <v>1</v>
      </c>
      <c r="L37" s="1">
        <v>125</v>
      </c>
      <c r="M37" s="1">
        <v>1407</v>
      </c>
      <c r="N37" s="1" t="s">
        <v>48</v>
      </c>
      <c r="O37" s="1">
        <v>15220</v>
      </c>
      <c r="P37" s="1">
        <v>93</v>
      </c>
      <c r="Q37" s="1" t="s">
        <v>111</v>
      </c>
      <c r="R37" s="1" t="s">
        <v>50</v>
      </c>
      <c r="S37" s="1">
        <v>0</v>
      </c>
      <c r="T37" s="1">
        <v>0</v>
      </c>
      <c r="U37" s="1">
        <v>214.108</v>
      </c>
      <c r="V37" s="1">
        <v>28.081</v>
      </c>
      <c r="W37" s="1">
        <v>0.52</v>
      </c>
      <c r="X37" s="1">
        <v>0.128</v>
      </c>
      <c r="Y37" s="1">
        <v>28.209</v>
      </c>
      <c r="Z37" s="1">
        <v>4.2999999999999997E-2</v>
      </c>
      <c r="AA37" s="1">
        <v>-1.7</v>
      </c>
      <c r="AB37" s="1">
        <v>-1.7</v>
      </c>
      <c r="AC37" s="1">
        <v>-1.7</v>
      </c>
      <c r="AD37" s="1">
        <v>0.128</v>
      </c>
      <c r="AE37" s="1">
        <v>4.2999999999999997E-2</v>
      </c>
      <c r="AF37" s="1">
        <v>6.0000000000000001E-3</v>
      </c>
      <c r="AG37" s="1">
        <v>-1.7</v>
      </c>
      <c r="AI37" s="1">
        <v>0</v>
      </c>
      <c r="AJ37" s="1">
        <v>0</v>
      </c>
      <c r="AK37" s="1">
        <v>0</v>
      </c>
      <c r="AL37" s="1">
        <v>1</v>
      </c>
      <c r="AM37" s="1">
        <v>86400</v>
      </c>
      <c r="AN37" s="1">
        <v>73470</v>
      </c>
      <c r="AO37" s="1">
        <v>12930</v>
      </c>
      <c r="AP37" s="1">
        <v>43586</v>
      </c>
      <c r="AQ37" s="1">
        <v>4.3455347958324149</v>
      </c>
    </row>
    <row r="38" spans="1:43" x14ac:dyDescent="0.45">
      <c r="A38" s="1">
        <v>37</v>
      </c>
      <c r="B38" s="1">
        <v>26</v>
      </c>
      <c r="C38" s="1">
        <v>126</v>
      </c>
      <c r="D38" s="1" t="s">
        <v>51</v>
      </c>
      <c r="E38" s="1" t="s">
        <v>52</v>
      </c>
      <c r="F38" s="1" t="s">
        <v>53</v>
      </c>
      <c r="G38" s="1" t="s">
        <v>54</v>
      </c>
      <c r="H38" s="1" t="s">
        <v>47</v>
      </c>
      <c r="I38" s="1">
        <v>1113</v>
      </c>
      <c r="J38" s="1">
        <v>60690</v>
      </c>
      <c r="K38" s="1">
        <v>1</v>
      </c>
      <c r="L38" s="1">
        <v>125</v>
      </c>
      <c r="M38" s="1">
        <v>1408</v>
      </c>
      <c r="N38" s="1" t="s">
        <v>48</v>
      </c>
      <c r="O38" s="1">
        <v>15221</v>
      </c>
      <c r="P38" s="1">
        <v>93</v>
      </c>
      <c r="Q38" s="1" t="s">
        <v>111</v>
      </c>
      <c r="R38" s="1" t="s">
        <v>50</v>
      </c>
      <c r="S38" s="1">
        <v>0</v>
      </c>
      <c r="T38" s="1">
        <v>0</v>
      </c>
      <c r="U38" s="1">
        <v>173.398</v>
      </c>
      <c r="V38" s="1">
        <v>27.64</v>
      </c>
      <c r="W38" s="1">
        <v>0.6</v>
      </c>
      <c r="X38" s="1">
        <v>0.56899999999999995</v>
      </c>
      <c r="Y38" s="1">
        <v>28.207999999999998</v>
      </c>
      <c r="Z38" s="1">
        <v>0.28299999999999997</v>
      </c>
      <c r="AA38" s="1">
        <v>1.7</v>
      </c>
      <c r="AB38" s="1">
        <v>1.7</v>
      </c>
      <c r="AC38" s="1">
        <v>1.7</v>
      </c>
      <c r="AD38" s="1">
        <v>0.56899999999999995</v>
      </c>
      <c r="AE38" s="1">
        <v>0.28299999999999997</v>
      </c>
      <c r="AF38" s="1">
        <v>0.161</v>
      </c>
      <c r="AG38" s="1">
        <v>1.7</v>
      </c>
      <c r="AI38" s="1">
        <v>0</v>
      </c>
      <c r="AJ38" s="1">
        <v>0</v>
      </c>
      <c r="AK38" s="1">
        <v>0</v>
      </c>
      <c r="AL38" s="1">
        <v>1</v>
      </c>
      <c r="AM38" s="1">
        <v>86400</v>
      </c>
      <c r="AN38" s="1">
        <v>81507</v>
      </c>
      <c r="AO38" s="1">
        <v>4893</v>
      </c>
      <c r="AP38" s="1">
        <v>43418</v>
      </c>
      <c r="AQ38" s="1">
        <v>18.611463029148041</v>
      </c>
    </row>
    <row r="39" spans="1:43" x14ac:dyDescent="0.45">
      <c r="A39" s="1">
        <v>38</v>
      </c>
      <c r="B39" s="1">
        <v>73</v>
      </c>
      <c r="C39" s="1">
        <v>83</v>
      </c>
      <c r="D39" s="1" t="s">
        <v>55</v>
      </c>
      <c r="E39" s="1" t="s">
        <v>56</v>
      </c>
      <c r="F39" s="1" t="s">
        <v>57</v>
      </c>
      <c r="G39" s="1" t="s">
        <v>46</v>
      </c>
      <c r="H39" s="1" t="s">
        <v>47</v>
      </c>
      <c r="I39" s="1">
        <v>1176</v>
      </c>
      <c r="J39" s="1">
        <v>30288</v>
      </c>
      <c r="K39" s="1">
        <v>1</v>
      </c>
      <c r="L39" s="1">
        <v>82</v>
      </c>
      <c r="M39" s="1">
        <v>1964</v>
      </c>
      <c r="N39" s="1" t="s">
        <v>48</v>
      </c>
      <c r="O39" s="1">
        <v>197185</v>
      </c>
      <c r="P39" s="1">
        <v>93</v>
      </c>
      <c r="Q39" s="1" t="s">
        <v>111</v>
      </c>
      <c r="R39" s="1" t="s">
        <v>50</v>
      </c>
      <c r="S39" s="1">
        <v>0</v>
      </c>
      <c r="T39" s="1">
        <v>0</v>
      </c>
      <c r="U39" s="1">
        <v>51.997</v>
      </c>
      <c r="V39" s="1">
        <v>25.521000000000001</v>
      </c>
      <c r="W39" s="1">
        <v>0.52</v>
      </c>
      <c r="X39" s="1">
        <v>0.11</v>
      </c>
      <c r="Y39" s="1">
        <v>25.631</v>
      </c>
      <c r="Z39" s="1">
        <v>0.106</v>
      </c>
      <c r="AA39" s="1">
        <v>0.2</v>
      </c>
      <c r="AB39" s="1">
        <v>0.3</v>
      </c>
      <c r="AC39" s="1">
        <v>0.3</v>
      </c>
      <c r="AD39" s="1">
        <v>0.11</v>
      </c>
      <c r="AE39" s="1">
        <v>0.10100000000000001</v>
      </c>
      <c r="AF39" s="1">
        <v>1.0999999999999999E-2</v>
      </c>
      <c r="AG39" s="1">
        <v>0.2</v>
      </c>
      <c r="AI39" s="1">
        <v>0</v>
      </c>
      <c r="AJ39" s="1">
        <v>0</v>
      </c>
      <c r="AK39" s="1">
        <v>0</v>
      </c>
      <c r="AL39" s="1">
        <v>1</v>
      </c>
      <c r="AM39" s="1">
        <v>86400</v>
      </c>
      <c r="AN39" s="1">
        <v>77259</v>
      </c>
      <c r="AO39" s="1">
        <v>9141</v>
      </c>
      <c r="AP39" s="1">
        <v>45074</v>
      </c>
      <c r="AQ39" s="1">
        <v>6.099070999539685</v>
      </c>
    </row>
    <row r="40" spans="1:43" x14ac:dyDescent="0.45">
      <c r="A40" s="1">
        <v>39</v>
      </c>
      <c r="B40" s="1">
        <v>73</v>
      </c>
      <c r="C40" s="1">
        <v>83</v>
      </c>
      <c r="D40" s="1" t="s">
        <v>55</v>
      </c>
      <c r="E40" s="1" t="s">
        <v>56</v>
      </c>
      <c r="F40" s="1" t="s">
        <v>57</v>
      </c>
      <c r="G40" s="1" t="s">
        <v>46</v>
      </c>
      <c r="H40" s="1" t="s">
        <v>47</v>
      </c>
      <c r="I40" s="1">
        <v>1176</v>
      </c>
      <c r="J40" s="1">
        <v>30288</v>
      </c>
      <c r="K40" s="1">
        <v>1</v>
      </c>
      <c r="L40" s="1">
        <v>82</v>
      </c>
      <c r="M40" s="1">
        <v>1965</v>
      </c>
      <c r="N40" s="1" t="s">
        <v>48</v>
      </c>
      <c r="O40" s="1">
        <v>197186</v>
      </c>
      <c r="P40" s="1">
        <v>93</v>
      </c>
      <c r="Q40" s="1" t="s">
        <v>111</v>
      </c>
      <c r="R40" s="1" t="s">
        <v>50</v>
      </c>
      <c r="S40" s="1">
        <v>0</v>
      </c>
      <c r="T40" s="1">
        <v>0</v>
      </c>
      <c r="U40" s="1">
        <v>86.650999999999996</v>
      </c>
      <c r="V40" s="1">
        <v>25.417000000000002</v>
      </c>
      <c r="W40" s="1">
        <v>0.54</v>
      </c>
      <c r="X40" s="1">
        <v>0.21299999999999999</v>
      </c>
      <c r="Y40" s="1">
        <v>25.631</v>
      </c>
      <c r="Z40" s="1">
        <v>0.14199999999999999</v>
      </c>
      <c r="AA40" s="1">
        <v>0.6</v>
      </c>
      <c r="AB40" s="1">
        <v>0.6</v>
      </c>
      <c r="AC40" s="1">
        <v>0.6</v>
      </c>
      <c r="AD40" s="1">
        <v>0.21299999999999999</v>
      </c>
      <c r="AE40" s="1">
        <v>0.13</v>
      </c>
      <c r="AF40" s="1">
        <v>2.8000000000000001E-2</v>
      </c>
      <c r="AG40" s="1">
        <v>0.6</v>
      </c>
      <c r="AI40" s="1">
        <v>0</v>
      </c>
      <c r="AJ40" s="1">
        <v>0</v>
      </c>
      <c r="AK40" s="1">
        <v>0</v>
      </c>
      <c r="AL40" s="1">
        <v>1</v>
      </c>
      <c r="AM40" s="1">
        <v>86400</v>
      </c>
      <c r="AN40" s="1">
        <v>81548</v>
      </c>
      <c r="AO40" s="1">
        <v>4852</v>
      </c>
      <c r="AP40" s="1">
        <v>46956</v>
      </c>
      <c r="AQ40" s="1">
        <v>18.19739861676883</v>
      </c>
    </row>
    <row r="41" spans="1:43" x14ac:dyDescent="0.45">
      <c r="A41" s="1">
        <v>40</v>
      </c>
      <c r="B41" s="1">
        <v>73</v>
      </c>
      <c r="C41" s="1">
        <v>83</v>
      </c>
      <c r="D41" s="1" t="s">
        <v>55</v>
      </c>
      <c r="E41" s="1" t="s">
        <v>56</v>
      </c>
      <c r="F41" s="1" t="s">
        <v>57</v>
      </c>
      <c r="G41" s="1" t="s">
        <v>46</v>
      </c>
      <c r="H41" s="1" t="s">
        <v>47</v>
      </c>
      <c r="I41" s="1">
        <v>1176</v>
      </c>
      <c r="J41" s="1">
        <v>30288</v>
      </c>
      <c r="K41" s="1">
        <v>1</v>
      </c>
      <c r="L41" s="1">
        <v>82</v>
      </c>
      <c r="M41" s="1">
        <v>1966</v>
      </c>
      <c r="N41" s="1" t="s">
        <v>48</v>
      </c>
      <c r="O41" s="1">
        <v>197191</v>
      </c>
      <c r="P41" s="1">
        <v>93</v>
      </c>
      <c r="Q41" s="1" t="s">
        <v>111</v>
      </c>
      <c r="R41" s="1" t="s">
        <v>50</v>
      </c>
      <c r="S41" s="1">
        <v>0</v>
      </c>
      <c r="T41" s="1">
        <v>0</v>
      </c>
      <c r="U41" s="1">
        <v>337.67399999999998</v>
      </c>
      <c r="V41" s="1">
        <v>25.428000000000001</v>
      </c>
      <c r="W41" s="1">
        <v>0.53</v>
      </c>
      <c r="X41" s="1">
        <v>0.20200000000000001</v>
      </c>
      <c r="Y41" s="1">
        <v>25.629000000000001</v>
      </c>
      <c r="Z41" s="1">
        <v>0.125</v>
      </c>
      <c r="AA41" s="1">
        <v>1</v>
      </c>
      <c r="AB41" s="1">
        <v>1.1000000000000001</v>
      </c>
      <c r="AC41" s="1">
        <v>1.1000000000000001</v>
      </c>
      <c r="AD41" s="1">
        <v>0.20200000000000001</v>
      </c>
      <c r="AE41" s="1">
        <v>0.123</v>
      </c>
      <c r="AF41" s="1">
        <v>2.5000000000000001E-2</v>
      </c>
      <c r="AG41" s="1">
        <v>1</v>
      </c>
      <c r="AI41" s="1">
        <v>0</v>
      </c>
      <c r="AJ41" s="1">
        <v>0</v>
      </c>
      <c r="AK41" s="1">
        <v>0</v>
      </c>
      <c r="AL41" s="1">
        <v>1</v>
      </c>
      <c r="AM41" s="1">
        <v>86400</v>
      </c>
      <c r="AN41" s="1">
        <v>79779</v>
      </c>
      <c r="AO41" s="1">
        <v>6621</v>
      </c>
      <c r="AP41" s="1">
        <v>45422</v>
      </c>
      <c r="AQ41" s="1">
        <v>22.042314828065258</v>
      </c>
    </row>
    <row r="42" spans="1:43" x14ac:dyDescent="0.45">
      <c r="A42" s="1">
        <v>41</v>
      </c>
      <c r="B42" s="1">
        <v>73</v>
      </c>
      <c r="C42" s="1">
        <v>83</v>
      </c>
      <c r="D42" s="1" t="s">
        <v>55</v>
      </c>
      <c r="E42" s="1" t="s">
        <v>56</v>
      </c>
      <c r="F42" s="1" t="s">
        <v>57</v>
      </c>
      <c r="G42" s="1" t="s">
        <v>46</v>
      </c>
      <c r="H42" s="1" t="s">
        <v>47</v>
      </c>
      <c r="I42" s="1">
        <v>1176</v>
      </c>
      <c r="J42" s="1">
        <v>30288</v>
      </c>
      <c r="K42" s="1">
        <v>1</v>
      </c>
      <c r="L42" s="1">
        <v>82</v>
      </c>
      <c r="M42" s="1">
        <v>1967</v>
      </c>
      <c r="N42" s="1" t="s">
        <v>48</v>
      </c>
      <c r="O42" s="1">
        <v>197193</v>
      </c>
      <c r="P42" s="1">
        <v>93</v>
      </c>
      <c r="Q42" s="1" t="s">
        <v>111</v>
      </c>
      <c r="R42" s="1" t="s">
        <v>50</v>
      </c>
      <c r="S42" s="1">
        <v>0</v>
      </c>
      <c r="T42" s="1">
        <v>0</v>
      </c>
      <c r="U42" s="1">
        <v>187.57</v>
      </c>
      <c r="V42" s="1">
        <v>25.488</v>
      </c>
      <c r="W42" s="1">
        <v>0.52</v>
      </c>
      <c r="X42" s="1">
        <v>0.14099999999999999</v>
      </c>
      <c r="Y42" s="1">
        <v>25.629000000000001</v>
      </c>
      <c r="Z42" s="1">
        <v>0.10199999999999999</v>
      </c>
      <c r="AA42" s="1">
        <v>0.6</v>
      </c>
      <c r="AB42" s="1">
        <v>0.6</v>
      </c>
      <c r="AC42" s="1">
        <v>0.6</v>
      </c>
      <c r="AD42" s="1">
        <v>0.14099999999999999</v>
      </c>
      <c r="AE42" s="1">
        <v>9.8000000000000004E-2</v>
      </c>
      <c r="AF42" s="1">
        <v>1.4E-2</v>
      </c>
      <c r="AG42" s="1">
        <v>0.6</v>
      </c>
      <c r="AI42" s="1">
        <v>0</v>
      </c>
      <c r="AJ42" s="1">
        <v>0</v>
      </c>
      <c r="AK42" s="1">
        <v>0</v>
      </c>
      <c r="AL42" s="1">
        <v>1</v>
      </c>
      <c r="AM42" s="1">
        <v>86400</v>
      </c>
      <c r="AN42" s="1">
        <v>78155</v>
      </c>
      <c r="AO42" s="1">
        <v>8245</v>
      </c>
      <c r="AP42" s="1">
        <v>46995</v>
      </c>
      <c r="AQ42" s="1">
        <v>2.9982988472460508</v>
      </c>
    </row>
    <row r="43" spans="1:43" x14ac:dyDescent="0.45">
      <c r="A43" s="1">
        <v>42</v>
      </c>
      <c r="B43" s="1">
        <v>73</v>
      </c>
      <c r="C43" s="1">
        <v>83</v>
      </c>
      <c r="D43" s="1" t="s">
        <v>55</v>
      </c>
      <c r="E43" s="1" t="s">
        <v>56</v>
      </c>
      <c r="F43" s="1" t="s">
        <v>57</v>
      </c>
      <c r="G43" s="1" t="s">
        <v>46</v>
      </c>
      <c r="H43" s="1" t="s">
        <v>47</v>
      </c>
      <c r="I43" s="1">
        <v>1176</v>
      </c>
      <c r="J43" s="1">
        <v>30288</v>
      </c>
      <c r="K43" s="1">
        <v>1</v>
      </c>
      <c r="L43" s="1">
        <v>82</v>
      </c>
      <c r="M43" s="1">
        <v>1984</v>
      </c>
      <c r="N43" s="1" t="s">
        <v>48</v>
      </c>
      <c r="O43" s="1">
        <v>197607</v>
      </c>
      <c r="P43" s="1">
        <v>93</v>
      </c>
      <c r="Q43" s="1" t="s">
        <v>111</v>
      </c>
      <c r="R43" s="1" t="s">
        <v>50</v>
      </c>
      <c r="S43" s="1">
        <v>0</v>
      </c>
      <c r="T43" s="1">
        <v>0</v>
      </c>
      <c r="U43" s="1">
        <v>321.52999999999997</v>
      </c>
      <c r="V43" s="1">
        <v>25.452000000000002</v>
      </c>
      <c r="W43" s="1">
        <v>0.53</v>
      </c>
      <c r="X43" s="1">
        <v>0.16</v>
      </c>
      <c r="Y43" s="1">
        <v>25.611999999999998</v>
      </c>
      <c r="Z43" s="1">
        <v>0.14000000000000001</v>
      </c>
      <c r="AA43" s="1">
        <v>0.1</v>
      </c>
      <c r="AB43" s="1">
        <v>0.1</v>
      </c>
      <c r="AC43" s="1">
        <v>0.1</v>
      </c>
      <c r="AD43" s="1">
        <v>0.16</v>
      </c>
      <c r="AE43" s="1">
        <v>0.13100000000000001</v>
      </c>
      <c r="AF43" s="1">
        <v>2.1000000000000001E-2</v>
      </c>
      <c r="AG43" s="1">
        <v>0.1</v>
      </c>
      <c r="AI43" s="1">
        <v>0</v>
      </c>
      <c r="AJ43" s="1">
        <v>0</v>
      </c>
      <c r="AK43" s="1">
        <v>0</v>
      </c>
      <c r="AL43" s="1">
        <v>1</v>
      </c>
      <c r="AM43" s="1">
        <v>86400</v>
      </c>
      <c r="AN43" s="1">
        <v>77211</v>
      </c>
      <c r="AO43" s="1">
        <v>9189</v>
      </c>
      <c r="AP43" s="1">
        <v>47259</v>
      </c>
      <c r="AQ43" s="1">
        <v>24.308660373477451</v>
      </c>
    </row>
    <row r="44" spans="1:43" x14ac:dyDescent="0.45">
      <c r="A44" s="1">
        <v>43</v>
      </c>
      <c r="B44" s="1">
        <v>73</v>
      </c>
      <c r="C44" s="1">
        <v>83</v>
      </c>
      <c r="D44" s="1" t="s">
        <v>55</v>
      </c>
      <c r="E44" s="1" t="s">
        <v>56</v>
      </c>
      <c r="F44" s="1" t="s">
        <v>57</v>
      </c>
      <c r="G44" s="1" t="s">
        <v>46</v>
      </c>
      <c r="H44" s="1" t="s">
        <v>47</v>
      </c>
      <c r="I44" s="1">
        <v>1176</v>
      </c>
      <c r="J44" s="1">
        <v>30288</v>
      </c>
      <c r="K44" s="1">
        <v>1</v>
      </c>
      <c r="L44" s="1">
        <v>82</v>
      </c>
      <c r="M44" s="1">
        <v>1985</v>
      </c>
      <c r="N44" s="1" t="s">
        <v>48</v>
      </c>
      <c r="O44" s="1">
        <v>197609</v>
      </c>
      <c r="P44" s="1">
        <v>93</v>
      </c>
      <c r="Q44" s="1" t="s">
        <v>111</v>
      </c>
      <c r="R44" s="1" t="s">
        <v>50</v>
      </c>
      <c r="S44" s="1">
        <v>0</v>
      </c>
      <c r="T44" s="1">
        <v>0</v>
      </c>
      <c r="U44" s="1">
        <v>222.179</v>
      </c>
      <c r="V44" s="1">
        <v>25.413</v>
      </c>
      <c r="W44" s="1">
        <v>0.53</v>
      </c>
      <c r="X44" s="1">
        <v>0.19800000000000001</v>
      </c>
      <c r="Y44" s="1">
        <v>25.611000000000001</v>
      </c>
      <c r="Z44" s="1">
        <v>0.16300000000000001</v>
      </c>
      <c r="AA44" s="1">
        <v>1.2</v>
      </c>
      <c r="AB44" s="1">
        <v>1.3</v>
      </c>
      <c r="AC44" s="1">
        <v>1.3</v>
      </c>
      <c r="AD44" s="1">
        <v>0.19800000000000001</v>
      </c>
      <c r="AE44" s="1">
        <v>0.155</v>
      </c>
      <c r="AF44" s="1">
        <v>3.1E-2</v>
      </c>
      <c r="AG44" s="1">
        <v>1.2</v>
      </c>
      <c r="AI44" s="1">
        <v>0</v>
      </c>
      <c r="AJ44" s="1">
        <v>0</v>
      </c>
      <c r="AK44" s="1">
        <v>0</v>
      </c>
      <c r="AL44" s="1">
        <v>1</v>
      </c>
      <c r="AM44" s="1">
        <v>86400</v>
      </c>
      <c r="AN44" s="1">
        <v>79618</v>
      </c>
      <c r="AO44" s="1">
        <v>6782</v>
      </c>
      <c r="AP44" s="1">
        <v>46957</v>
      </c>
      <c r="AQ44" s="1">
        <v>3.2914653154281028</v>
      </c>
    </row>
    <row r="45" spans="1:43" x14ac:dyDescent="0.45">
      <c r="A45" s="1">
        <v>44</v>
      </c>
      <c r="B45" s="1">
        <v>73</v>
      </c>
      <c r="C45" s="1">
        <v>83</v>
      </c>
      <c r="D45" s="1" t="s">
        <v>55</v>
      </c>
      <c r="E45" s="1" t="s">
        <v>56</v>
      </c>
      <c r="F45" s="1" t="s">
        <v>57</v>
      </c>
      <c r="G45" s="1" t="s">
        <v>46</v>
      </c>
      <c r="H45" s="1" t="s">
        <v>47</v>
      </c>
      <c r="I45" s="1">
        <v>1176</v>
      </c>
      <c r="J45" s="1">
        <v>30288</v>
      </c>
      <c r="K45" s="1">
        <v>1</v>
      </c>
      <c r="L45" s="1">
        <v>82</v>
      </c>
      <c r="M45" s="1">
        <v>1986</v>
      </c>
      <c r="N45" s="1" t="s">
        <v>48</v>
      </c>
      <c r="O45" s="1">
        <v>197614</v>
      </c>
      <c r="P45" s="1">
        <v>93</v>
      </c>
      <c r="Q45" s="1" t="s">
        <v>111</v>
      </c>
      <c r="R45" s="1" t="s">
        <v>50</v>
      </c>
      <c r="S45" s="1">
        <v>0</v>
      </c>
      <c r="T45" s="1">
        <v>0</v>
      </c>
      <c r="U45" s="1">
        <v>103.658</v>
      </c>
      <c r="V45" s="1">
        <v>25.395</v>
      </c>
      <c r="W45" s="1">
        <v>0.53</v>
      </c>
      <c r="X45" s="1">
        <v>0.17699999999999999</v>
      </c>
      <c r="Y45" s="1">
        <v>25.573</v>
      </c>
      <c r="Z45" s="1">
        <v>0.188</v>
      </c>
      <c r="AA45" s="1">
        <v>0.5</v>
      </c>
      <c r="AB45" s="1">
        <v>0.5</v>
      </c>
      <c r="AC45" s="1">
        <v>0.5</v>
      </c>
      <c r="AD45" s="1">
        <v>0.17699999999999999</v>
      </c>
      <c r="AE45" s="1">
        <v>0.188</v>
      </c>
      <c r="AF45" s="1">
        <v>3.3000000000000002E-2</v>
      </c>
      <c r="AG45" s="1">
        <v>0.5</v>
      </c>
      <c r="AI45" s="1">
        <v>0</v>
      </c>
      <c r="AJ45" s="1">
        <v>0</v>
      </c>
      <c r="AK45" s="1">
        <v>0</v>
      </c>
      <c r="AL45" s="1">
        <v>1</v>
      </c>
      <c r="AM45" s="1">
        <v>83354</v>
      </c>
      <c r="AN45" s="1">
        <v>68485</v>
      </c>
      <c r="AO45" s="1">
        <v>14867</v>
      </c>
      <c r="AP45" s="1">
        <v>47190</v>
      </c>
      <c r="AQ45" s="1">
        <v>20.95314867485412</v>
      </c>
    </row>
    <row r="46" spans="1:43" x14ac:dyDescent="0.45">
      <c r="A46" s="1">
        <v>45</v>
      </c>
      <c r="B46" s="1">
        <v>73</v>
      </c>
      <c r="C46" s="1">
        <v>83</v>
      </c>
      <c r="D46" s="1" t="s">
        <v>55</v>
      </c>
      <c r="E46" s="1" t="s">
        <v>56</v>
      </c>
      <c r="F46" s="1" t="s">
        <v>57</v>
      </c>
      <c r="G46" s="1" t="s">
        <v>46</v>
      </c>
      <c r="H46" s="1" t="s">
        <v>47</v>
      </c>
      <c r="I46" s="1">
        <v>1176</v>
      </c>
      <c r="J46" s="1">
        <v>30288</v>
      </c>
      <c r="K46" s="1">
        <v>1</v>
      </c>
      <c r="L46" s="1">
        <v>82</v>
      </c>
      <c r="M46" s="1">
        <v>1987</v>
      </c>
      <c r="N46" s="1" t="s">
        <v>48</v>
      </c>
      <c r="O46" s="1">
        <v>197615</v>
      </c>
      <c r="P46" s="1">
        <v>93</v>
      </c>
      <c r="Q46" s="1" t="s">
        <v>111</v>
      </c>
      <c r="R46" s="1" t="s">
        <v>50</v>
      </c>
      <c r="S46" s="1">
        <v>0</v>
      </c>
      <c r="T46" s="1">
        <v>0</v>
      </c>
      <c r="U46" s="1">
        <v>56.435000000000002</v>
      </c>
      <c r="V46" s="1">
        <v>25.431999999999999</v>
      </c>
      <c r="W46" s="1">
        <v>0.52</v>
      </c>
      <c r="X46" s="1">
        <v>0.14299999999999999</v>
      </c>
      <c r="Y46" s="1">
        <v>25.574999999999999</v>
      </c>
      <c r="Z46" s="1">
        <v>0.19700000000000001</v>
      </c>
      <c r="AA46" s="1">
        <v>0</v>
      </c>
      <c r="AB46" s="1">
        <v>0.1</v>
      </c>
      <c r="AC46" s="1">
        <v>0.1</v>
      </c>
      <c r="AD46" s="1">
        <v>0.14299999999999999</v>
      </c>
      <c r="AE46" s="1">
        <v>0.17899999999999999</v>
      </c>
      <c r="AF46" s="1">
        <v>2.5999999999999999E-2</v>
      </c>
      <c r="AG46" s="1">
        <v>0</v>
      </c>
      <c r="AI46" s="1">
        <v>0</v>
      </c>
      <c r="AJ46" s="1">
        <v>0</v>
      </c>
      <c r="AK46" s="1">
        <v>0</v>
      </c>
      <c r="AL46" s="1">
        <v>1</v>
      </c>
      <c r="AM46" s="1">
        <v>55125</v>
      </c>
      <c r="AN46" s="1">
        <v>15442</v>
      </c>
      <c r="AO46" s="1">
        <v>39683</v>
      </c>
      <c r="AP46" s="1">
        <v>47973</v>
      </c>
      <c r="AQ46" s="1">
        <v>2.9781913905105362</v>
      </c>
    </row>
    <row r="47" spans="1:43" x14ac:dyDescent="0.45">
      <c r="A47" s="1">
        <v>46</v>
      </c>
      <c r="B47" s="1">
        <v>73</v>
      </c>
      <c r="C47" s="1">
        <v>83</v>
      </c>
      <c r="D47" s="1" t="s">
        <v>55</v>
      </c>
      <c r="E47" s="1" t="s">
        <v>56</v>
      </c>
      <c r="F47" s="1" t="s">
        <v>57</v>
      </c>
      <c r="G47" s="1" t="s">
        <v>46</v>
      </c>
      <c r="H47" s="1" t="s">
        <v>47</v>
      </c>
      <c r="I47" s="1">
        <v>1176</v>
      </c>
      <c r="J47" s="1">
        <v>30288</v>
      </c>
      <c r="K47" s="1">
        <v>1</v>
      </c>
      <c r="L47" s="1">
        <v>82</v>
      </c>
      <c r="M47" s="1">
        <v>1990</v>
      </c>
      <c r="N47" s="1" t="s">
        <v>48</v>
      </c>
      <c r="O47" s="1">
        <v>197620</v>
      </c>
      <c r="P47" s="1">
        <v>93</v>
      </c>
      <c r="Q47" s="1" t="s">
        <v>111</v>
      </c>
      <c r="R47" s="1" t="s">
        <v>50</v>
      </c>
      <c r="S47" s="1">
        <v>0</v>
      </c>
      <c r="T47" s="1">
        <v>0</v>
      </c>
      <c r="U47" s="1">
        <v>87.173000000000002</v>
      </c>
      <c r="V47" s="1">
        <v>25.33</v>
      </c>
      <c r="W47" s="1">
        <v>0.54</v>
      </c>
      <c r="X47" s="1">
        <v>0.23699999999999999</v>
      </c>
      <c r="Y47" s="1">
        <v>25.567</v>
      </c>
      <c r="Z47" s="1">
        <v>0.24</v>
      </c>
      <c r="AA47" s="1">
        <v>0.3</v>
      </c>
      <c r="AB47" s="1">
        <v>0.3</v>
      </c>
      <c r="AC47" s="1">
        <v>0.3</v>
      </c>
      <c r="AD47" s="1">
        <v>0.23699999999999999</v>
      </c>
      <c r="AE47" s="1">
        <v>0.24</v>
      </c>
      <c r="AF47" s="1">
        <v>5.7000000000000002E-2</v>
      </c>
      <c r="AG47" s="1">
        <v>0.3</v>
      </c>
      <c r="AI47" s="1">
        <v>0</v>
      </c>
      <c r="AJ47" s="1">
        <v>0</v>
      </c>
      <c r="AK47" s="1">
        <v>0</v>
      </c>
      <c r="AL47" s="1">
        <v>1</v>
      </c>
      <c r="AM47" s="1">
        <v>86400</v>
      </c>
      <c r="AN47" s="1">
        <v>79159</v>
      </c>
      <c r="AO47" s="1">
        <v>7241</v>
      </c>
      <c r="AP47" s="1">
        <v>47107</v>
      </c>
      <c r="AQ47" s="1">
        <v>3.5045953332990272</v>
      </c>
    </row>
    <row r="48" spans="1:43" x14ac:dyDescent="0.45">
      <c r="A48" s="1">
        <v>47</v>
      </c>
      <c r="B48" s="1">
        <v>73</v>
      </c>
      <c r="C48" s="1">
        <v>83</v>
      </c>
      <c r="D48" s="1" t="s">
        <v>55</v>
      </c>
      <c r="E48" s="1" t="s">
        <v>56</v>
      </c>
      <c r="F48" s="1" t="s">
        <v>57</v>
      </c>
      <c r="G48" s="1" t="s">
        <v>46</v>
      </c>
      <c r="H48" s="1" t="s">
        <v>47</v>
      </c>
      <c r="I48" s="1">
        <v>1176</v>
      </c>
      <c r="J48" s="1">
        <v>30288</v>
      </c>
      <c r="K48" s="1">
        <v>1</v>
      </c>
      <c r="L48" s="1">
        <v>82</v>
      </c>
      <c r="M48" s="1">
        <v>1991</v>
      </c>
      <c r="N48" s="1" t="s">
        <v>48</v>
      </c>
      <c r="O48" s="1">
        <v>197622</v>
      </c>
      <c r="P48" s="1">
        <v>93</v>
      </c>
      <c r="Q48" s="1" t="s">
        <v>111</v>
      </c>
      <c r="R48" s="1" t="s">
        <v>50</v>
      </c>
      <c r="S48" s="1">
        <v>0</v>
      </c>
      <c r="T48" s="1">
        <v>0</v>
      </c>
      <c r="U48" s="1">
        <v>74.367000000000004</v>
      </c>
      <c r="V48" s="1">
        <v>25.289000000000001</v>
      </c>
      <c r="W48" s="1">
        <v>0.55000000000000004</v>
      </c>
      <c r="X48" s="1">
        <v>0.27500000000000002</v>
      </c>
      <c r="Y48" s="1">
        <v>25.564</v>
      </c>
      <c r="Z48" s="1">
        <v>0.3</v>
      </c>
      <c r="AA48" s="1">
        <v>0.4</v>
      </c>
      <c r="AB48" s="1">
        <v>0.4</v>
      </c>
      <c r="AC48" s="1">
        <v>0.4</v>
      </c>
      <c r="AD48" s="1">
        <v>0.27500000000000002</v>
      </c>
      <c r="AE48" s="1">
        <v>0.29899999999999999</v>
      </c>
      <c r="AF48" s="1">
        <v>8.2000000000000003E-2</v>
      </c>
      <c r="AG48" s="1">
        <v>0.4</v>
      </c>
      <c r="AI48" s="1">
        <v>0</v>
      </c>
      <c r="AJ48" s="1">
        <v>0</v>
      </c>
      <c r="AK48" s="1">
        <v>0</v>
      </c>
      <c r="AL48" s="1">
        <v>1</v>
      </c>
      <c r="AM48" s="1">
        <v>86400</v>
      </c>
      <c r="AN48" s="1">
        <v>80358</v>
      </c>
      <c r="AO48" s="1">
        <v>6042</v>
      </c>
      <c r="AP48" s="1">
        <v>47402</v>
      </c>
      <c r="AQ48" s="1">
        <v>16.15653130558637</v>
      </c>
    </row>
    <row r="49" spans="1:43" x14ac:dyDescent="0.45">
      <c r="A49" s="1">
        <v>48</v>
      </c>
      <c r="B49" s="1">
        <v>73</v>
      </c>
      <c r="C49" s="1">
        <v>83</v>
      </c>
      <c r="D49" s="1" t="s">
        <v>55</v>
      </c>
      <c r="E49" s="1" t="s">
        <v>56</v>
      </c>
      <c r="F49" s="1" t="s">
        <v>57</v>
      </c>
      <c r="G49" s="1" t="s">
        <v>46</v>
      </c>
      <c r="H49" s="1" t="s">
        <v>47</v>
      </c>
      <c r="I49" s="1">
        <v>1176</v>
      </c>
      <c r="J49" s="1">
        <v>30288</v>
      </c>
      <c r="K49" s="1">
        <v>1</v>
      </c>
      <c r="L49" s="1">
        <v>82</v>
      </c>
      <c r="M49" s="1">
        <v>1992</v>
      </c>
      <c r="N49" s="1" t="s">
        <v>48</v>
      </c>
      <c r="O49" s="1">
        <v>197623</v>
      </c>
      <c r="P49" s="1">
        <v>93</v>
      </c>
      <c r="Q49" s="1" t="s">
        <v>111</v>
      </c>
      <c r="R49" s="1" t="s">
        <v>50</v>
      </c>
      <c r="S49" s="1">
        <v>0</v>
      </c>
      <c r="T49" s="1">
        <v>0</v>
      </c>
      <c r="U49" s="1">
        <v>51.329000000000001</v>
      </c>
      <c r="V49" s="1">
        <v>25.263000000000002</v>
      </c>
      <c r="W49" s="1">
        <v>0.55000000000000004</v>
      </c>
      <c r="X49" s="1">
        <v>0.30099999999999999</v>
      </c>
      <c r="Y49" s="1">
        <v>25.565000000000001</v>
      </c>
      <c r="Z49" s="1">
        <v>0.318</v>
      </c>
      <c r="AA49" s="1">
        <v>0.4</v>
      </c>
      <c r="AB49" s="1">
        <v>0.4</v>
      </c>
      <c r="AC49" s="1">
        <v>0.4</v>
      </c>
      <c r="AD49" s="1">
        <v>0.30099999999999999</v>
      </c>
      <c r="AE49" s="1">
        <v>0.318</v>
      </c>
      <c r="AF49" s="1">
        <v>9.6000000000000002E-2</v>
      </c>
      <c r="AG49" s="1">
        <v>0.4</v>
      </c>
      <c r="AI49" s="1">
        <v>0</v>
      </c>
      <c r="AJ49" s="1">
        <v>0</v>
      </c>
      <c r="AK49" s="1">
        <v>0</v>
      </c>
      <c r="AL49" s="1">
        <v>1</v>
      </c>
      <c r="AM49" s="1">
        <v>86400</v>
      </c>
      <c r="AN49" s="1">
        <v>80993</v>
      </c>
      <c r="AO49" s="1">
        <v>5407</v>
      </c>
      <c r="AP49" s="1">
        <v>47311</v>
      </c>
      <c r="AQ49" s="1">
        <v>2.298754340804646</v>
      </c>
    </row>
    <row r="50" spans="1:43" x14ac:dyDescent="0.45">
      <c r="A50" s="1">
        <v>49</v>
      </c>
      <c r="B50" s="1">
        <v>73</v>
      </c>
      <c r="C50" s="1">
        <v>83</v>
      </c>
      <c r="D50" s="1" t="s">
        <v>55</v>
      </c>
      <c r="E50" s="1" t="s">
        <v>56</v>
      </c>
      <c r="F50" s="1" t="s">
        <v>57</v>
      </c>
      <c r="G50" s="1" t="s">
        <v>46</v>
      </c>
      <c r="H50" s="1" t="s">
        <v>47</v>
      </c>
      <c r="I50" s="1">
        <v>1176</v>
      </c>
      <c r="J50" s="1">
        <v>30288</v>
      </c>
      <c r="K50" s="1">
        <v>1</v>
      </c>
      <c r="L50" s="1">
        <v>82</v>
      </c>
      <c r="M50" s="1">
        <v>1996</v>
      </c>
      <c r="N50" s="1" t="s">
        <v>48</v>
      </c>
      <c r="O50" s="1">
        <v>197627</v>
      </c>
      <c r="P50" s="1">
        <v>93</v>
      </c>
      <c r="Q50" s="1" t="s">
        <v>111</v>
      </c>
      <c r="R50" s="1" t="s">
        <v>50</v>
      </c>
      <c r="S50" s="1">
        <v>0</v>
      </c>
      <c r="T50" s="1">
        <v>0</v>
      </c>
      <c r="U50" s="1">
        <v>136.291</v>
      </c>
      <c r="V50" s="1">
        <v>25.402999999999999</v>
      </c>
      <c r="W50" s="1">
        <v>0.53</v>
      </c>
      <c r="X50" s="1">
        <v>0.14399999999999999</v>
      </c>
      <c r="Y50" s="1">
        <v>25.547000000000001</v>
      </c>
      <c r="Z50" s="1">
        <v>0.45</v>
      </c>
      <c r="AA50" s="1">
        <v>0.2</v>
      </c>
      <c r="AB50" s="1">
        <v>-0.1</v>
      </c>
      <c r="AC50" s="1">
        <v>-0.1</v>
      </c>
      <c r="AD50" s="1">
        <v>0.14399999999999999</v>
      </c>
      <c r="AE50" s="1">
        <v>0.29699999999999999</v>
      </c>
      <c r="AF50" s="1">
        <v>4.2999999999999997E-2</v>
      </c>
      <c r="AI50" s="1">
        <v>0</v>
      </c>
      <c r="AJ50" s="1">
        <v>0</v>
      </c>
      <c r="AK50" s="1">
        <v>0</v>
      </c>
      <c r="AL50" s="1">
        <v>1</v>
      </c>
      <c r="AM50" s="1">
        <v>52392</v>
      </c>
      <c r="AN50" s="1">
        <v>9093</v>
      </c>
      <c r="AO50" s="1">
        <v>43299</v>
      </c>
      <c r="AP50" s="1">
        <v>47235</v>
      </c>
      <c r="AQ50" s="1">
        <v>21.6510233080981</v>
      </c>
    </row>
    <row r="51" spans="1:43" x14ac:dyDescent="0.45">
      <c r="A51" s="1">
        <v>50</v>
      </c>
      <c r="B51" s="1">
        <v>73</v>
      </c>
      <c r="C51" s="1">
        <v>83</v>
      </c>
      <c r="D51" s="1" t="s">
        <v>55</v>
      </c>
      <c r="E51" s="1" t="s">
        <v>56</v>
      </c>
      <c r="F51" s="1" t="s">
        <v>57</v>
      </c>
      <c r="G51" s="1" t="s">
        <v>46</v>
      </c>
      <c r="H51" s="1" t="s">
        <v>47</v>
      </c>
      <c r="I51" s="1">
        <v>1176</v>
      </c>
      <c r="J51" s="1">
        <v>30288</v>
      </c>
      <c r="K51" s="1">
        <v>1</v>
      </c>
      <c r="L51" s="1">
        <v>82</v>
      </c>
      <c r="M51" s="1">
        <v>1997</v>
      </c>
      <c r="N51" s="1" t="s">
        <v>48</v>
      </c>
      <c r="O51" s="1">
        <v>197634</v>
      </c>
      <c r="P51" s="1">
        <v>93</v>
      </c>
      <c r="Q51" s="1" t="s">
        <v>111</v>
      </c>
      <c r="R51" s="1" t="s">
        <v>50</v>
      </c>
      <c r="S51" s="1">
        <v>0</v>
      </c>
      <c r="T51" s="1">
        <v>0</v>
      </c>
      <c r="U51" s="1">
        <v>62.061999999999998</v>
      </c>
      <c r="V51" s="1">
        <v>25.434999999999999</v>
      </c>
      <c r="W51" s="1">
        <v>0.52</v>
      </c>
      <c r="X51" s="1">
        <v>0.11600000000000001</v>
      </c>
      <c r="Y51" s="1">
        <v>25.550999999999998</v>
      </c>
      <c r="Z51" s="1">
        <v>7.0000000000000007E-2</v>
      </c>
      <c r="AA51" s="1">
        <v>2.2999999999999998</v>
      </c>
      <c r="AB51" s="1">
        <v>2.7</v>
      </c>
      <c r="AC51" s="1">
        <v>2.7</v>
      </c>
      <c r="AD51" s="1">
        <v>0.11600000000000001</v>
      </c>
      <c r="AE51" s="1">
        <v>4.5999999999999999E-2</v>
      </c>
      <c r="AF51" s="1">
        <v>5.0000000000000001E-3</v>
      </c>
      <c r="AI51" s="1">
        <v>0</v>
      </c>
      <c r="AJ51" s="1">
        <v>0</v>
      </c>
      <c r="AK51" s="1">
        <v>0</v>
      </c>
      <c r="AL51" s="1">
        <v>1</v>
      </c>
      <c r="AM51" s="1">
        <v>51274</v>
      </c>
      <c r="AN51" s="1">
        <v>7840</v>
      </c>
      <c r="AO51" s="1">
        <v>43433</v>
      </c>
      <c r="AP51" s="1">
        <v>47016</v>
      </c>
      <c r="AQ51" s="1">
        <v>1.5434652490617771</v>
      </c>
    </row>
    <row r="52" spans="1:43" x14ac:dyDescent="0.45">
      <c r="A52" s="1">
        <v>51</v>
      </c>
      <c r="B52" s="1">
        <v>73</v>
      </c>
      <c r="C52" s="1">
        <v>83</v>
      </c>
      <c r="D52" s="1" t="s">
        <v>55</v>
      </c>
      <c r="E52" s="1" t="s">
        <v>56</v>
      </c>
      <c r="F52" s="1" t="s">
        <v>57</v>
      </c>
      <c r="G52" s="1" t="s">
        <v>46</v>
      </c>
      <c r="H52" s="1" t="s">
        <v>47</v>
      </c>
      <c r="I52" s="1">
        <v>1176</v>
      </c>
      <c r="J52" s="1">
        <v>30288</v>
      </c>
      <c r="K52" s="1">
        <v>1</v>
      </c>
      <c r="L52" s="1">
        <v>82</v>
      </c>
      <c r="M52" s="1">
        <v>1998</v>
      </c>
      <c r="N52" s="1" t="s">
        <v>48</v>
      </c>
      <c r="O52" s="1">
        <v>197648</v>
      </c>
      <c r="P52" s="1">
        <v>93</v>
      </c>
      <c r="Q52" s="1" t="s">
        <v>111</v>
      </c>
      <c r="R52" s="1" t="s">
        <v>50</v>
      </c>
      <c r="S52" s="1">
        <v>0</v>
      </c>
      <c r="T52" s="1">
        <v>0</v>
      </c>
      <c r="U52" s="1">
        <v>50.125999999999998</v>
      </c>
      <c r="V52" s="1">
        <v>25.39</v>
      </c>
      <c r="W52" s="1">
        <v>0.53</v>
      </c>
      <c r="X52" s="1">
        <v>0.161</v>
      </c>
      <c r="Y52" s="1">
        <v>25.550999999999998</v>
      </c>
      <c r="Z52" s="1">
        <v>0.16900000000000001</v>
      </c>
      <c r="AA52" s="1">
        <v>0.7</v>
      </c>
      <c r="AB52" s="1">
        <v>0.7</v>
      </c>
      <c r="AC52" s="1">
        <v>0.7</v>
      </c>
      <c r="AD52" s="1">
        <v>0.161</v>
      </c>
      <c r="AE52" s="1">
        <v>0.16900000000000001</v>
      </c>
      <c r="AF52" s="1">
        <v>2.7E-2</v>
      </c>
      <c r="AG52" s="1">
        <v>0.7</v>
      </c>
      <c r="AI52" s="1">
        <v>0</v>
      </c>
      <c r="AJ52" s="1">
        <v>0</v>
      </c>
      <c r="AK52" s="1">
        <v>0</v>
      </c>
      <c r="AL52" s="1">
        <v>1</v>
      </c>
      <c r="AM52" s="1">
        <v>54224</v>
      </c>
      <c r="AN52" s="1">
        <v>10976</v>
      </c>
      <c r="AO52" s="1">
        <v>43249</v>
      </c>
      <c r="AP52" s="1">
        <v>47193</v>
      </c>
      <c r="AQ52" s="1">
        <v>3.8051731273319378</v>
      </c>
    </row>
    <row r="53" spans="1:43" x14ac:dyDescent="0.45">
      <c r="A53" s="1">
        <v>52</v>
      </c>
      <c r="B53" s="1">
        <v>74</v>
      </c>
      <c r="C53" s="1">
        <v>83</v>
      </c>
      <c r="D53" s="1" t="s">
        <v>55</v>
      </c>
      <c r="E53" s="1" t="s">
        <v>56</v>
      </c>
      <c r="F53" s="1" t="s">
        <v>57</v>
      </c>
      <c r="G53" s="1" t="s">
        <v>46</v>
      </c>
      <c r="H53" s="1" t="s">
        <v>47</v>
      </c>
      <c r="I53" s="1">
        <v>1176</v>
      </c>
      <c r="J53" s="1">
        <v>30288</v>
      </c>
      <c r="K53" s="1">
        <v>1</v>
      </c>
      <c r="L53" s="1">
        <v>82</v>
      </c>
      <c r="M53" s="1">
        <v>1969</v>
      </c>
      <c r="N53" s="1" t="s">
        <v>48</v>
      </c>
      <c r="O53" s="1">
        <v>197519</v>
      </c>
      <c r="P53" s="1">
        <v>93</v>
      </c>
      <c r="Q53" s="1" t="s">
        <v>111</v>
      </c>
      <c r="R53" s="1" t="s">
        <v>50</v>
      </c>
      <c r="S53" s="1">
        <v>0</v>
      </c>
      <c r="T53" s="1">
        <v>0</v>
      </c>
      <c r="U53" s="1">
        <v>82.207999999999998</v>
      </c>
      <c r="V53" s="1">
        <v>25.507999999999999</v>
      </c>
      <c r="W53" s="1">
        <v>0.52</v>
      </c>
      <c r="X53" s="1">
        <v>0.11</v>
      </c>
      <c r="Y53" s="1">
        <v>25.617999999999999</v>
      </c>
      <c r="Z53" s="1">
        <v>0.126</v>
      </c>
      <c r="AA53" s="1">
        <v>0.4</v>
      </c>
      <c r="AB53" s="1">
        <v>0.5</v>
      </c>
      <c r="AC53" s="1">
        <v>0.5</v>
      </c>
      <c r="AD53" s="1">
        <v>0.11</v>
      </c>
      <c r="AE53" s="1">
        <v>0.123</v>
      </c>
      <c r="AF53" s="1">
        <v>1.4E-2</v>
      </c>
      <c r="AG53" s="1">
        <v>0.4</v>
      </c>
      <c r="AI53" s="1">
        <v>0</v>
      </c>
      <c r="AJ53" s="1">
        <v>0</v>
      </c>
      <c r="AK53" s="1">
        <v>0</v>
      </c>
      <c r="AL53" s="1">
        <v>1</v>
      </c>
      <c r="AM53" s="1">
        <v>54926</v>
      </c>
      <c r="AN53" s="1">
        <v>15181</v>
      </c>
      <c r="AO53" s="1">
        <v>39744</v>
      </c>
      <c r="AP53" s="1">
        <v>47338</v>
      </c>
      <c r="AQ53" s="1">
        <v>8.6118825219260362</v>
      </c>
    </row>
    <row r="54" spans="1:43" x14ac:dyDescent="0.45">
      <c r="A54" s="1">
        <v>53</v>
      </c>
      <c r="B54" s="1">
        <v>74</v>
      </c>
      <c r="C54" s="1">
        <v>83</v>
      </c>
      <c r="D54" s="1" t="s">
        <v>55</v>
      </c>
      <c r="E54" s="1" t="s">
        <v>56</v>
      </c>
      <c r="F54" s="1" t="s">
        <v>57</v>
      </c>
      <c r="G54" s="1" t="s">
        <v>46</v>
      </c>
      <c r="H54" s="1" t="s">
        <v>47</v>
      </c>
      <c r="I54" s="1">
        <v>1176</v>
      </c>
      <c r="J54" s="1">
        <v>30288</v>
      </c>
      <c r="K54" s="1">
        <v>1</v>
      </c>
      <c r="L54" s="1">
        <v>82</v>
      </c>
      <c r="M54" s="1">
        <v>1970</v>
      </c>
      <c r="N54" s="1" t="s">
        <v>48</v>
      </c>
      <c r="O54" s="1">
        <v>197520</v>
      </c>
      <c r="P54" s="1">
        <v>93</v>
      </c>
      <c r="Q54" s="1" t="s">
        <v>111</v>
      </c>
      <c r="R54" s="1" t="s">
        <v>50</v>
      </c>
      <c r="S54" s="1">
        <v>0</v>
      </c>
      <c r="T54" s="1">
        <v>0</v>
      </c>
      <c r="U54" s="1">
        <v>236.95699999999999</v>
      </c>
      <c r="V54" s="1">
        <v>25.372</v>
      </c>
      <c r="W54" s="1">
        <v>0.54</v>
      </c>
      <c r="X54" s="1">
        <v>0.245</v>
      </c>
      <c r="Y54" s="1">
        <v>25.617000000000001</v>
      </c>
      <c r="Z54" s="1">
        <v>8.5999999999999993E-2</v>
      </c>
      <c r="AA54" s="1">
        <v>0.1</v>
      </c>
      <c r="AB54" s="1">
        <v>0.1</v>
      </c>
      <c r="AC54" s="1">
        <v>0.1</v>
      </c>
      <c r="AD54" s="1">
        <v>0.245</v>
      </c>
      <c r="AE54" s="1">
        <v>8.5999999999999993E-2</v>
      </c>
      <c r="AF54" s="1">
        <v>2.1000000000000001E-2</v>
      </c>
      <c r="AG54" s="1">
        <v>0.1</v>
      </c>
      <c r="AI54" s="1">
        <v>0</v>
      </c>
      <c r="AJ54" s="1">
        <v>0</v>
      </c>
      <c r="AK54" s="1">
        <v>0</v>
      </c>
      <c r="AL54" s="1">
        <v>1</v>
      </c>
      <c r="AM54" s="1">
        <v>86400</v>
      </c>
      <c r="AN54" s="1">
        <v>80649</v>
      </c>
      <c r="AO54" s="1">
        <v>5751</v>
      </c>
      <c r="AP54" s="1">
        <v>47280</v>
      </c>
      <c r="AQ54" s="1">
        <v>24.89810128895984</v>
      </c>
    </row>
    <row r="55" spans="1:43" x14ac:dyDescent="0.45">
      <c r="A55" s="1">
        <v>54</v>
      </c>
      <c r="B55" s="1">
        <v>74</v>
      </c>
      <c r="C55" s="1">
        <v>83</v>
      </c>
      <c r="D55" s="1" t="s">
        <v>55</v>
      </c>
      <c r="E55" s="1" t="s">
        <v>56</v>
      </c>
      <c r="F55" s="1" t="s">
        <v>57</v>
      </c>
      <c r="G55" s="1" t="s">
        <v>46</v>
      </c>
      <c r="H55" s="1" t="s">
        <v>47</v>
      </c>
      <c r="I55" s="1">
        <v>1176</v>
      </c>
      <c r="J55" s="1">
        <v>30288</v>
      </c>
      <c r="K55" s="1">
        <v>1</v>
      </c>
      <c r="L55" s="1">
        <v>82</v>
      </c>
      <c r="M55" s="1">
        <v>1975</v>
      </c>
      <c r="N55" s="1" t="s">
        <v>48</v>
      </c>
      <c r="O55" s="1">
        <v>197561</v>
      </c>
      <c r="P55" s="1">
        <v>93</v>
      </c>
      <c r="Q55" s="1" t="s">
        <v>111</v>
      </c>
      <c r="R55" s="1" t="s">
        <v>50</v>
      </c>
      <c r="S55" s="1">
        <v>0</v>
      </c>
      <c r="T55" s="1">
        <v>0</v>
      </c>
      <c r="U55" s="1">
        <v>195.999</v>
      </c>
      <c r="V55" s="1">
        <v>25.457999999999998</v>
      </c>
      <c r="W55" s="1">
        <v>0.52</v>
      </c>
      <c r="X55" s="1">
        <v>0.13400000000000001</v>
      </c>
      <c r="Y55" s="1">
        <v>25.591999999999999</v>
      </c>
      <c r="Z55" s="1">
        <v>0.25900000000000001</v>
      </c>
      <c r="AA55" s="1">
        <v>0.2</v>
      </c>
      <c r="AB55" s="1">
        <v>0.3</v>
      </c>
      <c r="AC55" s="1">
        <v>0.3</v>
      </c>
      <c r="AD55" s="1">
        <v>0.13400000000000001</v>
      </c>
      <c r="AE55" s="1">
        <v>0.249</v>
      </c>
      <c r="AF55" s="1">
        <v>3.3000000000000002E-2</v>
      </c>
      <c r="AG55" s="1">
        <v>0.2</v>
      </c>
      <c r="AI55" s="1">
        <v>0</v>
      </c>
      <c r="AJ55" s="1">
        <v>0</v>
      </c>
      <c r="AK55" s="1">
        <v>0</v>
      </c>
      <c r="AL55" s="1">
        <v>1</v>
      </c>
      <c r="AM55" s="1">
        <v>86400</v>
      </c>
      <c r="AN55" s="1">
        <v>79038</v>
      </c>
      <c r="AO55" s="1">
        <v>7362</v>
      </c>
      <c r="AP55" s="1">
        <v>47164</v>
      </c>
      <c r="AQ55" s="1">
        <v>0.41019195479173981</v>
      </c>
    </row>
    <row r="56" spans="1:43" x14ac:dyDescent="0.45">
      <c r="A56" s="1">
        <v>55</v>
      </c>
      <c r="B56" s="1">
        <v>74</v>
      </c>
      <c r="C56" s="1">
        <v>83</v>
      </c>
      <c r="D56" s="1" t="s">
        <v>55</v>
      </c>
      <c r="E56" s="1" t="s">
        <v>56</v>
      </c>
      <c r="F56" s="1" t="s">
        <v>57</v>
      </c>
      <c r="G56" s="1" t="s">
        <v>46</v>
      </c>
      <c r="H56" s="1" t="s">
        <v>47</v>
      </c>
      <c r="I56" s="1">
        <v>1176</v>
      </c>
      <c r="J56" s="1">
        <v>30288</v>
      </c>
      <c r="K56" s="1">
        <v>1</v>
      </c>
      <c r="L56" s="1">
        <v>82</v>
      </c>
      <c r="M56" s="1">
        <v>1976</v>
      </c>
      <c r="N56" s="1" t="s">
        <v>48</v>
      </c>
      <c r="O56" s="1">
        <v>197562</v>
      </c>
      <c r="P56" s="1">
        <v>93</v>
      </c>
      <c r="Q56" s="1" t="s">
        <v>111</v>
      </c>
      <c r="R56" s="1" t="s">
        <v>50</v>
      </c>
      <c r="S56" s="1">
        <v>0</v>
      </c>
      <c r="T56" s="1">
        <v>0</v>
      </c>
      <c r="U56" s="1">
        <v>286.03800000000001</v>
      </c>
      <c r="V56" s="1">
        <v>25.483000000000001</v>
      </c>
      <c r="W56" s="1">
        <v>0.52</v>
      </c>
      <c r="X56" s="1">
        <v>0.126</v>
      </c>
      <c r="Y56" s="1">
        <v>25.608000000000001</v>
      </c>
      <c r="Z56" s="1">
        <v>0.223</v>
      </c>
      <c r="AA56" s="1">
        <v>0.6</v>
      </c>
      <c r="AB56" s="1">
        <v>0.6</v>
      </c>
      <c r="AC56" s="1">
        <v>0.6</v>
      </c>
      <c r="AD56" s="1">
        <v>0.126</v>
      </c>
      <c r="AE56" s="1">
        <v>0.222</v>
      </c>
      <c r="AF56" s="1">
        <v>2.8000000000000001E-2</v>
      </c>
      <c r="AG56" s="1">
        <v>0.6</v>
      </c>
      <c r="AI56" s="1">
        <v>0</v>
      </c>
      <c r="AJ56" s="1">
        <v>0</v>
      </c>
      <c r="AK56" s="1">
        <v>0</v>
      </c>
      <c r="AL56" s="1">
        <v>1</v>
      </c>
      <c r="AM56" s="1">
        <v>75674</v>
      </c>
      <c r="AN56" s="1">
        <v>55510</v>
      </c>
      <c r="AO56" s="1">
        <v>19113</v>
      </c>
      <c r="AP56" s="1">
        <v>46878</v>
      </c>
      <c r="AQ56" s="1">
        <v>24.95580011216741</v>
      </c>
    </row>
    <row r="57" spans="1:43" x14ac:dyDescent="0.45">
      <c r="A57" s="1">
        <v>56</v>
      </c>
      <c r="B57" s="1">
        <v>74</v>
      </c>
      <c r="C57" s="1">
        <v>83</v>
      </c>
      <c r="D57" s="1" t="s">
        <v>55</v>
      </c>
      <c r="E57" s="1" t="s">
        <v>56</v>
      </c>
      <c r="F57" s="1" t="s">
        <v>57</v>
      </c>
      <c r="G57" s="1" t="s">
        <v>46</v>
      </c>
      <c r="H57" s="1" t="s">
        <v>47</v>
      </c>
      <c r="I57" s="1">
        <v>1176</v>
      </c>
      <c r="J57" s="1">
        <v>30288</v>
      </c>
      <c r="K57" s="1">
        <v>1</v>
      </c>
      <c r="L57" s="1">
        <v>82</v>
      </c>
      <c r="M57" s="1">
        <v>1977</v>
      </c>
      <c r="N57" s="1" t="s">
        <v>48</v>
      </c>
      <c r="O57" s="1">
        <v>197563</v>
      </c>
      <c r="P57" s="1">
        <v>93</v>
      </c>
      <c r="Q57" s="1" t="s">
        <v>111</v>
      </c>
      <c r="R57" s="1" t="s">
        <v>50</v>
      </c>
      <c r="S57" s="1">
        <v>0</v>
      </c>
      <c r="T57" s="1">
        <v>0</v>
      </c>
      <c r="U57" s="1">
        <v>552.46799999999996</v>
      </c>
      <c r="V57" s="1">
        <v>25.45</v>
      </c>
      <c r="W57" s="1">
        <v>0.53</v>
      </c>
      <c r="X57" s="1">
        <v>0.16500000000000001</v>
      </c>
      <c r="Y57" s="1">
        <v>25.614999999999998</v>
      </c>
      <c r="Z57" s="1">
        <v>0.14499999999999999</v>
      </c>
      <c r="AA57" s="1">
        <v>0.8</v>
      </c>
      <c r="AB57" s="1">
        <v>0.8</v>
      </c>
      <c r="AC57" s="1">
        <v>0.8</v>
      </c>
      <c r="AD57" s="1">
        <v>0.16500000000000001</v>
      </c>
      <c r="AE57" s="1">
        <v>0.14499999999999999</v>
      </c>
      <c r="AF57" s="1">
        <v>2.4E-2</v>
      </c>
      <c r="AG57" s="1">
        <v>0.8</v>
      </c>
      <c r="AI57" s="1">
        <v>0</v>
      </c>
      <c r="AJ57" s="1">
        <v>0</v>
      </c>
      <c r="AK57" s="1">
        <v>0</v>
      </c>
      <c r="AL57" s="1">
        <v>1</v>
      </c>
      <c r="AM57" s="1">
        <v>86400</v>
      </c>
      <c r="AN57" s="1">
        <v>79267</v>
      </c>
      <c r="AO57" s="1">
        <v>7133</v>
      </c>
      <c r="AP57" s="1">
        <v>46825</v>
      </c>
      <c r="AQ57" s="1">
        <v>0.69662298424265845</v>
      </c>
    </row>
    <row r="58" spans="1:43" x14ac:dyDescent="0.45">
      <c r="A58" s="1">
        <v>57</v>
      </c>
      <c r="B58" s="1">
        <v>77</v>
      </c>
      <c r="C58" s="1">
        <v>46</v>
      </c>
      <c r="D58" s="1" t="s">
        <v>58</v>
      </c>
      <c r="E58" s="1" t="s">
        <v>59</v>
      </c>
      <c r="F58" s="1" t="s">
        <v>60</v>
      </c>
      <c r="G58" s="1" t="s">
        <v>54</v>
      </c>
      <c r="H58" s="1" t="s">
        <v>47</v>
      </c>
      <c r="I58" s="1">
        <v>503</v>
      </c>
      <c r="J58" s="1">
        <v>17406</v>
      </c>
      <c r="K58" s="1">
        <v>1</v>
      </c>
      <c r="L58" s="1">
        <v>45</v>
      </c>
      <c r="M58" s="1">
        <v>1962</v>
      </c>
      <c r="N58" s="1" t="s">
        <v>48</v>
      </c>
      <c r="O58" s="1">
        <v>196199</v>
      </c>
      <c r="P58" s="1">
        <v>93</v>
      </c>
      <c r="Q58" s="1" t="s">
        <v>111</v>
      </c>
      <c r="R58" s="1" t="s">
        <v>50</v>
      </c>
      <c r="S58" s="1">
        <v>0</v>
      </c>
      <c r="T58" s="1">
        <v>0</v>
      </c>
      <c r="U58" s="1">
        <v>64.108000000000004</v>
      </c>
      <c r="V58" s="1">
        <v>25.141999999999999</v>
      </c>
      <c r="W58" s="1">
        <v>0.66</v>
      </c>
      <c r="X58" s="1">
        <v>0.53400000000000003</v>
      </c>
      <c r="Y58" s="1">
        <v>25.675999999999998</v>
      </c>
      <c r="Z58" s="1">
        <v>2.1120000000000001</v>
      </c>
      <c r="AA58" s="1">
        <v>2.7</v>
      </c>
      <c r="AB58" s="1">
        <v>2.5</v>
      </c>
      <c r="AC58" s="1">
        <v>2.5</v>
      </c>
      <c r="AD58" s="1">
        <v>0.53400000000000003</v>
      </c>
      <c r="AE58" s="1">
        <v>1.52</v>
      </c>
      <c r="AF58" s="1">
        <v>0.87</v>
      </c>
      <c r="AG58" s="1">
        <v>2.7</v>
      </c>
      <c r="AI58" s="1">
        <v>0</v>
      </c>
      <c r="AJ58" s="1">
        <v>0</v>
      </c>
      <c r="AK58" s="1">
        <v>0</v>
      </c>
      <c r="AL58" s="1">
        <v>1</v>
      </c>
      <c r="AM58" s="1">
        <v>68681</v>
      </c>
      <c r="AN58" s="1">
        <v>43327</v>
      </c>
      <c r="AO58" s="1">
        <v>25354</v>
      </c>
      <c r="AP58" s="1">
        <v>47004</v>
      </c>
      <c r="AQ58" s="1">
        <v>4.5203553741049349</v>
      </c>
    </row>
    <row r="59" spans="1:43" x14ac:dyDescent="0.45">
      <c r="A59" s="1">
        <v>58</v>
      </c>
      <c r="B59" s="1">
        <v>77</v>
      </c>
      <c r="C59" s="1">
        <v>46</v>
      </c>
      <c r="D59" s="1" t="s">
        <v>58</v>
      </c>
      <c r="E59" s="1" t="s">
        <v>59</v>
      </c>
      <c r="F59" s="1" t="s">
        <v>60</v>
      </c>
      <c r="G59" s="1" t="s">
        <v>54</v>
      </c>
      <c r="H59" s="1" t="s">
        <v>47</v>
      </c>
      <c r="I59" s="1">
        <v>503</v>
      </c>
      <c r="J59" s="1">
        <v>17406</v>
      </c>
      <c r="K59" s="1">
        <v>1</v>
      </c>
      <c r="L59" s="1">
        <v>45</v>
      </c>
      <c r="M59" s="1">
        <v>1963</v>
      </c>
      <c r="N59" s="1" t="s">
        <v>48</v>
      </c>
      <c r="O59" s="1">
        <v>196200</v>
      </c>
      <c r="P59" s="1">
        <v>93</v>
      </c>
      <c r="Q59" s="1" t="s">
        <v>111</v>
      </c>
      <c r="R59" s="1" t="s">
        <v>50</v>
      </c>
      <c r="S59" s="1">
        <v>0</v>
      </c>
      <c r="T59" s="1">
        <v>0</v>
      </c>
      <c r="U59" s="1">
        <v>69.38</v>
      </c>
      <c r="V59" s="1">
        <v>25.478999999999999</v>
      </c>
      <c r="W59" s="1">
        <v>0.54</v>
      </c>
      <c r="X59" s="1">
        <v>0.16300000000000001</v>
      </c>
      <c r="Y59" s="1">
        <v>25.641999999999999</v>
      </c>
      <c r="Z59" s="1">
        <v>1.0249999999999999</v>
      </c>
      <c r="AA59" s="1">
        <v>2.2000000000000002</v>
      </c>
      <c r="AB59" s="1">
        <v>2.2000000000000002</v>
      </c>
      <c r="AC59" s="1">
        <v>2.2000000000000002</v>
      </c>
      <c r="AD59" s="1">
        <v>0.16300000000000001</v>
      </c>
      <c r="AE59" s="1">
        <v>1.0069999999999999</v>
      </c>
      <c r="AF59" s="1">
        <v>0.16400000000000001</v>
      </c>
      <c r="AG59" s="1">
        <v>2.2000000000000002</v>
      </c>
      <c r="AI59" s="1">
        <v>0</v>
      </c>
      <c r="AJ59" s="1">
        <v>0</v>
      </c>
      <c r="AK59" s="1">
        <v>0</v>
      </c>
      <c r="AL59" s="1">
        <v>1</v>
      </c>
      <c r="AM59" s="1">
        <v>50661</v>
      </c>
      <c r="AN59" s="1">
        <v>7323</v>
      </c>
      <c r="AO59" s="1">
        <v>43338</v>
      </c>
      <c r="AP59" s="1">
        <v>47085</v>
      </c>
      <c r="AQ59" s="1">
        <v>29.380944822660432</v>
      </c>
    </row>
    <row r="60" spans="1:43" x14ac:dyDescent="0.45">
      <c r="A60" s="1">
        <v>59</v>
      </c>
      <c r="B60" s="1">
        <v>91</v>
      </c>
      <c r="C60" s="1">
        <v>117</v>
      </c>
      <c r="D60" s="1" t="s">
        <v>112</v>
      </c>
      <c r="E60" s="1" t="s">
        <v>113</v>
      </c>
      <c r="F60" s="1" t="s">
        <v>114</v>
      </c>
      <c r="G60" s="1" t="s">
        <v>54</v>
      </c>
      <c r="H60" s="1" t="s">
        <v>47</v>
      </c>
      <c r="I60" s="1">
        <v>948</v>
      </c>
      <c r="J60" s="1">
        <v>50781</v>
      </c>
      <c r="K60" s="1">
        <v>1</v>
      </c>
      <c r="L60" s="1">
        <v>116</v>
      </c>
      <c r="M60" s="1">
        <v>1927</v>
      </c>
      <c r="N60" s="1" t="s">
        <v>48</v>
      </c>
      <c r="O60" s="1">
        <v>195291</v>
      </c>
      <c r="P60" s="1">
        <v>93</v>
      </c>
      <c r="Q60" s="1" t="s">
        <v>111</v>
      </c>
      <c r="R60" s="1" t="s">
        <v>50</v>
      </c>
      <c r="S60" s="1">
        <v>0</v>
      </c>
      <c r="T60" s="1">
        <v>0</v>
      </c>
      <c r="U60" s="1">
        <v>58.805</v>
      </c>
      <c r="V60" s="1">
        <v>21.222000000000001</v>
      </c>
      <c r="W60" s="1">
        <v>1.54</v>
      </c>
      <c r="X60" s="1">
        <v>3.5430000000000001</v>
      </c>
      <c r="Y60" s="1">
        <v>24.765000000000001</v>
      </c>
      <c r="Z60" s="1">
        <v>0.28999999999999998</v>
      </c>
      <c r="AA60" s="1">
        <v>1.5</v>
      </c>
      <c r="AB60" s="1">
        <v>1.3</v>
      </c>
      <c r="AC60" s="1">
        <v>1.3</v>
      </c>
      <c r="AD60" s="1">
        <v>3.5430000000000001</v>
      </c>
      <c r="AE60" s="1">
        <v>7.0000000000000001E-3</v>
      </c>
      <c r="AF60" s="1">
        <v>4.1000000000000002E-2</v>
      </c>
      <c r="AG60" s="1">
        <v>1.5</v>
      </c>
      <c r="AI60" s="1">
        <v>0</v>
      </c>
      <c r="AJ60" s="1">
        <v>0</v>
      </c>
      <c r="AK60" s="1">
        <v>0</v>
      </c>
      <c r="AL60" s="1">
        <v>1</v>
      </c>
      <c r="AM60" s="1">
        <v>86400</v>
      </c>
      <c r="AN60" s="1">
        <v>81816</v>
      </c>
      <c r="AO60" s="1">
        <v>4584</v>
      </c>
      <c r="AP60" s="1">
        <v>50603</v>
      </c>
      <c r="AQ60" s="1">
        <v>8.8604916255296011</v>
      </c>
    </row>
    <row r="61" spans="1:43" x14ac:dyDescent="0.45">
      <c r="A61" s="1">
        <v>60</v>
      </c>
      <c r="B61" s="1">
        <v>91</v>
      </c>
      <c r="C61" s="1">
        <v>117</v>
      </c>
      <c r="D61" s="1" t="s">
        <v>112</v>
      </c>
      <c r="E61" s="1" t="s">
        <v>113</v>
      </c>
      <c r="F61" s="1" t="s">
        <v>114</v>
      </c>
      <c r="G61" s="1" t="s">
        <v>54</v>
      </c>
      <c r="H61" s="1" t="s">
        <v>47</v>
      </c>
      <c r="I61" s="1">
        <v>948</v>
      </c>
      <c r="J61" s="1">
        <v>50781</v>
      </c>
      <c r="K61" s="1">
        <v>1</v>
      </c>
      <c r="L61" s="1">
        <v>116</v>
      </c>
      <c r="M61" s="1">
        <v>1929</v>
      </c>
      <c r="N61" s="1" t="s">
        <v>48</v>
      </c>
      <c r="O61" s="1">
        <v>195293</v>
      </c>
      <c r="P61" s="1">
        <v>93</v>
      </c>
      <c r="Q61" s="1" t="s">
        <v>111</v>
      </c>
      <c r="R61" s="1" t="s">
        <v>50</v>
      </c>
      <c r="S61" s="1">
        <v>0</v>
      </c>
      <c r="T61" s="1">
        <v>0</v>
      </c>
      <c r="U61" s="1">
        <v>52.792000000000002</v>
      </c>
      <c r="V61" s="1">
        <v>21.277999999999999</v>
      </c>
      <c r="W61" s="1">
        <v>1.53</v>
      </c>
      <c r="X61" s="1">
        <v>3.4870000000000001</v>
      </c>
      <c r="Y61" s="1">
        <v>24.765000000000001</v>
      </c>
      <c r="Z61" s="1">
        <v>0.32400000000000001</v>
      </c>
      <c r="AA61" s="1">
        <v>1.7</v>
      </c>
      <c r="AB61" s="1">
        <v>1.3</v>
      </c>
      <c r="AC61" s="1">
        <v>1.4</v>
      </c>
      <c r="AD61" s="1">
        <v>3.4870000000000001</v>
      </c>
      <c r="AE61" s="1">
        <v>7.0000000000000001E-3</v>
      </c>
      <c r="AF61" s="1">
        <v>3.9E-2</v>
      </c>
      <c r="AI61" s="1">
        <v>0</v>
      </c>
      <c r="AJ61" s="1">
        <v>0</v>
      </c>
      <c r="AK61" s="1">
        <v>0</v>
      </c>
      <c r="AL61" s="1">
        <v>1</v>
      </c>
      <c r="AM61" s="1">
        <v>75626</v>
      </c>
      <c r="AN61" s="1">
        <v>34631</v>
      </c>
      <c r="AO61" s="1">
        <v>40995</v>
      </c>
      <c r="AP61" s="1">
        <v>50611</v>
      </c>
      <c r="AQ61" s="1">
        <v>7.79116191982129</v>
      </c>
    </row>
    <row r="62" spans="1:43" x14ac:dyDescent="0.45">
      <c r="A62" s="1">
        <v>61</v>
      </c>
      <c r="B62" s="1">
        <v>91</v>
      </c>
      <c r="C62" s="1">
        <v>117</v>
      </c>
      <c r="D62" s="1" t="s">
        <v>112</v>
      </c>
      <c r="E62" s="1" t="s">
        <v>113</v>
      </c>
      <c r="F62" s="1" t="s">
        <v>114</v>
      </c>
      <c r="G62" s="1" t="s">
        <v>54</v>
      </c>
      <c r="H62" s="1" t="s">
        <v>47</v>
      </c>
      <c r="I62" s="1">
        <v>948</v>
      </c>
      <c r="J62" s="1">
        <v>50781</v>
      </c>
      <c r="K62" s="1">
        <v>1</v>
      </c>
      <c r="L62" s="1">
        <v>116</v>
      </c>
      <c r="M62" s="1">
        <v>1930</v>
      </c>
      <c r="N62" s="1" t="s">
        <v>48</v>
      </c>
      <c r="O62" s="1">
        <v>195295</v>
      </c>
      <c r="P62" s="1">
        <v>93</v>
      </c>
      <c r="Q62" s="1" t="s">
        <v>111</v>
      </c>
      <c r="R62" s="1" t="s">
        <v>50</v>
      </c>
      <c r="S62" s="1">
        <v>0</v>
      </c>
      <c r="T62" s="1">
        <v>0</v>
      </c>
      <c r="U62" s="1">
        <v>87.602000000000004</v>
      </c>
      <c r="V62" s="1">
        <v>21.277999999999999</v>
      </c>
      <c r="W62" s="1">
        <v>1.53</v>
      </c>
      <c r="X62" s="1">
        <v>3.4870000000000001</v>
      </c>
      <c r="Y62" s="1">
        <v>24.765000000000001</v>
      </c>
      <c r="Z62" s="1">
        <v>0.28399999999999997</v>
      </c>
      <c r="AA62" s="1">
        <v>1.4</v>
      </c>
      <c r="AB62" s="1">
        <v>1.3</v>
      </c>
      <c r="AC62" s="1">
        <v>1.4</v>
      </c>
      <c r="AD62" s="1">
        <v>3.4870000000000001</v>
      </c>
      <c r="AE62" s="1">
        <v>6.0000000000000001E-3</v>
      </c>
      <c r="AF62" s="1">
        <v>3.6999999999999998E-2</v>
      </c>
      <c r="AI62" s="1">
        <v>0</v>
      </c>
      <c r="AJ62" s="1">
        <v>0</v>
      </c>
      <c r="AK62" s="1">
        <v>0</v>
      </c>
      <c r="AL62" s="1">
        <v>1</v>
      </c>
      <c r="AM62" s="1">
        <v>75620</v>
      </c>
      <c r="AN62" s="1">
        <v>34329</v>
      </c>
      <c r="AO62" s="1">
        <v>41291</v>
      </c>
      <c r="AP62" s="1">
        <v>50601</v>
      </c>
      <c r="AQ62" s="1">
        <v>8.1048937517525221</v>
      </c>
    </row>
    <row r="63" spans="1:43" x14ac:dyDescent="0.45">
      <c r="A63" s="1">
        <v>62</v>
      </c>
      <c r="B63" s="1">
        <v>91</v>
      </c>
      <c r="C63" s="1">
        <v>117</v>
      </c>
      <c r="D63" s="1" t="s">
        <v>112</v>
      </c>
      <c r="E63" s="1" t="s">
        <v>113</v>
      </c>
      <c r="F63" s="1" t="s">
        <v>114</v>
      </c>
      <c r="G63" s="1" t="s">
        <v>54</v>
      </c>
      <c r="H63" s="1" t="s">
        <v>47</v>
      </c>
      <c r="I63" s="1">
        <v>948</v>
      </c>
      <c r="J63" s="1">
        <v>50781</v>
      </c>
      <c r="K63" s="1">
        <v>1</v>
      </c>
      <c r="L63" s="1">
        <v>116</v>
      </c>
      <c r="M63" s="1">
        <v>1935</v>
      </c>
      <c r="N63" s="1" t="s">
        <v>48</v>
      </c>
      <c r="O63" s="1">
        <v>195301</v>
      </c>
      <c r="P63" s="1">
        <v>93</v>
      </c>
      <c r="Q63" s="1" t="s">
        <v>111</v>
      </c>
      <c r="R63" s="1" t="s">
        <v>50</v>
      </c>
      <c r="S63" s="1">
        <v>0</v>
      </c>
      <c r="T63" s="1">
        <v>0</v>
      </c>
      <c r="U63" s="1">
        <v>52.036000000000001</v>
      </c>
      <c r="V63" s="1">
        <v>21.234999999999999</v>
      </c>
      <c r="W63" s="1">
        <v>1.54</v>
      </c>
      <c r="X63" s="1">
        <v>3.53</v>
      </c>
      <c r="Y63" s="1">
        <v>24.765000000000001</v>
      </c>
      <c r="Z63" s="1">
        <v>0.27700000000000002</v>
      </c>
      <c r="AA63" s="1">
        <v>1.5</v>
      </c>
      <c r="AB63" s="1">
        <v>1.6</v>
      </c>
      <c r="AC63" s="1">
        <v>1.7</v>
      </c>
      <c r="AD63" s="1">
        <v>3.53</v>
      </c>
      <c r="AE63" s="1">
        <v>6.0000000000000001E-3</v>
      </c>
      <c r="AF63" s="1">
        <v>3.6999999999999998E-2</v>
      </c>
      <c r="AI63" s="1">
        <v>0</v>
      </c>
      <c r="AJ63" s="1">
        <v>0</v>
      </c>
      <c r="AK63" s="1">
        <v>0</v>
      </c>
      <c r="AL63" s="1">
        <v>1</v>
      </c>
      <c r="AM63" s="1">
        <v>75777</v>
      </c>
      <c r="AN63" s="1">
        <v>35791</v>
      </c>
      <c r="AO63" s="1">
        <v>39986</v>
      </c>
      <c r="AP63" s="1">
        <v>50593</v>
      </c>
      <c r="AQ63" s="1">
        <v>0.4894987964643811</v>
      </c>
    </row>
    <row r="64" spans="1:43" x14ac:dyDescent="0.45">
      <c r="A64" s="1">
        <v>63</v>
      </c>
      <c r="B64" s="1">
        <v>91</v>
      </c>
      <c r="C64" s="1">
        <v>117</v>
      </c>
      <c r="D64" s="1" t="s">
        <v>112</v>
      </c>
      <c r="E64" s="1" t="s">
        <v>113</v>
      </c>
      <c r="F64" s="1" t="s">
        <v>114</v>
      </c>
      <c r="G64" s="1" t="s">
        <v>54</v>
      </c>
      <c r="H64" s="1" t="s">
        <v>47</v>
      </c>
      <c r="I64" s="1">
        <v>948</v>
      </c>
      <c r="J64" s="1">
        <v>50781</v>
      </c>
      <c r="K64" s="1">
        <v>1</v>
      </c>
      <c r="L64" s="1">
        <v>116</v>
      </c>
      <c r="M64" s="1">
        <v>1950</v>
      </c>
      <c r="N64" s="1" t="s">
        <v>48</v>
      </c>
      <c r="O64" s="1">
        <v>195319</v>
      </c>
      <c r="P64" s="1">
        <v>93</v>
      </c>
      <c r="Q64" s="1" t="s">
        <v>111</v>
      </c>
      <c r="R64" s="1" t="s">
        <v>50</v>
      </c>
      <c r="S64" s="1">
        <v>0</v>
      </c>
      <c r="T64" s="1">
        <v>0</v>
      </c>
      <c r="U64" s="1">
        <v>111.16200000000001</v>
      </c>
      <c r="V64" s="1">
        <v>21.387</v>
      </c>
      <c r="W64" s="1">
        <v>1.52</v>
      </c>
      <c r="X64" s="1">
        <v>3.3780000000000001</v>
      </c>
      <c r="Y64" s="1">
        <v>24.765000000000001</v>
      </c>
      <c r="Z64" s="1">
        <v>0.52800000000000002</v>
      </c>
      <c r="AA64" s="1">
        <v>1.9</v>
      </c>
      <c r="AB64" s="1">
        <v>-1.8</v>
      </c>
      <c r="AC64" s="1">
        <v>-1.6</v>
      </c>
      <c r="AD64" s="1">
        <v>3.3780000000000001</v>
      </c>
      <c r="AE64" s="1">
        <v>3.0000000000000001E-3</v>
      </c>
      <c r="AF64" s="1">
        <v>3.5000000000000003E-2</v>
      </c>
      <c r="AI64" s="1">
        <v>0</v>
      </c>
      <c r="AJ64" s="1">
        <v>0</v>
      </c>
      <c r="AK64" s="1">
        <v>0</v>
      </c>
      <c r="AL64" s="1">
        <v>1</v>
      </c>
      <c r="AM64" s="1">
        <v>75129</v>
      </c>
      <c r="AN64" s="1">
        <v>31754</v>
      </c>
      <c r="AO64" s="1">
        <v>43376</v>
      </c>
      <c r="AP64" s="1">
        <v>50628</v>
      </c>
      <c r="AQ64" s="1">
        <v>1.21542409500468</v>
      </c>
    </row>
    <row r="65" spans="1:43" x14ac:dyDescent="0.45">
      <c r="A65" s="1">
        <v>64</v>
      </c>
      <c r="B65" s="1">
        <v>91</v>
      </c>
      <c r="C65" s="1">
        <v>117</v>
      </c>
      <c r="D65" s="1" t="s">
        <v>112</v>
      </c>
      <c r="E65" s="1" t="s">
        <v>113</v>
      </c>
      <c r="F65" s="1" t="s">
        <v>114</v>
      </c>
      <c r="G65" s="1" t="s">
        <v>54</v>
      </c>
      <c r="H65" s="1" t="s">
        <v>47</v>
      </c>
      <c r="I65" s="1">
        <v>948</v>
      </c>
      <c r="J65" s="1">
        <v>50781</v>
      </c>
      <c r="K65" s="1">
        <v>1</v>
      </c>
      <c r="L65" s="1">
        <v>116</v>
      </c>
      <c r="M65" s="1">
        <v>1952</v>
      </c>
      <c r="N65" s="1" t="s">
        <v>48</v>
      </c>
      <c r="O65" s="1">
        <v>195321</v>
      </c>
      <c r="P65" s="1">
        <v>93</v>
      </c>
      <c r="Q65" s="1" t="s">
        <v>111</v>
      </c>
      <c r="R65" s="1" t="s">
        <v>50</v>
      </c>
      <c r="S65" s="1">
        <v>0</v>
      </c>
      <c r="T65" s="1">
        <v>0</v>
      </c>
      <c r="U65" s="1">
        <v>94.41</v>
      </c>
      <c r="V65" s="1">
        <v>21.33</v>
      </c>
      <c r="W65" s="1">
        <v>1.52</v>
      </c>
      <c r="X65" s="1">
        <v>3.4359999999999999</v>
      </c>
      <c r="Y65" s="1">
        <v>24.765000000000001</v>
      </c>
      <c r="Z65" s="1">
        <v>0.54700000000000004</v>
      </c>
      <c r="AA65" s="1">
        <v>2.2000000000000002</v>
      </c>
      <c r="AB65" s="1">
        <v>-0.5</v>
      </c>
      <c r="AC65" s="1">
        <v>-0.6</v>
      </c>
      <c r="AD65" s="1">
        <v>3.4359999999999999</v>
      </c>
      <c r="AE65" s="1">
        <v>4.0000000000000001E-3</v>
      </c>
      <c r="AF65" s="1">
        <v>0.17100000000000001</v>
      </c>
      <c r="AG65" s="1">
        <v>2.2000000000000002</v>
      </c>
      <c r="AI65" s="1">
        <v>0</v>
      </c>
      <c r="AJ65" s="1">
        <v>0</v>
      </c>
      <c r="AK65" s="1">
        <v>0</v>
      </c>
      <c r="AL65" s="1">
        <v>1</v>
      </c>
      <c r="AM65" s="1">
        <v>86400</v>
      </c>
      <c r="AN65" s="1">
        <v>81685</v>
      </c>
      <c r="AO65" s="1">
        <v>4715</v>
      </c>
      <c r="AP65" s="1">
        <v>50575</v>
      </c>
      <c r="AQ65" s="1">
        <v>15.476362366948131</v>
      </c>
    </row>
    <row r="66" spans="1:43" x14ac:dyDescent="0.45">
      <c r="A66" s="1">
        <v>65</v>
      </c>
      <c r="B66" s="1">
        <v>91</v>
      </c>
      <c r="C66" s="1">
        <v>117</v>
      </c>
      <c r="D66" s="1" t="s">
        <v>112</v>
      </c>
      <c r="E66" s="1" t="s">
        <v>113</v>
      </c>
      <c r="F66" s="1" t="s">
        <v>114</v>
      </c>
      <c r="G66" s="1" t="s">
        <v>54</v>
      </c>
      <c r="H66" s="1" t="s">
        <v>47</v>
      </c>
      <c r="I66" s="1">
        <v>948</v>
      </c>
      <c r="J66" s="1">
        <v>50781</v>
      </c>
      <c r="K66" s="1">
        <v>1</v>
      </c>
      <c r="L66" s="1">
        <v>116</v>
      </c>
      <c r="M66" s="1">
        <v>1953</v>
      </c>
      <c r="N66" s="1" t="s">
        <v>48</v>
      </c>
      <c r="O66" s="1">
        <v>195322</v>
      </c>
      <c r="P66" s="1">
        <v>93</v>
      </c>
      <c r="Q66" s="1" t="s">
        <v>111</v>
      </c>
      <c r="R66" s="1" t="s">
        <v>50</v>
      </c>
      <c r="S66" s="1">
        <v>0</v>
      </c>
      <c r="T66" s="1">
        <v>0</v>
      </c>
      <c r="U66" s="1">
        <v>85.018000000000001</v>
      </c>
      <c r="V66" s="1">
        <v>21.689</v>
      </c>
      <c r="W66" s="1">
        <v>1.47</v>
      </c>
      <c r="X66" s="1">
        <v>3.0760000000000001</v>
      </c>
      <c r="Y66" s="1">
        <v>24.765000000000001</v>
      </c>
      <c r="Z66" s="1">
        <v>0.64700000000000002</v>
      </c>
      <c r="AA66" s="1">
        <v>2</v>
      </c>
      <c r="AB66" s="1">
        <v>1.2</v>
      </c>
      <c r="AC66" s="1">
        <v>1.3</v>
      </c>
      <c r="AD66" s="1">
        <v>3.052</v>
      </c>
      <c r="AE66" s="1">
        <v>0.03</v>
      </c>
      <c r="AF66" s="1">
        <v>0.64700000000000002</v>
      </c>
      <c r="AG66" s="1">
        <v>2</v>
      </c>
      <c r="AI66" s="1">
        <v>0</v>
      </c>
      <c r="AJ66" s="1">
        <v>0</v>
      </c>
      <c r="AK66" s="1">
        <v>0</v>
      </c>
      <c r="AL66" s="1">
        <v>1</v>
      </c>
      <c r="AM66" s="1">
        <v>73532</v>
      </c>
      <c r="AN66" s="1">
        <v>30162</v>
      </c>
      <c r="AO66" s="1">
        <v>43371</v>
      </c>
      <c r="AP66" s="1">
        <v>50628</v>
      </c>
      <c r="AQ66" s="1">
        <v>0.97205040505480533</v>
      </c>
    </row>
    <row r="67" spans="1:43" x14ac:dyDescent="0.45">
      <c r="A67" s="1">
        <v>66</v>
      </c>
      <c r="B67" s="1">
        <v>91</v>
      </c>
      <c r="C67" s="1">
        <v>117</v>
      </c>
      <c r="D67" s="1" t="s">
        <v>112</v>
      </c>
      <c r="E67" s="1" t="s">
        <v>113</v>
      </c>
      <c r="F67" s="1" t="s">
        <v>114</v>
      </c>
      <c r="G67" s="1" t="s">
        <v>54</v>
      </c>
      <c r="H67" s="1" t="s">
        <v>47</v>
      </c>
      <c r="I67" s="1">
        <v>948</v>
      </c>
      <c r="J67" s="1">
        <v>50781</v>
      </c>
      <c r="K67" s="1">
        <v>1</v>
      </c>
      <c r="L67" s="1">
        <v>116</v>
      </c>
      <c r="M67" s="1">
        <v>1955</v>
      </c>
      <c r="N67" s="1" t="s">
        <v>48</v>
      </c>
      <c r="O67" s="1">
        <v>195331</v>
      </c>
      <c r="P67" s="1">
        <v>93</v>
      </c>
      <c r="Q67" s="1" t="s">
        <v>111</v>
      </c>
      <c r="R67" s="1" t="s">
        <v>50</v>
      </c>
      <c r="S67" s="1">
        <v>0</v>
      </c>
      <c r="T67" s="1">
        <v>0</v>
      </c>
      <c r="U67" s="1">
        <v>65.272999999999996</v>
      </c>
      <c r="V67" s="1">
        <v>24.233000000000001</v>
      </c>
      <c r="W67" s="1">
        <v>0.6</v>
      </c>
      <c r="X67" s="1">
        <v>0.53400000000000003</v>
      </c>
      <c r="Y67" s="1">
        <v>24.766999999999999</v>
      </c>
      <c r="Z67" s="1">
        <v>0.59599999999999997</v>
      </c>
      <c r="AA67" s="1">
        <v>2.2000000000000002</v>
      </c>
      <c r="AB67" s="1">
        <v>2.8</v>
      </c>
      <c r="AC67" s="1">
        <v>2.8</v>
      </c>
      <c r="AD67" s="1">
        <v>0.51700000000000002</v>
      </c>
      <c r="AE67" s="1">
        <v>0.47299999999999998</v>
      </c>
      <c r="AF67" s="1">
        <v>0.248</v>
      </c>
      <c r="AG67" s="1">
        <v>2.2000000000000002</v>
      </c>
      <c r="AI67" s="1">
        <v>0</v>
      </c>
      <c r="AJ67" s="1">
        <v>0</v>
      </c>
      <c r="AK67" s="1">
        <v>0</v>
      </c>
      <c r="AL67" s="1">
        <v>1</v>
      </c>
      <c r="AM67" s="1">
        <v>55781</v>
      </c>
      <c r="AN67" s="1">
        <v>12488</v>
      </c>
      <c r="AO67" s="1">
        <v>43293</v>
      </c>
      <c r="AP67" s="1">
        <v>50624</v>
      </c>
      <c r="AQ67" s="1">
        <v>16.500972932043261</v>
      </c>
    </row>
    <row r="68" spans="1:43" x14ac:dyDescent="0.45">
      <c r="A68" s="1">
        <v>67</v>
      </c>
      <c r="B68" s="1">
        <v>91</v>
      </c>
      <c r="C68" s="1">
        <v>117</v>
      </c>
      <c r="D68" s="1" t="s">
        <v>112</v>
      </c>
      <c r="E68" s="1" t="s">
        <v>113</v>
      </c>
      <c r="F68" s="1" t="s">
        <v>114</v>
      </c>
      <c r="G68" s="1" t="s">
        <v>54</v>
      </c>
      <c r="H68" s="1" t="s">
        <v>47</v>
      </c>
      <c r="I68" s="1">
        <v>948</v>
      </c>
      <c r="J68" s="1">
        <v>50781</v>
      </c>
      <c r="K68" s="1">
        <v>1</v>
      </c>
      <c r="L68" s="1">
        <v>116</v>
      </c>
      <c r="M68" s="1">
        <v>1956</v>
      </c>
      <c r="N68" s="1" t="s">
        <v>48</v>
      </c>
      <c r="O68" s="1">
        <v>195333</v>
      </c>
      <c r="P68" s="1">
        <v>93</v>
      </c>
      <c r="Q68" s="1" t="s">
        <v>111</v>
      </c>
      <c r="R68" s="1" t="s">
        <v>50</v>
      </c>
      <c r="S68" s="1">
        <v>0</v>
      </c>
      <c r="T68" s="1">
        <v>0</v>
      </c>
      <c r="U68" s="1">
        <v>65.066999999999993</v>
      </c>
      <c r="V68" s="1">
        <v>21.277999999999999</v>
      </c>
      <c r="W68" s="1">
        <v>1.53</v>
      </c>
      <c r="X68" s="1">
        <v>3.4870000000000001</v>
      </c>
      <c r="Y68" s="1">
        <v>24.765000000000001</v>
      </c>
      <c r="Z68" s="1">
        <v>0.22500000000000001</v>
      </c>
      <c r="AA68" s="1">
        <v>2</v>
      </c>
      <c r="AB68" s="1">
        <v>1.8</v>
      </c>
      <c r="AC68" s="1">
        <v>1.9</v>
      </c>
      <c r="AD68" s="1">
        <v>3.4860000000000002</v>
      </c>
      <c r="AE68" s="1">
        <v>5.0000000000000001E-3</v>
      </c>
      <c r="AF68" s="1">
        <v>3.2000000000000001E-2</v>
      </c>
      <c r="AG68" s="1">
        <v>2</v>
      </c>
      <c r="AI68" s="1">
        <v>0</v>
      </c>
      <c r="AJ68" s="1">
        <v>0</v>
      </c>
      <c r="AK68" s="1">
        <v>0</v>
      </c>
      <c r="AL68" s="1">
        <v>1</v>
      </c>
      <c r="AM68" s="1">
        <v>75646</v>
      </c>
      <c r="AN68" s="1">
        <v>39480</v>
      </c>
      <c r="AO68" s="1">
        <v>36166</v>
      </c>
      <c r="AP68" s="1">
        <v>50613</v>
      </c>
      <c r="AQ68" s="1">
        <v>15.157086163197469</v>
      </c>
    </row>
    <row r="69" spans="1:43" x14ac:dyDescent="0.45">
      <c r="A69" s="1">
        <v>68</v>
      </c>
      <c r="B69" s="1">
        <v>95</v>
      </c>
      <c r="C69" s="1">
        <v>117</v>
      </c>
      <c r="D69" s="1" t="s">
        <v>112</v>
      </c>
      <c r="E69" s="1" t="s">
        <v>113</v>
      </c>
      <c r="F69" s="1" t="s">
        <v>114</v>
      </c>
      <c r="G69" s="1" t="s">
        <v>54</v>
      </c>
      <c r="H69" s="1" t="s">
        <v>47</v>
      </c>
      <c r="I69" s="1">
        <v>948</v>
      </c>
      <c r="J69" s="1">
        <v>50781</v>
      </c>
      <c r="K69" s="1">
        <v>1</v>
      </c>
      <c r="L69" s="1">
        <v>116</v>
      </c>
      <c r="M69" s="1">
        <v>1871</v>
      </c>
      <c r="N69" s="1" t="s">
        <v>48</v>
      </c>
      <c r="O69" s="1">
        <v>195155</v>
      </c>
      <c r="P69" s="1">
        <v>93</v>
      </c>
      <c r="Q69" s="1" t="s">
        <v>111</v>
      </c>
      <c r="R69" s="1" t="s">
        <v>50</v>
      </c>
      <c r="S69" s="1">
        <v>0</v>
      </c>
      <c r="T69" s="1">
        <v>0</v>
      </c>
      <c r="U69" s="1">
        <v>53.843000000000004</v>
      </c>
      <c r="V69" s="1">
        <v>20.477</v>
      </c>
      <c r="W69" s="1">
        <v>1.75</v>
      </c>
      <c r="X69" s="1">
        <v>4.2889999999999997</v>
      </c>
      <c r="Y69" s="1">
        <v>24.765999999999998</v>
      </c>
      <c r="Z69" s="1">
        <v>0.23400000000000001</v>
      </c>
      <c r="AA69" s="1">
        <v>0.6</v>
      </c>
      <c r="AB69" s="1">
        <v>0.6</v>
      </c>
      <c r="AC69" s="1">
        <v>0.6</v>
      </c>
      <c r="AD69" s="1">
        <v>4.2869999999999999</v>
      </c>
      <c r="AE69" s="1">
        <v>0.23200000000000001</v>
      </c>
      <c r="AF69" s="1">
        <v>0.999</v>
      </c>
      <c r="AG69" s="1">
        <v>0.6</v>
      </c>
      <c r="AI69" s="1">
        <v>0</v>
      </c>
      <c r="AJ69" s="1">
        <v>0</v>
      </c>
      <c r="AK69" s="1">
        <v>0</v>
      </c>
      <c r="AL69" s="1">
        <v>1</v>
      </c>
      <c r="AM69" s="1">
        <v>86400</v>
      </c>
      <c r="AN69" s="1">
        <v>77669</v>
      </c>
      <c r="AO69" s="1">
        <v>8731</v>
      </c>
      <c r="AP69" s="1">
        <v>50575</v>
      </c>
      <c r="AQ69" s="1">
        <v>1.566961171589063</v>
      </c>
    </row>
    <row r="70" spans="1:43" x14ac:dyDescent="0.45">
      <c r="A70" s="1">
        <v>69</v>
      </c>
      <c r="B70" s="1">
        <v>95</v>
      </c>
      <c r="C70" s="1">
        <v>117</v>
      </c>
      <c r="D70" s="1" t="s">
        <v>112</v>
      </c>
      <c r="E70" s="1" t="s">
        <v>113</v>
      </c>
      <c r="F70" s="1" t="s">
        <v>114</v>
      </c>
      <c r="G70" s="1" t="s">
        <v>54</v>
      </c>
      <c r="H70" s="1" t="s">
        <v>47</v>
      </c>
      <c r="I70" s="1">
        <v>948</v>
      </c>
      <c r="J70" s="1">
        <v>50781</v>
      </c>
      <c r="K70" s="1">
        <v>1</v>
      </c>
      <c r="L70" s="1">
        <v>116</v>
      </c>
      <c r="M70" s="1">
        <v>1931</v>
      </c>
      <c r="N70" s="1" t="s">
        <v>48</v>
      </c>
      <c r="O70" s="1">
        <v>195297</v>
      </c>
      <c r="P70" s="1">
        <v>93</v>
      </c>
      <c r="Q70" s="1" t="s">
        <v>111</v>
      </c>
      <c r="R70" s="1" t="s">
        <v>50</v>
      </c>
      <c r="S70" s="1">
        <v>0</v>
      </c>
      <c r="T70" s="1">
        <v>0</v>
      </c>
      <c r="U70" s="1">
        <v>57.128999999999998</v>
      </c>
      <c r="V70" s="1">
        <v>21.033000000000001</v>
      </c>
      <c r="W70" s="1">
        <v>1.57</v>
      </c>
      <c r="X70" s="1">
        <v>3.7330000000000001</v>
      </c>
      <c r="Y70" s="1">
        <v>24.765000000000001</v>
      </c>
      <c r="Z70" s="1">
        <v>0.128</v>
      </c>
      <c r="AA70" s="1">
        <v>2.4</v>
      </c>
      <c r="AB70" s="1">
        <v>2</v>
      </c>
      <c r="AC70" s="1">
        <v>2</v>
      </c>
      <c r="AD70" s="1">
        <v>3.7320000000000002</v>
      </c>
      <c r="AE70" s="1">
        <v>8.0000000000000002E-3</v>
      </c>
      <c r="AF70" s="1">
        <v>4.9000000000000002E-2</v>
      </c>
      <c r="AI70" s="1">
        <v>0</v>
      </c>
      <c r="AJ70" s="1">
        <v>0</v>
      </c>
      <c r="AK70" s="1">
        <v>0</v>
      </c>
      <c r="AL70" s="1">
        <v>1</v>
      </c>
      <c r="AM70" s="1">
        <v>86400</v>
      </c>
      <c r="AN70" s="1">
        <v>73796</v>
      </c>
      <c r="AO70" s="1">
        <v>12604</v>
      </c>
      <c r="AP70" s="1">
        <v>50621</v>
      </c>
      <c r="AQ70" s="1">
        <v>4.8008961758897906</v>
      </c>
    </row>
    <row r="71" spans="1:43" x14ac:dyDescent="0.45">
      <c r="A71" s="1">
        <v>70</v>
      </c>
      <c r="B71" s="1">
        <v>95</v>
      </c>
      <c r="C71" s="1">
        <v>117</v>
      </c>
      <c r="D71" s="1" t="s">
        <v>112</v>
      </c>
      <c r="E71" s="1" t="s">
        <v>113</v>
      </c>
      <c r="F71" s="1" t="s">
        <v>114</v>
      </c>
      <c r="G71" s="1" t="s">
        <v>54</v>
      </c>
      <c r="H71" s="1" t="s">
        <v>47</v>
      </c>
      <c r="I71" s="1">
        <v>948</v>
      </c>
      <c r="J71" s="1">
        <v>50781</v>
      </c>
      <c r="K71" s="1">
        <v>1</v>
      </c>
      <c r="L71" s="1">
        <v>116</v>
      </c>
      <c r="M71" s="1">
        <v>1932</v>
      </c>
      <c r="N71" s="1" t="s">
        <v>48</v>
      </c>
      <c r="O71" s="1">
        <v>195298</v>
      </c>
      <c r="P71" s="1">
        <v>93</v>
      </c>
      <c r="Q71" s="1" t="s">
        <v>111</v>
      </c>
      <c r="R71" s="1" t="s">
        <v>50</v>
      </c>
      <c r="S71" s="1">
        <v>0</v>
      </c>
      <c r="T71" s="1">
        <v>0</v>
      </c>
      <c r="U71" s="1">
        <v>69.653000000000006</v>
      </c>
      <c r="V71" s="1">
        <v>21.009</v>
      </c>
      <c r="W71" s="1">
        <v>1.58</v>
      </c>
      <c r="X71" s="1">
        <v>3.7559999999999998</v>
      </c>
      <c r="Y71" s="1">
        <v>24.765999999999998</v>
      </c>
      <c r="Z71" s="1">
        <v>0.247</v>
      </c>
      <c r="AA71" s="1">
        <v>2.4</v>
      </c>
      <c r="AB71" s="1">
        <v>1.9</v>
      </c>
      <c r="AC71" s="1">
        <v>1.9</v>
      </c>
      <c r="AD71" s="1">
        <v>3.7559999999999998</v>
      </c>
      <c r="AE71" s="1">
        <v>0.01</v>
      </c>
      <c r="AF71" s="1">
        <v>6.2E-2</v>
      </c>
      <c r="AI71" s="1">
        <v>0</v>
      </c>
      <c r="AJ71" s="1">
        <v>0</v>
      </c>
      <c r="AK71" s="1">
        <v>0</v>
      </c>
      <c r="AL71" s="1">
        <v>1</v>
      </c>
      <c r="AM71" s="1">
        <v>86400</v>
      </c>
      <c r="AN71" s="1">
        <v>74060</v>
      </c>
      <c r="AO71" s="1">
        <v>12340</v>
      </c>
      <c r="AP71" s="1">
        <v>50607</v>
      </c>
      <c r="AQ71" s="1">
        <v>1.3019755942637019</v>
      </c>
    </row>
    <row r="72" spans="1:43" x14ac:dyDescent="0.45">
      <c r="A72" s="1">
        <v>71</v>
      </c>
      <c r="B72" s="1">
        <v>95</v>
      </c>
      <c r="C72" s="1">
        <v>117</v>
      </c>
      <c r="D72" s="1" t="s">
        <v>112</v>
      </c>
      <c r="E72" s="1" t="s">
        <v>113</v>
      </c>
      <c r="F72" s="1" t="s">
        <v>114</v>
      </c>
      <c r="G72" s="1" t="s">
        <v>54</v>
      </c>
      <c r="H72" s="1" t="s">
        <v>47</v>
      </c>
      <c r="I72" s="1">
        <v>948</v>
      </c>
      <c r="J72" s="1">
        <v>50781</v>
      </c>
      <c r="K72" s="1">
        <v>1</v>
      </c>
      <c r="L72" s="1">
        <v>116</v>
      </c>
      <c r="M72" s="1">
        <v>1935</v>
      </c>
      <c r="N72" s="1" t="s">
        <v>48</v>
      </c>
      <c r="O72" s="1">
        <v>195301</v>
      </c>
      <c r="P72" s="1">
        <v>93</v>
      </c>
      <c r="Q72" s="1" t="s">
        <v>111</v>
      </c>
      <c r="R72" s="1" t="s">
        <v>50</v>
      </c>
      <c r="S72" s="1">
        <v>0</v>
      </c>
      <c r="T72" s="1">
        <v>0</v>
      </c>
      <c r="U72" s="1">
        <v>52.036000000000001</v>
      </c>
      <c r="V72" s="1">
        <v>21.234999999999999</v>
      </c>
      <c r="W72" s="1">
        <v>1.54</v>
      </c>
      <c r="X72" s="1">
        <v>3.53</v>
      </c>
      <c r="Y72" s="1">
        <v>24.765000000000001</v>
      </c>
      <c r="Z72" s="1">
        <v>0.27700000000000002</v>
      </c>
      <c r="AA72" s="1">
        <v>1.5</v>
      </c>
      <c r="AB72" s="1">
        <v>1.6</v>
      </c>
      <c r="AC72" s="1">
        <v>1.7</v>
      </c>
      <c r="AD72" s="1">
        <v>3.53</v>
      </c>
      <c r="AE72" s="1">
        <v>6.0000000000000001E-3</v>
      </c>
      <c r="AF72" s="1">
        <v>3.6999999999999998E-2</v>
      </c>
      <c r="AI72" s="1">
        <v>0</v>
      </c>
      <c r="AJ72" s="1">
        <v>0</v>
      </c>
      <c r="AK72" s="1">
        <v>0</v>
      </c>
      <c r="AL72" s="1">
        <v>1</v>
      </c>
      <c r="AM72" s="1">
        <v>75777</v>
      </c>
      <c r="AN72" s="1">
        <v>35791</v>
      </c>
      <c r="AO72" s="1">
        <v>39986</v>
      </c>
      <c r="AP72" s="1">
        <v>50593</v>
      </c>
      <c r="AQ72" s="1">
        <v>6.8629454633243956</v>
      </c>
    </row>
    <row r="73" spans="1:43" x14ac:dyDescent="0.45">
      <c r="A73" s="1">
        <v>72</v>
      </c>
      <c r="B73" s="1">
        <v>98</v>
      </c>
      <c r="C73" s="1">
        <v>74</v>
      </c>
      <c r="D73" s="1" t="s">
        <v>61</v>
      </c>
      <c r="E73" s="1" t="s">
        <v>62</v>
      </c>
      <c r="F73" s="1" t="s">
        <v>63</v>
      </c>
      <c r="G73" s="1" t="s">
        <v>46</v>
      </c>
      <c r="H73" s="1" t="s">
        <v>47</v>
      </c>
      <c r="I73" s="1">
        <v>1175</v>
      </c>
      <c r="J73" s="1">
        <v>30642</v>
      </c>
      <c r="K73" s="1">
        <v>1</v>
      </c>
      <c r="L73" s="1">
        <v>73</v>
      </c>
      <c r="M73" s="1">
        <v>2081</v>
      </c>
      <c r="N73" s="1" t="s">
        <v>48</v>
      </c>
      <c r="O73" s="1">
        <v>198607</v>
      </c>
      <c r="P73" s="1">
        <v>93</v>
      </c>
      <c r="Q73" s="1" t="s">
        <v>111</v>
      </c>
      <c r="R73" s="1" t="s">
        <v>50</v>
      </c>
      <c r="S73" s="1">
        <v>0</v>
      </c>
      <c r="T73" s="1">
        <v>0</v>
      </c>
      <c r="U73" s="1">
        <v>71.430000000000007</v>
      </c>
      <c r="V73" s="1">
        <v>25.236000000000001</v>
      </c>
      <c r="W73" s="1">
        <v>0.55000000000000004</v>
      </c>
      <c r="X73" s="1">
        <v>0.29899999999999999</v>
      </c>
      <c r="Y73" s="1">
        <v>25.535</v>
      </c>
      <c r="Z73" s="1">
        <v>0.11799999999999999</v>
      </c>
      <c r="AA73" s="1">
        <v>-0.6</v>
      </c>
      <c r="AB73" s="1">
        <v>-2.1</v>
      </c>
      <c r="AC73" s="1">
        <v>-2.1</v>
      </c>
      <c r="AD73" s="1">
        <v>0.29899999999999999</v>
      </c>
      <c r="AE73" s="1">
        <v>4.9000000000000002E-2</v>
      </c>
      <c r="AF73" s="1">
        <v>0.02</v>
      </c>
      <c r="AG73" s="1">
        <v>-0.6</v>
      </c>
      <c r="AI73" s="1">
        <v>0</v>
      </c>
      <c r="AJ73" s="1">
        <v>0</v>
      </c>
      <c r="AK73" s="1">
        <v>0</v>
      </c>
      <c r="AL73" s="1">
        <v>1</v>
      </c>
      <c r="AM73" s="1">
        <v>86400</v>
      </c>
      <c r="AN73" s="1">
        <v>81431</v>
      </c>
      <c r="AO73" s="1">
        <v>4969</v>
      </c>
      <c r="AP73" s="1">
        <v>50212</v>
      </c>
      <c r="AQ73" s="1">
        <v>1.128700622000171</v>
      </c>
    </row>
    <row r="74" spans="1:43" x14ac:dyDescent="0.45">
      <c r="A74" s="1">
        <v>73</v>
      </c>
      <c r="B74" s="1">
        <v>99</v>
      </c>
      <c r="C74" s="1">
        <v>75</v>
      </c>
      <c r="D74" s="1" t="s">
        <v>64</v>
      </c>
      <c r="E74" s="1" t="s">
        <v>65</v>
      </c>
      <c r="F74" s="1" t="s">
        <v>66</v>
      </c>
      <c r="G74" s="1" t="s">
        <v>46</v>
      </c>
      <c r="H74" s="1" t="s">
        <v>47</v>
      </c>
      <c r="I74" s="1">
        <v>1170</v>
      </c>
      <c r="J74" s="1">
        <v>33499</v>
      </c>
      <c r="K74" s="1">
        <v>1</v>
      </c>
      <c r="L74" s="1">
        <v>74</v>
      </c>
      <c r="M74" s="1">
        <v>2081</v>
      </c>
      <c r="N74" s="1" t="s">
        <v>48</v>
      </c>
      <c r="O74" s="1">
        <v>198607</v>
      </c>
      <c r="P74" s="1">
        <v>93</v>
      </c>
      <c r="Q74" s="1" t="s">
        <v>111</v>
      </c>
      <c r="R74" s="1" t="s">
        <v>50</v>
      </c>
      <c r="S74" s="1">
        <v>0</v>
      </c>
      <c r="T74" s="1">
        <v>0</v>
      </c>
      <c r="U74" s="1">
        <v>71.430000000000007</v>
      </c>
      <c r="V74" s="1">
        <v>25.236000000000001</v>
      </c>
      <c r="W74" s="1">
        <v>0.55000000000000004</v>
      </c>
      <c r="X74" s="1">
        <v>0.29899999999999999</v>
      </c>
      <c r="Y74" s="1">
        <v>25.535</v>
      </c>
      <c r="Z74" s="1">
        <v>0.11799999999999999</v>
      </c>
      <c r="AA74" s="1">
        <v>-0.6</v>
      </c>
      <c r="AB74" s="1">
        <v>-2.1</v>
      </c>
      <c r="AC74" s="1">
        <v>-2.1</v>
      </c>
      <c r="AD74" s="1">
        <v>0.29899999999999999</v>
      </c>
      <c r="AE74" s="1">
        <v>4.9000000000000002E-2</v>
      </c>
      <c r="AF74" s="1">
        <v>0.02</v>
      </c>
      <c r="AG74" s="1">
        <v>-0.6</v>
      </c>
      <c r="AI74" s="1">
        <v>0</v>
      </c>
      <c r="AJ74" s="1">
        <v>0</v>
      </c>
      <c r="AK74" s="1">
        <v>0</v>
      </c>
      <c r="AL74" s="1">
        <v>1</v>
      </c>
      <c r="AM74" s="1">
        <v>86400</v>
      </c>
      <c r="AN74" s="1">
        <v>81431</v>
      </c>
      <c r="AO74" s="1">
        <v>4969</v>
      </c>
      <c r="AP74" s="1">
        <v>50212</v>
      </c>
      <c r="AQ74" s="1">
        <v>1.12779195385514</v>
      </c>
    </row>
    <row r="75" spans="1:43" x14ac:dyDescent="0.45">
      <c r="A75" s="1">
        <v>74</v>
      </c>
      <c r="B75" s="1">
        <v>101</v>
      </c>
      <c r="C75" s="1">
        <v>74</v>
      </c>
      <c r="D75" s="1" t="s">
        <v>61</v>
      </c>
      <c r="E75" s="1" t="s">
        <v>62</v>
      </c>
      <c r="F75" s="1" t="s">
        <v>63</v>
      </c>
      <c r="G75" s="1" t="s">
        <v>46</v>
      </c>
      <c r="H75" s="1" t="s">
        <v>47</v>
      </c>
      <c r="I75" s="1">
        <v>1175</v>
      </c>
      <c r="J75" s="1">
        <v>30642</v>
      </c>
      <c r="K75" s="1">
        <v>1</v>
      </c>
      <c r="L75" s="1">
        <v>73</v>
      </c>
      <c r="M75" s="1">
        <v>2034</v>
      </c>
      <c r="N75" s="1" t="s">
        <v>48</v>
      </c>
      <c r="O75" s="1">
        <v>198410</v>
      </c>
      <c r="P75" s="1">
        <v>93</v>
      </c>
      <c r="Q75" s="1" t="s">
        <v>111</v>
      </c>
      <c r="R75" s="1" t="s">
        <v>50</v>
      </c>
      <c r="S75" s="1">
        <v>0</v>
      </c>
      <c r="T75" s="1">
        <v>0</v>
      </c>
      <c r="U75" s="1">
        <v>133.90799999999999</v>
      </c>
      <c r="V75" s="1">
        <v>25.021999999999998</v>
      </c>
      <c r="W75" s="1">
        <v>0.56000000000000005</v>
      </c>
      <c r="X75" s="1">
        <v>0.39600000000000002</v>
      </c>
      <c r="Y75" s="1">
        <v>25.417999999999999</v>
      </c>
      <c r="Z75" s="1">
        <v>0.112</v>
      </c>
      <c r="AA75" s="1">
        <v>-0.6</v>
      </c>
      <c r="AB75" s="1">
        <v>-0.6</v>
      </c>
      <c r="AC75" s="1">
        <v>-0.6</v>
      </c>
      <c r="AD75" s="1">
        <v>0.39600000000000002</v>
      </c>
      <c r="AE75" s="1">
        <v>8.4000000000000005E-2</v>
      </c>
      <c r="AF75" s="1">
        <v>4.2000000000000003E-2</v>
      </c>
      <c r="AG75" s="1">
        <v>-0.6</v>
      </c>
      <c r="AI75" s="1">
        <v>0</v>
      </c>
      <c r="AJ75" s="1">
        <v>0</v>
      </c>
      <c r="AK75" s="1">
        <v>0</v>
      </c>
      <c r="AL75" s="1">
        <v>1</v>
      </c>
      <c r="AM75" s="1">
        <v>86400</v>
      </c>
      <c r="AN75" s="1">
        <v>81436</v>
      </c>
      <c r="AO75" s="1">
        <v>4964</v>
      </c>
      <c r="AP75" s="1">
        <v>50345</v>
      </c>
      <c r="AQ75" s="1">
        <v>11.882044579238849</v>
      </c>
    </row>
    <row r="76" spans="1:43" x14ac:dyDescent="0.45">
      <c r="A76" s="1">
        <v>75</v>
      </c>
      <c r="B76" s="1">
        <v>101</v>
      </c>
      <c r="C76" s="1">
        <v>74</v>
      </c>
      <c r="D76" s="1" t="s">
        <v>61</v>
      </c>
      <c r="E76" s="1" t="s">
        <v>62</v>
      </c>
      <c r="F76" s="1" t="s">
        <v>63</v>
      </c>
      <c r="G76" s="1" t="s">
        <v>46</v>
      </c>
      <c r="H76" s="1" t="s">
        <v>47</v>
      </c>
      <c r="I76" s="1">
        <v>1175</v>
      </c>
      <c r="J76" s="1">
        <v>30642</v>
      </c>
      <c r="K76" s="1">
        <v>1</v>
      </c>
      <c r="L76" s="1">
        <v>73</v>
      </c>
      <c r="M76" s="1">
        <v>2036</v>
      </c>
      <c r="N76" s="1" t="s">
        <v>48</v>
      </c>
      <c r="O76" s="1">
        <v>198432</v>
      </c>
      <c r="P76" s="1">
        <v>93</v>
      </c>
      <c r="Q76" s="1" t="s">
        <v>111</v>
      </c>
      <c r="R76" s="1" t="s">
        <v>50</v>
      </c>
      <c r="S76" s="1">
        <v>0</v>
      </c>
      <c r="T76" s="1">
        <v>0</v>
      </c>
      <c r="U76" s="1">
        <v>135.304</v>
      </c>
      <c r="V76" s="1">
        <v>25.076000000000001</v>
      </c>
      <c r="W76" s="1">
        <v>0.56000000000000005</v>
      </c>
      <c r="X76" s="1">
        <v>0.34200000000000003</v>
      </c>
      <c r="Y76" s="1">
        <v>25.419</v>
      </c>
      <c r="Z76" s="1">
        <v>0.23100000000000001</v>
      </c>
      <c r="AA76" s="1">
        <v>2.2000000000000002</v>
      </c>
      <c r="AB76" s="1">
        <v>2.2000000000000002</v>
      </c>
      <c r="AC76" s="1">
        <v>2.2000000000000002</v>
      </c>
      <c r="AD76" s="1">
        <v>0.34200000000000003</v>
      </c>
      <c r="AE76" s="1">
        <v>0.23</v>
      </c>
      <c r="AF76" s="1">
        <v>7.9000000000000001E-2</v>
      </c>
      <c r="AG76" s="1">
        <v>2.2000000000000002</v>
      </c>
      <c r="AI76" s="1">
        <v>0</v>
      </c>
      <c r="AJ76" s="1">
        <v>0</v>
      </c>
      <c r="AK76" s="1">
        <v>0</v>
      </c>
      <c r="AL76" s="1">
        <v>1</v>
      </c>
      <c r="AM76" s="1">
        <v>86400</v>
      </c>
      <c r="AN76" s="1">
        <v>79935</v>
      </c>
      <c r="AO76" s="1">
        <v>6465</v>
      </c>
      <c r="AP76" s="1">
        <v>50229</v>
      </c>
      <c r="AQ76" s="1">
        <v>3.4742025684666311</v>
      </c>
    </row>
    <row r="77" spans="1:43" x14ac:dyDescent="0.45">
      <c r="A77" s="1">
        <v>76</v>
      </c>
      <c r="B77" s="1">
        <v>101</v>
      </c>
      <c r="C77" s="1">
        <v>74</v>
      </c>
      <c r="D77" s="1" t="s">
        <v>61</v>
      </c>
      <c r="E77" s="1" t="s">
        <v>62</v>
      </c>
      <c r="F77" s="1" t="s">
        <v>63</v>
      </c>
      <c r="G77" s="1" t="s">
        <v>46</v>
      </c>
      <c r="H77" s="1" t="s">
        <v>47</v>
      </c>
      <c r="I77" s="1">
        <v>1175</v>
      </c>
      <c r="J77" s="1">
        <v>30642</v>
      </c>
      <c r="K77" s="1">
        <v>1</v>
      </c>
      <c r="L77" s="1">
        <v>73</v>
      </c>
      <c r="M77" s="1">
        <v>2043</v>
      </c>
      <c r="N77" s="1" t="s">
        <v>48</v>
      </c>
      <c r="O77" s="1">
        <v>198454</v>
      </c>
      <c r="P77" s="1">
        <v>93</v>
      </c>
      <c r="Q77" s="1" t="s">
        <v>111</v>
      </c>
      <c r="R77" s="1" t="s">
        <v>50</v>
      </c>
      <c r="S77" s="1">
        <v>0</v>
      </c>
      <c r="T77" s="1">
        <v>0</v>
      </c>
      <c r="U77" s="1">
        <v>706.94600000000003</v>
      </c>
      <c r="V77" s="1">
        <v>25.349</v>
      </c>
      <c r="W77" s="1">
        <v>0.53</v>
      </c>
      <c r="X77" s="1">
        <v>0.16</v>
      </c>
      <c r="Y77" s="1">
        <v>25.507999999999999</v>
      </c>
      <c r="Z77" s="1">
        <v>8.2000000000000003E-2</v>
      </c>
      <c r="AA77" s="1">
        <v>0.6</v>
      </c>
      <c r="AB77" s="1">
        <v>0.5</v>
      </c>
      <c r="AC77" s="1">
        <v>0.5</v>
      </c>
      <c r="AD77" s="1">
        <v>0.16</v>
      </c>
      <c r="AE77" s="1">
        <v>8.1000000000000003E-2</v>
      </c>
      <c r="AF77" s="1">
        <v>1.2999999999999999E-2</v>
      </c>
      <c r="AG77" s="1">
        <v>0.6</v>
      </c>
      <c r="AI77" s="1">
        <v>0</v>
      </c>
      <c r="AJ77" s="1">
        <v>0</v>
      </c>
      <c r="AK77" s="1">
        <v>0</v>
      </c>
      <c r="AL77" s="1">
        <v>1</v>
      </c>
      <c r="AM77" s="1">
        <v>86400</v>
      </c>
      <c r="AN77" s="1">
        <v>77075</v>
      </c>
      <c r="AO77" s="1">
        <v>9325</v>
      </c>
      <c r="AP77" s="1">
        <v>50367</v>
      </c>
      <c r="AQ77" s="1">
        <v>1.647579668275021</v>
      </c>
    </row>
    <row r="78" spans="1:43" x14ac:dyDescent="0.45">
      <c r="A78" s="1">
        <v>77</v>
      </c>
      <c r="B78" s="1">
        <v>101</v>
      </c>
      <c r="C78" s="1">
        <v>74</v>
      </c>
      <c r="D78" s="1" t="s">
        <v>61</v>
      </c>
      <c r="E78" s="1" t="s">
        <v>62</v>
      </c>
      <c r="F78" s="1" t="s">
        <v>63</v>
      </c>
      <c r="G78" s="1" t="s">
        <v>46</v>
      </c>
      <c r="H78" s="1" t="s">
        <v>47</v>
      </c>
      <c r="I78" s="1">
        <v>1175</v>
      </c>
      <c r="J78" s="1">
        <v>30642</v>
      </c>
      <c r="K78" s="1">
        <v>1</v>
      </c>
      <c r="L78" s="1">
        <v>73</v>
      </c>
      <c r="M78" s="1">
        <v>2044</v>
      </c>
      <c r="N78" s="1" t="s">
        <v>48</v>
      </c>
      <c r="O78" s="1">
        <v>198455</v>
      </c>
      <c r="P78" s="1">
        <v>93</v>
      </c>
      <c r="Q78" s="1" t="s">
        <v>111</v>
      </c>
      <c r="R78" s="1" t="s">
        <v>50</v>
      </c>
      <c r="S78" s="1">
        <v>0</v>
      </c>
      <c r="T78" s="1">
        <v>0</v>
      </c>
      <c r="U78" s="1">
        <v>453.35199999999998</v>
      </c>
      <c r="V78" s="1">
        <v>25.404</v>
      </c>
      <c r="W78" s="1">
        <v>0.52</v>
      </c>
      <c r="X78" s="1">
        <v>0.105</v>
      </c>
      <c r="Y78" s="1">
        <v>25.509</v>
      </c>
      <c r="Z78" s="1">
        <v>6.9000000000000006E-2</v>
      </c>
      <c r="AA78" s="1">
        <v>-0.5</v>
      </c>
      <c r="AB78" s="1">
        <v>-2.8</v>
      </c>
      <c r="AC78" s="1">
        <v>-2.8</v>
      </c>
      <c r="AD78" s="1">
        <v>0.105</v>
      </c>
      <c r="AE78" s="1">
        <v>0.04</v>
      </c>
      <c r="AF78" s="1">
        <v>4.0000000000000001E-3</v>
      </c>
      <c r="AI78" s="1">
        <v>0</v>
      </c>
      <c r="AJ78" s="1">
        <v>0</v>
      </c>
      <c r="AK78" s="1">
        <v>0</v>
      </c>
      <c r="AL78" s="1">
        <v>1</v>
      </c>
      <c r="AM78" s="1">
        <v>50903</v>
      </c>
      <c r="AN78" s="1">
        <v>3184</v>
      </c>
      <c r="AO78" s="1">
        <v>47719</v>
      </c>
      <c r="AP78" s="1">
        <v>50255</v>
      </c>
      <c r="AQ78" s="1">
        <v>1.6133676293600641</v>
      </c>
    </row>
    <row r="79" spans="1:43" x14ac:dyDescent="0.45">
      <c r="A79" s="1">
        <v>78</v>
      </c>
      <c r="B79" s="1">
        <v>101</v>
      </c>
      <c r="C79" s="1">
        <v>74</v>
      </c>
      <c r="D79" s="1" t="s">
        <v>61</v>
      </c>
      <c r="E79" s="1" t="s">
        <v>62</v>
      </c>
      <c r="F79" s="1" t="s">
        <v>63</v>
      </c>
      <c r="G79" s="1" t="s">
        <v>46</v>
      </c>
      <c r="H79" s="1" t="s">
        <v>47</v>
      </c>
      <c r="I79" s="1">
        <v>1175</v>
      </c>
      <c r="J79" s="1">
        <v>30642</v>
      </c>
      <c r="K79" s="1">
        <v>1</v>
      </c>
      <c r="L79" s="1">
        <v>73</v>
      </c>
      <c r="M79" s="1">
        <v>2048</v>
      </c>
      <c r="N79" s="1" t="s">
        <v>48</v>
      </c>
      <c r="O79" s="1">
        <v>198460</v>
      </c>
      <c r="P79" s="1">
        <v>93</v>
      </c>
      <c r="Q79" s="1" t="s">
        <v>111</v>
      </c>
      <c r="R79" s="1" t="s">
        <v>50</v>
      </c>
      <c r="S79" s="1">
        <v>0</v>
      </c>
      <c r="T79" s="1">
        <v>0</v>
      </c>
      <c r="U79" s="1">
        <v>100.82299999999999</v>
      </c>
      <c r="V79" s="1">
        <v>25.100999999999999</v>
      </c>
      <c r="W79" s="1">
        <v>0.56999999999999995</v>
      </c>
      <c r="X79" s="1">
        <v>0.41</v>
      </c>
      <c r="Y79" s="1">
        <v>25.510999999999999</v>
      </c>
      <c r="Z79" s="1">
        <v>0.72599999999999998</v>
      </c>
      <c r="AA79" s="1">
        <v>-2.6</v>
      </c>
      <c r="AB79" s="1">
        <v>-1.9</v>
      </c>
      <c r="AC79" s="1">
        <v>-1.9</v>
      </c>
      <c r="AD79" s="1">
        <v>0.41</v>
      </c>
      <c r="AE79" s="1">
        <v>0.109</v>
      </c>
      <c r="AF79" s="1">
        <v>7.3999999999999996E-2</v>
      </c>
      <c r="AG79" s="1">
        <v>-2.6</v>
      </c>
      <c r="AI79" s="1">
        <v>0</v>
      </c>
      <c r="AJ79" s="1">
        <v>0</v>
      </c>
      <c r="AK79" s="1">
        <v>0</v>
      </c>
      <c r="AL79" s="1">
        <v>1</v>
      </c>
      <c r="AM79" s="1">
        <v>54215</v>
      </c>
      <c r="AN79" s="1">
        <v>14234</v>
      </c>
      <c r="AO79" s="1">
        <v>39929</v>
      </c>
      <c r="AP79" s="1">
        <v>50291</v>
      </c>
      <c r="AQ79" s="1">
        <v>5.4229062710019962</v>
      </c>
    </row>
    <row r="80" spans="1:43" x14ac:dyDescent="0.45">
      <c r="A80" s="1">
        <v>79</v>
      </c>
      <c r="B80" s="1">
        <v>101</v>
      </c>
      <c r="C80" s="1">
        <v>74</v>
      </c>
      <c r="D80" s="1" t="s">
        <v>61</v>
      </c>
      <c r="E80" s="1" t="s">
        <v>62</v>
      </c>
      <c r="F80" s="1" t="s">
        <v>63</v>
      </c>
      <c r="G80" s="1" t="s">
        <v>46</v>
      </c>
      <c r="H80" s="1" t="s">
        <v>47</v>
      </c>
      <c r="I80" s="1">
        <v>1175</v>
      </c>
      <c r="J80" s="1">
        <v>30642</v>
      </c>
      <c r="K80" s="1">
        <v>1</v>
      </c>
      <c r="L80" s="1">
        <v>73</v>
      </c>
      <c r="M80" s="1">
        <v>2049</v>
      </c>
      <c r="N80" s="1" t="s">
        <v>48</v>
      </c>
      <c r="O80" s="1">
        <v>198461</v>
      </c>
      <c r="P80" s="1">
        <v>93</v>
      </c>
      <c r="Q80" s="1" t="s">
        <v>111</v>
      </c>
      <c r="R80" s="1" t="s">
        <v>50</v>
      </c>
      <c r="S80" s="1">
        <v>0</v>
      </c>
      <c r="T80" s="1">
        <v>0</v>
      </c>
      <c r="U80" s="1">
        <v>58.322000000000003</v>
      </c>
      <c r="V80" s="1">
        <v>24.956</v>
      </c>
      <c r="W80" s="1">
        <v>0.59</v>
      </c>
      <c r="X80" s="1">
        <v>0.55400000000000005</v>
      </c>
      <c r="Y80" s="1">
        <v>25.51</v>
      </c>
      <c r="Z80" s="1">
        <v>0.95199999999999996</v>
      </c>
      <c r="AA80" s="1">
        <v>-2.1</v>
      </c>
      <c r="AB80" s="1">
        <v>2.2000000000000002</v>
      </c>
      <c r="AC80" s="1">
        <v>2.2000000000000002</v>
      </c>
      <c r="AD80" s="1">
        <v>0.55400000000000005</v>
      </c>
      <c r="AE80" s="1">
        <v>1.0999999999999999E-2</v>
      </c>
      <c r="AF80" s="1">
        <v>0.29699999999999999</v>
      </c>
      <c r="AG80" s="1">
        <v>-2.1</v>
      </c>
      <c r="AI80" s="1">
        <v>0</v>
      </c>
      <c r="AJ80" s="1">
        <v>0</v>
      </c>
      <c r="AK80" s="1">
        <v>0</v>
      </c>
      <c r="AL80" s="1">
        <v>1</v>
      </c>
      <c r="AM80" s="1">
        <v>86400</v>
      </c>
      <c r="AN80" s="1">
        <v>81593</v>
      </c>
      <c r="AO80" s="1">
        <v>4807</v>
      </c>
      <c r="AP80" s="1">
        <v>50295</v>
      </c>
      <c r="AQ80" s="1">
        <v>9.2548474418251185</v>
      </c>
    </row>
    <row r="81" spans="1:43" x14ac:dyDescent="0.45">
      <c r="A81" s="1">
        <v>80</v>
      </c>
      <c r="B81" s="1">
        <v>101</v>
      </c>
      <c r="C81" s="1">
        <v>74</v>
      </c>
      <c r="D81" s="1" t="s">
        <v>61</v>
      </c>
      <c r="E81" s="1" t="s">
        <v>62</v>
      </c>
      <c r="F81" s="1" t="s">
        <v>63</v>
      </c>
      <c r="G81" s="1" t="s">
        <v>46</v>
      </c>
      <c r="H81" s="1" t="s">
        <v>47</v>
      </c>
      <c r="I81" s="1">
        <v>1175</v>
      </c>
      <c r="J81" s="1">
        <v>30642</v>
      </c>
      <c r="K81" s="1">
        <v>1</v>
      </c>
      <c r="L81" s="1">
        <v>73</v>
      </c>
      <c r="M81" s="1">
        <v>2050</v>
      </c>
      <c r="N81" s="1" t="s">
        <v>48</v>
      </c>
      <c r="O81" s="1">
        <v>198463</v>
      </c>
      <c r="P81" s="1">
        <v>93</v>
      </c>
      <c r="Q81" s="1" t="s">
        <v>111</v>
      </c>
      <c r="R81" s="1" t="s">
        <v>50</v>
      </c>
      <c r="S81" s="1">
        <v>0</v>
      </c>
      <c r="T81" s="1">
        <v>0</v>
      </c>
      <c r="U81" s="1">
        <v>67.843999999999994</v>
      </c>
      <c r="V81" s="1">
        <v>25.030999999999999</v>
      </c>
      <c r="W81" s="1">
        <v>0.57999999999999996</v>
      </c>
      <c r="X81" s="1">
        <v>0.47799999999999998</v>
      </c>
      <c r="Y81" s="1">
        <v>25.509</v>
      </c>
      <c r="Z81" s="1">
        <v>0.76300000000000001</v>
      </c>
      <c r="AA81" s="1">
        <v>-2.4</v>
      </c>
      <c r="AB81" s="1">
        <v>-1.9</v>
      </c>
      <c r="AC81" s="1">
        <v>-1.9</v>
      </c>
      <c r="AD81" s="1">
        <v>0.47799999999999998</v>
      </c>
      <c r="AE81" s="1">
        <v>0.121</v>
      </c>
      <c r="AF81" s="1">
        <v>0.113</v>
      </c>
      <c r="AG81" s="1">
        <v>-2.4</v>
      </c>
      <c r="AI81" s="1">
        <v>0</v>
      </c>
      <c r="AJ81" s="1">
        <v>0</v>
      </c>
      <c r="AK81" s="1">
        <v>0</v>
      </c>
      <c r="AL81" s="1">
        <v>1</v>
      </c>
      <c r="AM81" s="1">
        <v>82968</v>
      </c>
      <c r="AN81" s="1">
        <v>65400</v>
      </c>
      <c r="AO81" s="1">
        <v>14720</v>
      </c>
      <c r="AP81" s="1">
        <v>50355</v>
      </c>
      <c r="AQ81" s="1">
        <v>8.1449229246895669</v>
      </c>
    </row>
    <row r="82" spans="1:43" x14ac:dyDescent="0.45">
      <c r="A82" s="1">
        <v>81</v>
      </c>
      <c r="B82" s="1">
        <v>101</v>
      </c>
      <c r="C82" s="1">
        <v>74</v>
      </c>
      <c r="D82" s="1" t="s">
        <v>61</v>
      </c>
      <c r="E82" s="1" t="s">
        <v>62</v>
      </c>
      <c r="F82" s="1" t="s">
        <v>63</v>
      </c>
      <c r="G82" s="1" t="s">
        <v>46</v>
      </c>
      <c r="H82" s="1" t="s">
        <v>47</v>
      </c>
      <c r="I82" s="1">
        <v>1175</v>
      </c>
      <c r="J82" s="1">
        <v>30642</v>
      </c>
      <c r="K82" s="1">
        <v>1</v>
      </c>
      <c r="L82" s="1">
        <v>73</v>
      </c>
      <c r="M82" s="1">
        <v>2052</v>
      </c>
      <c r="N82" s="1" t="s">
        <v>48</v>
      </c>
      <c r="O82" s="1">
        <v>198465</v>
      </c>
      <c r="P82" s="1">
        <v>93</v>
      </c>
      <c r="Q82" s="1" t="s">
        <v>111</v>
      </c>
      <c r="R82" s="1" t="s">
        <v>50</v>
      </c>
      <c r="S82" s="1">
        <v>0</v>
      </c>
      <c r="T82" s="1">
        <v>0</v>
      </c>
      <c r="U82" s="1">
        <v>58.575000000000003</v>
      </c>
      <c r="V82" s="1">
        <v>25.164999999999999</v>
      </c>
      <c r="W82" s="1">
        <v>0.56000000000000005</v>
      </c>
      <c r="X82" s="1">
        <v>0.34300000000000003</v>
      </c>
      <c r="Y82" s="1">
        <v>25.507000000000001</v>
      </c>
      <c r="Z82" s="1">
        <v>0.34799999999999998</v>
      </c>
      <c r="AA82" s="1">
        <v>-0.8</v>
      </c>
      <c r="AB82" s="1">
        <v>1.3</v>
      </c>
      <c r="AC82" s="1">
        <v>1.3</v>
      </c>
      <c r="AD82" s="1">
        <v>0.34300000000000003</v>
      </c>
      <c r="AE82" s="1">
        <v>0.29599999999999999</v>
      </c>
      <c r="AF82" s="1">
        <v>0.10100000000000001</v>
      </c>
      <c r="AG82" s="1">
        <v>-0.8</v>
      </c>
      <c r="AI82" s="1">
        <v>0</v>
      </c>
      <c r="AJ82" s="1">
        <v>0</v>
      </c>
      <c r="AK82" s="1">
        <v>0</v>
      </c>
      <c r="AL82" s="1">
        <v>1</v>
      </c>
      <c r="AM82" s="1">
        <v>51492</v>
      </c>
      <c r="AN82" s="1">
        <v>7595</v>
      </c>
      <c r="AO82" s="1">
        <v>43365</v>
      </c>
      <c r="AP82" s="1">
        <v>50186</v>
      </c>
      <c r="AQ82" s="1">
        <v>4.1134895748945857</v>
      </c>
    </row>
    <row r="83" spans="1:43" x14ac:dyDescent="0.45">
      <c r="A83" s="1">
        <v>82</v>
      </c>
      <c r="B83" s="1">
        <v>101</v>
      </c>
      <c r="C83" s="1">
        <v>74</v>
      </c>
      <c r="D83" s="1" t="s">
        <v>61</v>
      </c>
      <c r="E83" s="1" t="s">
        <v>62</v>
      </c>
      <c r="F83" s="1" t="s">
        <v>63</v>
      </c>
      <c r="G83" s="1" t="s">
        <v>46</v>
      </c>
      <c r="H83" s="1" t="s">
        <v>47</v>
      </c>
      <c r="I83" s="1">
        <v>1175</v>
      </c>
      <c r="J83" s="1">
        <v>30642</v>
      </c>
      <c r="K83" s="1">
        <v>1</v>
      </c>
      <c r="L83" s="1">
        <v>73</v>
      </c>
      <c r="M83" s="1">
        <v>2059</v>
      </c>
      <c r="N83" s="1" t="s">
        <v>48</v>
      </c>
      <c r="O83" s="1">
        <v>198479</v>
      </c>
      <c r="P83" s="1">
        <v>93</v>
      </c>
      <c r="Q83" s="1" t="s">
        <v>111</v>
      </c>
      <c r="R83" s="1" t="s">
        <v>50</v>
      </c>
      <c r="S83" s="1">
        <v>0</v>
      </c>
      <c r="T83" s="1">
        <v>0</v>
      </c>
      <c r="U83" s="1">
        <v>139.94399999999999</v>
      </c>
      <c r="V83" s="1">
        <v>25.33</v>
      </c>
      <c r="W83" s="1">
        <v>0.53</v>
      </c>
      <c r="X83" s="1">
        <v>0.11899999999999999</v>
      </c>
      <c r="Y83" s="1">
        <v>25.449000000000002</v>
      </c>
      <c r="Z83" s="1">
        <v>0.70299999999999996</v>
      </c>
      <c r="AA83" s="1">
        <v>-2.2999999999999998</v>
      </c>
      <c r="AB83" s="1">
        <v>-2.2999999999999998</v>
      </c>
      <c r="AC83" s="1">
        <v>-2.2999999999999998</v>
      </c>
      <c r="AD83" s="1">
        <v>0.11899999999999999</v>
      </c>
      <c r="AE83" s="1">
        <v>0.69799999999999995</v>
      </c>
      <c r="AF83" s="1">
        <v>8.3000000000000004E-2</v>
      </c>
      <c r="AG83" s="1">
        <v>-2.2999999999999998</v>
      </c>
      <c r="AI83" s="1">
        <v>0</v>
      </c>
      <c r="AJ83" s="1">
        <v>0</v>
      </c>
      <c r="AK83" s="1">
        <v>0</v>
      </c>
      <c r="AL83" s="1">
        <v>1</v>
      </c>
      <c r="AM83" s="1">
        <v>50925</v>
      </c>
      <c r="AN83" s="1">
        <v>3596</v>
      </c>
      <c r="AO83" s="1">
        <v>47328</v>
      </c>
      <c r="AP83" s="1">
        <v>50219</v>
      </c>
      <c r="AQ83" s="1">
        <v>13.73987000258427</v>
      </c>
    </row>
    <row r="84" spans="1:43" x14ac:dyDescent="0.45">
      <c r="A84" s="1">
        <v>83</v>
      </c>
      <c r="B84" s="1">
        <v>101</v>
      </c>
      <c r="C84" s="1">
        <v>74</v>
      </c>
      <c r="D84" s="1" t="s">
        <v>61</v>
      </c>
      <c r="E84" s="1" t="s">
        <v>62</v>
      </c>
      <c r="F84" s="1" t="s">
        <v>63</v>
      </c>
      <c r="G84" s="1" t="s">
        <v>46</v>
      </c>
      <c r="H84" s="1" t="s">
        <v>47</v>
      </c>
      <c r="I84" s="1">
        <v>1175</v>
      </c>
      <c r="J84" s="1">
        <v>30642</v>
      </c>
      <c r="K84" s="1">
        <v>1</v>
      </c>
      <c r="L84" s="1">
        <v>73</v>
      </c>
      <c r="M84" s="1">
        <v>2062</v>
      </c>
      <c r="N84" s="1" t="s">
        <v>48</v>
      </c>
      <c r="O84" s="1">
        <v>198484</v>
      </c>
      <c r="P84" s="1">
        <v>93</v>
      </c>
      <c r="Q84" s="1" t="s">
        <v>111</v>
      </c>
      <c r="R84" s="1" t="s">
        <v>50</v>
      </c>
      <c r="S84" s="1">
        <v>0</v>
      </c>
      <c r="T84" s="1">
        <v>0</v>
      </c>
      <c r="U84" s="1">
        <v>90.051000000000002</v>
      </c>
      <c r="V84" s="1">
        <v>25.2</v>
      </c>
      <c r="W84" s="1">
        <v>0.55000000000000004</v>
      </c>
      <c r="X84" s="1">
        <v>0.22700000000000001</v>
      </c>
      <c r="Y84" s="1">
        <v>25.427</v>
      </c>
      <c r="Z84" s="1">
        <v>0.97699999999999998</v>
      </c>
      <c r="AA84" s="1">
        <v>-2.6</v>
      </c>
      <c r="AB84" s="1">
        <v>-2.7</v>
      </c>
      <c r="AC84" s="1">
        <v>-2.7</v>
      </c>
      <c r="AD84" s="1">
        <v>0.22700000000000001</v>
      </c>
      <c r="AE84" s="1">
        <v>0.95</v>
      </c>
      <c r="AF84" s="1">
        <v>0.216</v>
      </c>
      <c r="AG84" s="1">
        <v>-2.6</v>
      </c>
      <c r="AI84" s="1">
        <v>0</v>
      </c>
      <c r="AJ84" s="1">
        <v>0</v>
      </c>
      <c r="AK84" s="1">
        <v>0</v>
      </c>
      <c r="AL84" s="1">
        <v>1</v>
      </c>
      <c r="AM84" s="1">
        <v>86400</v>
      </c>
      <c r="AN84" s="1">
        <v>81248</v>
      </c>
      <c r="AO84" s="1">
        <v>5152</v>
      </c>
      <c r="AP84" s="1">
        <v>50229</v>
      </c>
      <c r="AQ84" s="1">
        <v>13.58493055698689</v>
      </c>
    </row>
    <row r="85" spans="1:43" x14ac:dyDescent="0.45">
      <c r="A85" s="1">
        <v>84</v>
      </c>
      <c r="B85" s="1">
        <v>101</v>
      </c>
      <c r="C85" s="1">
        <v>74</v>
      </c>
      <c r="D85" s="1" t="s">
        <v>61</v>
      </c>
      <c r="E85" s="1" t="s">
        <v>62</v>
      </c>
      <c r="F85" s="1" t="s">
        <v>63</v>
      </c>
      <c r="G85" s="1" t="s">
        <v>46</v>
      </c>
      <c r="H85" s="1" t="s">
        <v>47</v>
      </c>
      <c r="I85" s="1">
        <v>1175</v>
      </c>
      <c r="J85" s="1">
        <v>30642</v>
      </c>
      <c r="K85" s="1">
        <v>1</v>
      </c>
      <c r="L85" s="1">
        <v>73</v>
      </c>
      <c r="M85" s="1">
        <v>2063</v>
      </c>
      <c r="N85" s="1" t="s">
        <v>48</v>
      </c>
      <c r="O85" s="1">
        <v>198485</v>
      </c>
      <c r="P85" s="1">
        <v>93</v>
      </c>
      <c r="Q85" s="1" t="s">
        <v>111</v>
      </c>
      <c r="R85" s="1" t="s">
        <v>50</v>
      </c>
      <c r="S85" s="1">
        <v>0</v>
      </c>
      <c r="T85" s="1">
        <v>0</v>
      </c>
      <c r="U85" s="1">
        <v>59.128999999999998</v>
      </c>
      <c r="V85" s="1">
        <v>25.251999999999999</v>
      </c>
      <c r="W85" s="1">
        <v>0.54</v>
      </c>
      <c r="X85" s="1">
        <v>0.16600000000000001</v>
      </c>
      <c r="Y85" s="1">
        <v>25.417999999999999</v>
      </c>
      <c r="Z85" s="1">
        <v>0.88900000000000001</v>
      </c>
      <c r="AA85" s="1">
        <v>-2.8</v>
      </c>
      <c r="AB85" s="1">
        <v>-2.8</v>
      </c>
      <c r="AC85" s="1">
        <v>-2.8</v>
      </c>
      <c r="AD85" s="1">
        <v>0.16600000000000001</v>
      </c>
      <c r="AE85" s="1">
        <v>0.88600000000000001</v>
      </c>
      <c r="AF85" s="1">
        <v>0.14699999999999999</v>
      </c>
      <c r="AG85" s="1">
        <v>-2.8</v>
      </c>
      <c r="AI85" s="1">
        <v>0</v>
      </c>
      <c r="AJ85" s="1">
        <v>0</v>
      </c>
      <c r="AK85" s="1">
        <v>0</v>
      </c>
      <c r="AL85" s="1">
        <v>1</v>
      </c>
      <c r="AM85" s="1">
        <v>51386</v>
      </c>
      <c r="AN85" s="1">
        <v>8106</v>
      </c>
      <c r="AO85" s="1">
        <v>43280</v>
      </c>
      <c r="AP85" s="1">
        <v>50372</v>
      </c>
      <c r="AQ85" s="1">
        <v>5.604309815241626</v>
      </c>
    </row>
    <row r="86" spans="1:43" x14ac:dyDescent="0.45">
      <c r="A86" s="1">
        <v>85</v>
      </c>
      <c r="B86" s="1">
        <v>101</v>
      </c>
      <c r="C86" s="1">
        <v>74</v>
      </c>
      <c r="D86" s="1" t="s">
        <v>61</v>
      </c>
      <c r="E86" s="1" t="s">
        <v>62</v>
      </c>
      <c r="F86" s="1" t="s">
        <v>63</v>
      </c>
      <c r="G86" s="1" t="s">
        <v>46</v>
      </c>
      <c r="H86" s="1" t="s">
        <v>47</v>
      </c>
      <c r="I86" s="1">
        <v>1175</v>
      </c>
      <c r="J86" s="1">
        <v>30642</v>
      </c>
      <c r="K86" s="1">
        <v>1</v>
      </c>
      <c r="L86" s="1">
        <v>73</v>
      </c>
      <c r="M86" s="1">
        <v>2064</v>
      </c>
      <c r="N86" s="1" t="s">
        <v>48</v>
      </c>
      <c r="O86" s="1">
        <v>198486</v>
      </c>
      <c r="P86" s="1">
        <v>93</v>
      </c>
      <c r="Q86" s="1" t="s">
        <v>111</v>
      </c>
      <c r="R86" s="1" t="s">
        <v>50</v>
      </c>
      <c r="S86" s="1">
        <v>0</v>
      </c>
      <c r="T86" s="1">
        <v>0</v>
      </c>
      <c r="U86" s="1">
        <v>52.094000000000001</v>
      </c>
      <c r="V86" s="1">
        <v>25.183</v>
      </c>
      <c r="W86" s="1">
        <v>0.55000000000000004</v>
      </c>
      <c r="X86" s="1">
        <v>0.22800000000000001</v>
      </c>
      <c r="Y86" s="1">
        <v>25.411000000000001</v>
      </c>
      <c r="Z86" s="1">
        <v>0.80900000000000005</v>
      </c>
      <c r="AA86" s="1">
        <v>-2.9</v>
      </c>
      <c r="AB86" s="1">
        <v>-2.9</v>
      </c>
      <c r="AC86" s="1">
        <v>-2.9</v>
      </c>
      <c r="AD86" s="1">
        <v>0.22800000000000001</v>
      </c>
      <c r="AE86" s="1">
        <v>0.80700000000000005</v>
      </c>
      <c r="AF86" s="1">
        <v>0.184</v>
      </c>
      <c r="AG86" s="1">
        <v>-2.9</v>
      </c>
      <c r="AI86" s="1">
        <v>0</v>
      </c>
      <c r="AJ86" s="1">
        <v>0</v>
      </c>
      <c r="AK86" s="1">
        <v>0</v>
      </c>
      <c r="AL86" s="1">
        <v>1</v>
      </c>
      <c r="AM86" s="1">
        <v>86400</v>
      </c>
      <c r="AN86" s="1">
        <v>76818</v>
      </c>
      <c r="AO86" s="1">
        <v>9582</v>
      </c>
      <c r="AP86" s="1">
        <v>50395</v>
      </c>
      <c r="AQ86" s="1">
        <v>3.8210797604249449</v>
      </c>
    </row>
    <row r="87" spans="1:43" x14ac:dyDescent="0.45">
      <c r="A87" s="1">
        <v>86</v>
      </c>
      <c r="B87" s="1">
        <v>101</v>
      </c>
      <c r="C87" s="1">
        <v>74</v>
      </c>
      <c r="D87" s="1" t="s">
        <v>61</v>
      </c>
      <c r="E87" s="1" t="s">
        <v>62</v>
      </c>
      <c r="F87" s="1" t="s">
        <v>63</v>
      </c>
      <c r="G87" s="1" t="s">
        <v>46</v>
      </c>
      <c r="H87" s="1" t="s">
        <v>47</v>
      </c>
      <c r="I87" s="1">
        <v>1175</v>
      </c>
      <c r="J87" s="1">
        <v>30642</v>
      </c>
      <c r="K87" s="1">
        <v>1</v>
      </c>
      <c r="L87" s="1">
        <v>73</v>
      </c>
      <c r="M87" s="1">
        <v>2065</v>
      </c>
      <c r="N87" s="1" t="s">
        <v>48</v>
      </c>
      <c r="O87" s="1">
        <v>198487</v>
      </c>
      <c r="P87" s="1">
        <v>93</v>
      </c>
      <c r="Q87" s="1" t="s">
        <v>111</v>
      </c>
      <c r="R87" s="1" t="s">
        <v>50</v>
      </c>
      <c r="S87" s="1">
        <v>0</v>
      </c>
      <c r="T87" s="1">
        <v>0</v>
      </c>
      <c r="U87" s="1">
        <v>83.683999999999997</v>
      </c>
      <c r="V87" s="1">
        <v>25.073</v>
      </c>
      <c r="W87" s="1">
        <v>0.56999999999999995</v>
      </c>
      <c r="X87" s="1">
        <v>0.34200000000000003</v>
      </c>
      <c r="Y87" s="1">
        <v>25.414999999999999</v>
      </c>
      <c r="Z87" s="1">
        <v>0.43099999999999999</v>
      </c>
      <c r="AA87" s="1">
        <v>-2.6</v>
      </c>
      <c r="AB87" s="1">
        <v>-2.6</v>
      </c>
      <c r="AC87" s="1">
        <v>-2.6</v>
      </c>
      <c r="AD87" s="1">
        <v>0.34200000000000003</v>
      </c>
      <c r="AE87" s="1">
        <v>0.42799999999999999</v>
      </c>
      <c r="AF87" s="1">
        <v>0.14699999999999999</v>
      </c>
      <c r="AG87" s="1">
        <v>-2.6</v>
      </c>
      <c r="AI87" s="1">
        <v>0</v>
      </c>
      <c r="AJ87" s="1">
        <v>0</v>
      </c>
      <c r="AK87" s="1">
        <v>0</v>
      </c>
      <c r="AL87" s="1">
        <v>1</v>
      </c>
      <c r="AM87" s="1">
        <v>86400</v>
      </c>
      <c r="AN87" s="1">
        <v>80030</v>
      </c>
      <c r="AO87" s="1">
        <v>6370</v>
      </c>
      <c r="AP87" s="1">
        <v>50270</v>
      </c>
      <c r="AQ87" s="1">
        <v>15.599047446394991</v>
      </c>
    </row>
    <row r="88" spans="1:43" x14ac:dyDescent="0.45">
      <c r="A88" s="1">
        <v>87</v>
      </c>
      <c r="B88" s="1">
        <v>101</v>
      </c>
      <c r="C88" s="1">
        <v>74</v>
      </c>
      <c r="D88" s="1" t="s">
        <v>61</v>
      </c>
      <c r="E88" s="1" t="s">
        <v>62</v>
      </c>
      <c r="F88" s="1" t="s">
        <v>63</v>
      </c>
      <c r="G88" s="1" t="s">
        <v>46</v>
      </c>
      <c r="H88" s="1" t="s">
        <v>47</v>
      </c>
      <c r="I88" s="1">
        <v>1175</v>
      </c>
      <c r="J88" s="1">
        <v>30642</v>
      </c>
      <c r="K88" s="1">
        <v>1</v>
      </c>
      <c r="L88" s="1">
        <v>73</v>
      </c>
      <c r="M88" s="1">
        <v>2066</v>
      </c>
      <c r="N88" s="1" t="s">
        <v>48</v>
      </c>
      <c r="O88" s="1">
        <v>198488</v>
      </c>
      <c r="P88" s="1">
        <v>93</v>
      </c>
      <c r="Q88" s="1" t="s">
        <v>111</v>
      </c>
      <c r="R88" s="1" t="s">
        <v>50</v>
      </c>
      <c r="S88" s="1">
        <v>0</v>
      </c>
      <c r="T88" s="1">
        <v>0</v>
      </c>
      <c r="U88" s="1">
        <v>104.85</v>
      </c>
      <c r="V88" s="1">
        <v>25.422999999999998</v>
      </c>
      <c r="W88" s="1">
        <v>0.52</v>
      </c>
      <c r="X88" s="1">
        <v>0.10100000000000001</v>
      </c>
      <c r="Y88" s="1">
        <v>25.524000000000001</v>
      </c>
      <c r="Z88" s="1">
        <v>0.45100000000000001</v>
      </c>
      <c r="AA88" s="1">
        <v>1.5</v>
      </c>
      <c r="AB88" s="1">
        <v>1.6</v>
      </c>
      <c r="AC88" s="1">
        <v>1.6</v>
      </c>
      <c r="AD88" s="1">
        <v>0.10100000000000001</v>
      </c>
      <c r="AE88" s="1">
        <v>0.436</v>
      </c>
      <c r="AF88" s="1">
        <v>4.3999999999999997E-2</v>
      </c>
      <c r="AG88" s="1">
        <v>1.5</v>
      </c>
      <c r="AI88" s="1">
        <v>0</v>
      </c>
      <c r="AJ88" s="1">
        <v>0</v>
      </c>
      <c r="AK88" s="1">
        <v>0</v>
      </c>
      <c r="AL88" s="1">
        <v>1</v>
      </c>
      <c r="AM88" s="1">
        <v>51337</v>
      </c>
      <c r="AN88" s="1">
        <v>4607</v>
      </c>
      <c r="AO88" s="1">
        <v>46730</v>
      </c>
      <c r="AP88" s="1">
        <v>50331</v>
      </c>
      <c r="AQ88" s="1">
        <v>12.635674096245801</v>
      </c>
    </row>
    <row r="89" spans="1:43" x14ac:dyDescent="0.45">
      <c r="A89" s="1">
        <v>88</v>
      </c>
      <c r="B89" s="1">
        <v>101</v>
      </c>
      <c r="C89" s="1">
        <v>74</v>
      </c>
      <c r="D89" s="1" t="s">
        <v>61</v>
      </c>
      <c r="E89" s="1" t="s">
        <v>62</v>
      </c>
      <c r="F89" s="1" t="s">
        <v>63</v>
      </c>
      <c r="G89" s="1" t="s">
        <v>46</v>
      </c>
      <c r="H89" s="1" t="s">
        <v>47</v>
      </c>
      <c r="I89" s="1">
        <v>1175</v>
      </c>
      <c r="J89" s="1">
        <v>30642</v>
      </c>
      <c r="K89" s="1">
        <v>1</v>
      </c>
      <c r="L89" s="1">
        <v>73</v>
      </c>
      <c r="M89" s="1">
        <v>2067</v>
      </c>
      <c r="N89" s="1" t="s">
        <v>48</v>
      </c>
      <c r="O89" s="1">
        <v>198491</v>
      </c>
      <c r="P89" s="1">
        <v>93</v>
      </c>
      <c r="Q89" s="1" t="s">
        <v>111</v>
      </c>
      <c r="R89" s="1" t="s">
        <v>50</v>
      </c>
      <c r="S89" s="1">
        <v>0</v>
      </c>
      <c r="T89" s="1">
        <v>0</v>
      </c>
      <c r="U89" s="1">
        <v>121.05500000000001</v>
      </c>
      <c r="V89" s="1">
        <v>25.241</v>
      </c>
      <c r="W89" s="1">
        <v>0.54</v>
      </c>
      <c r="X89" s="1">
        <v>0.26900000000000002</v>
      </c>
      <c r="Y89" s="1">
        <v>25.51</v>
      </c>
      <c r="Z89" s="1">
        <v>0.57799999999999996</v>
      </c>
      <c r="AA89" s="1">
        <v>-2.5</v>
      </c>
      <c r="AB89" s="1">
        <v>2.7</v>
      </c>
      <c r="AC89" s="1">
        <v>2.7</v>
      </c>
      <c r="AD89" s="1">
        <v>0.26900000000000002</v>
      </c>
      <c r="AE89" s="1">
        <v>5.0999999999999997E-2</v>
      </c>
      <c r="AF89" s="1">
        <v>0.05</v>
      </c>
      <c r="AG89" s="1">
        <v>-2.5</v>
      </c>
      <c r="AI89" s="1">
        <v>0</v>
      </c>
      <c r="AJ89" s="1">
        <v>0</v>
      </c>
      <c r="AK89" s="1">
        <v>0</v>
      </c>
      <c r="AL89" s="1">
        <v>1</v>
      </c>
      <c r="AM89" s="1">
        <v>51424</v>
      </c>
      <c r="AN89" s="1">
        <v>8157</v>
      </c>
      <c r="AO89" s="1">
        <v>43267</v>
      </c>
      <c r="AP89" s="1">
        <v>50261</v>
      </c>
      <c r="AQ89" s="1">
        <v>3.2064485758256231</v>
      </c>
    </row>
    <row r="90" spans="1:43" x14ac:dyDescent="0.45">
      <c r="A90" s="1">
        <v>89</v>
      </c>
      <c r="B90" s="1">
        <v>101</v>
      </c>
      <c r="C90" s="1">
        <v>74</v>
      </c>
      <c r="D90" s="1" t="s">
        <v>61</v>
      </c>
      <c r="E90" s="1" t="s">
        <v>62</v>
      </c>
      <c r="F90" s="1" t="s">
        <v>63</v>
      </c>
      <c r="G90" s="1" t="s">
        <v>46</v>
      </c>
      <c r="H90" s="1" t="s">
        <v>47</v>
      </c>
      <c r="I90" s="1">
        <v>1175</v>
      </c>
      <c r="J90" s="1">
        <v>30642</v>
      </c>
      <c r="K90" s="1">
        <v>1</v>
      </c>
      <c r="L90" s="1">
        <v>73</v>
      </c>
      <c r="M90" s="1">
        <v>2068</v>
      </c>
      <c r="N90" s="1" t="s">
        <v>48</v>
      </c>
      <c r="O90" s="1">
        <v>198492</v>
      </c>
      <c r="P90" s="1">
        <v>93</v>
      </c>
      <c r="Q90" s="1" t="s">
        <v>111</v>
      </c>
      <c r="R90" s="1" t="s">
        <v>50</v>
      </c>
      <c r="S90" s="1">
        <v>0</v>
      </c>
      <c r="T90" s="1">
        <v>0</v>
      </c>
      <c r="U90" s="1">
        <v>342.505</v>
      </c>
      <c r="V90" s="1">
        <v>25.356000000000002</v>
      </c>
      <c r="W90" s="1">
        <v>0.52</v>
      </c>
      <c r="X90" s="1">
        <v>0.155</v>
      </c>
      <c r="Y90" s="1">
        <v>25.51</v>
      </c>
      <c r="Z90" s="1">
        <v>0.33600000000000002</v>
      </c>
      <c r="AA90" s="1">
        <v>-2.5</v>
      </c>
      <c r="AB90" s="1">
        <v>2.9</v>
      </c>
      <c r="AC90" s="1">
        <v>2.9</v>
      </c>
      <c r="AD90" s="1">
        <v>0.155</v>
      </c>
      <c r="AE90" s="1">
        <v>5.2999999999999999E-2</v>
      </c>
      <c r="AF90" s="1">
        <v>1.7999999999999999E-2</v>
      </c>
      <c r="AG90" s="1">
        <v>-2.5</v>
      </c>
      <c r="AI90" s="1">
        <v>0</v>
      </c>
      <c r="AJ90" s="1">
        <v>0</v>
      </c>
      <c r="AK90" s="1">
        <v>0</v>
      </c>
      <c r="AL90" s="1">
        <v>1</v>
      </c>
      <c r="AM90" s="1">
        <v>51165</v>
      </c>
      <c r="AN90" s="1">
        <v>4356</v>
      </c>
      <c r="AO90" s="1">
        <v>46809</v>
      </c>
      <c r="AP90" s="1">
        <v>50247</v>
      </c>
      <c r="AQ90" s="1">
        <v>24.285321471614761</v>
      </c>
    </row>
    <row r="91" spans="1:43" x14ac:dyDescent="0.45">
      <c r="A91" s="1">
        <v>90</v>
      </c>
      <c r="B91" s="1">
        <v>101</v>
      </c>
      <c r="C91" s="1">
        <v>74</v>
      </c>
      <c r="D91" s="1" t="s">
        <v>61</v>
      </c>
      <c r="E91" s="1" t="s">
        <v>62</v>
      </c>
      <c r="F91" s="1" t="s">
        <v>63</v>
      </c>
      <c r="G91" s="1" t="s">
        <v>46</v>
      </c>
      <c r="H91" s="1" t="s">
        <v>47</v>
      </c>
      <c r="I91" s="1">
        <v>1175</v>
      </c>
      <c r="J91" s="1">
        <v>30642</v>
      </c>
      <c r="K91" s="1">
        <v>1</v>
      </c>
      <c r="L91" s="1">
        <v>73</v>
      </c>
      <c r="M91" s="1">
        <v>2069</v>
      </c>
      <c r="N91" s="1" t="s">
        <v>48</v>
      </c>
      <c r="O91" s="1">
        <v>198541</v>
      </c>
      <c r="P91" s="1">
        <v>93</v>
      </c>
      <c r="Q91" s="1" t="s">
        <v>111</v>
      </c>
      <c r="R91" s="1" t="s">
        <v>50</v>
      </c>
      <c r="S91" s="1">
        <v>0</v>
      </c>
      <c r="T91" s="1">
        <v>0</v>
      </c>
      <c r="U91" s="1">
        <v>289.83499999999998</v>
      </c>
      <c r="V91" s="1">
        <v>25.143000000000001</v>
      </c>
      <c r="W91" s="1">
        <v>0.56000000000000005</v>
      </c>
      <c r="X91" s="1">
        <v>0.36699999999999999</v>
      </c>
      <c r="Y91" s="1">
        <v>25.51</v>
      </c>
      <c r="Z91" s="1">
        <v>0.14199999999999999</v>
      </c>
      <c r="AA91" s="1">
        <v>-2</v>
      </c>
      <c r="AB91" s="1">
        <v>-2.9</v>
      </c>
      <c r="AC91" s="1">
        <v>-2.9</v>
      </c>
      <c r="AD91" s="1">
        <v>0.36699999999999999</v>
      </c>
      <c r="AE91" s="1">
        <v>3.2000000000000001E-2</v>
      </c>
      <c r="AF91" s="1">
        <v>3.6999999999999998E-2</v>
      </c>
      <c r="AG91" s="1">
        <v>-2</v>
      </c>
      <c r="AI91" s="1">
        <v>0</v>
      </c>
      <c r="AJ91" s="1">
        <v>0</v>
      </c>
      <c r="AK91" s="1">
        <v>0</v>
      </c>
      <c r="AL91" s="1">
        <v>1</v>
      </c>
      <c r="AM91" s="1">
        <v>86400</v>
      </c>
      <c r="AN91" s="1">
        <v>80989</v>
      </c>
      <c r="AO91" s="1">
        <v>5411</v>
      </c>
      <c r="AP91" s="1">
        <v>50299</v>
      </c>
      <c r="AQ91" s="1">
        <v>24.891446609903252</v>
      </c>
    </row>
    <row r="92" spans="1:43" x14ac:dyDescent="0.45">
      <c r="A92" s="1">
        <v>91</v>
      </c>
      <c r="B92" s="1">
        <v>101</v>
      </c>
      <c r="C92" s="1">
        <v>74</v>
      </c>
      <c r="D92" s="1" t="s">
        <v>61</v>
      </c>
      <c r="E92" s="1" t="s">
        <v>62</v>
      </c>
      <c r="F92" s="1" t="s">
        <v>63</v>
      </c>
      <c r="G92" s="1" t="s">
        <v>46</v>
      </c>
      <c r="H92" s="1" t="s">
        <v>47</v>
      </c>
      <c r="I92" s="1">
        <v>1175</v>
      </c>
      <c r="J92" s="1">
        <v>30642</v>
      </c>
      <c r="K92" s="1">
        <v>1</v>
      </c>
      <c r="L92" s="1">
        <v>73</v>
      </c>
      <c r="M92" s="1">
        <v>2070</v>
      </c>
      <c r="N92" s="1" t="s">
        <v>48</v>
      </c>
      <c r="O92" s="1">
        <v>198542</v>
      </c>
      <c r="P92" s="1">
        <v>93</v>
      </c>
      <c r="Q92" s="1" t="s">
        <v>111</v>
      </c>
      <c r="R92" s="1" t="s">
        <v>50</v>
      </c>
      <c r="S92" s="1">
        <v>0</v>
      </c>
      <c r="T92" s="1">
        <v>0</v>
      </c>
      <c r="U92" s="1">
        <v>289.83499999999998</v>
      </c>
      <c r="V92" s="1">
        <v>25.213999999999999</v>
      </c>
      <c r="W92" s="1">
        <v>0.55000000000000004</v>
      </c>
      <c r="X92" s="1">
        <v>0.29599999999999999</v>
      </c>
      <c r="Y92" s="1">
        <v>25.51</v>
      </c>
      <c r="Z92" s="1">
        <v>8.5000000000000006E-2</v>
      </c>
      <c r="AA92" s="1">
        <v>-0.7</v>
      </c>
      <c r="AB92" s="1">
        <v>-2.8</v>
      </c>
      <c r="AC92" s="1">
        <v>-2.8</v>
      </c>
      <c r="AD92" s="1">
        <v>0.29599999999999999</v>
      </c>
      <c r="AE92" s="1">
        <v>6.0999999999999999E-2</v>
      </c>
      <c r="AF92" s="1">
        <v>1.7999999999999999E-2</v>
      </c>
      <c r="AG92" s="1">
        <v>-0.7</v>
      </c>
      <c r="AI92" s="1">
        <v>0</v>
      </c>
      <c r="AJ92" s="1">
        <v>0</v>
      </c>
      <c r="AK92" s="1">
        <v>0</v>
      </c>
      <c r="AL92" s="1">
        <v>1</v>
      </c>
      <c r="AM92" s="1">
        <v>86400</v>
      </c>
      <c r="AN92" s="1">
        <v>78736</v>
      </c>
      <c r="AO92" s="1">
        <v>7664</v>
      </c>
      <c r="AP92" s="1">
        <v>50218</v>
      </c>
      <c r="AQ92" s="1">
        <v>25.132737300929911</v>
      </c>
    </row>
    <row r="93" spans="1:43" x14ac:dyDescent="0.45">
      <c r="A93" s="1">
        <v>92</v>
      </c>
      <c r="B93" s="1">
        <v>101</v>
      </c>
      <c r="C93" s="1">
        <v>74</v>
      </c>
      <c r="D93" s="1" t="s">
        <v>61</v>
      </c>
      <c r="E93" s="1" t="s">
        <v>62</v>
      </c>
      <c r="F93" s="1" t="s">
        <v>63</v>
      </c>
      <c r="G93" s="1" t="s">
        <v>46</v>
      </c>
      <c r="H93" s="1" t="s">
        <v>47</v>
      </c>
      <c r="I93" s="1">
        <v>1175</v>
      </c>
      <c r="J93" s="1">
        <v>30642</v>
      </c>
      <c r="K93" s="1">
        <v>1</v>
      </c>
      <c r="L93" s="1">
        <v>73</v>
      </c>
      <c r="M93" s="1">
        <v>2071</v>
      </c>
      <c r="N93" s="1" t="s">
        <v>48</v>
      </c>
      <c r="O93" s="1">
        <v>198593</v>
      </c>
      <c r="P93" s="1">
        <v>93</v>
      </c>
      <c r="Q93" s="1" t="s">
        <v>111</v>
      </c>
      <c r="R93" s="1" t="s">
        <v>50</v>
      </c>
      <c r="S93" s="1">
        <v>0</v>
      </c>
      <c r="T93" s="1">
        <v>0</v>
      </c>
      <c r="U93" s="1">
        <v>544.79200000000003</v>
      </c>
      <c r="V93" s="1">
        <v>25.16</v>
      </c>
      <c r="W93" s="1">
        <v>0.56000000000000005</v>
      </c>
      <c r="X93" s="1">
        <v>0.378</v>
      </c>
      <c r="Y93" s="1">
        <v>25.538</v>
      </c>
      <c r="Z93" s="1">
        <v>0.127</v>
      </c>
      <c r="AA93" s="1">
        <v>2.2000000000000002</v>
      </c>
      <c r="AB93" s="1">
        <v>-2.9</v>
      </c>
      <c r="AC93" s="1">
        <v>-2.9</v>
      </c>
      <c r="AD93" s="1">
        <v>0.378</v>
      </c>
      <c r="AE93" s="1">
        <v>5.2999999999999999E-2</v>
      </c>
      <c r="AF93" s="1">
        <v>3.1E-2</v>
      </c>
      <c r="AG93" s="1">
        <v>2.2000000000000002</v>
      </c>
      <c r="AI93" s="1">
        <v>0</v>
      </c>
      <c r="AJ93" s="1">
        <v>0</v>
      </c>
      <c r="AK93" s="1">
        <v>0</v>
      </c>
      <c r="AL93" s="1">
        <v>1</v>
      </c>
      <c r="AM93" s="1">
        <v>86400</v>
      </c>
      <c r="AN93" s="1">
        <v>77307</v>
      </c>
      <c r="AO93" s="1">
        <v>9093</v>
      </c>
      <c r="AP93" s="1">
        <v>50180</v>
      </c>
      <c r="AQ93" s="1">
        <v>26.819003902703411</v>
      </c>
    </row>
    <row r="94" spans="1:43" x14ac:dyDescent="0.45">
      <c r="A94" s="1">
        <v>93</v>
      </c>
      <c r="B94" s="1">
        <v>101</v>
      </c>
      <c r="C94" s="1">
        <v>74</v>
      </c>
      <c r="D94" s="1" t="s">
        <v>61</v>
      </c>
      <c r="E94" s="1" t="s">
        <v>62</v>
      </c>
      <c r="F94" s="1" t="s">
        <v>63</v>
      </c>
      <c r="G94" s="1" t="s">
        <v>46</v>
      </c>
      <c r="H94" s="1" t="s">
        <v>47</v>
      </c>
      <c r="I94" s="1">
        <v>1175</v>
      </c>
      <c r="J94" s="1">
        <v>30642</v>
      </c>
      <c r="K94" s="1">
        <v>1</v>
      </c>
      <c r="L94" s="1">
        <v>73</v>
      </c>
      <c r="M94" s="1">
        <v>2072</v>
      </c>
      <c r="N94" s="1" t="s">
        <v>48</v>
      </c>
      <c r="O94" s="1">
        <v>198594</v>
      </c>
      <c r="P94" s="1">
        <v>93</v>
      </c>
      <c r="Q94" s="1" t="s">
        <v>111</v>
      </c>
      <c r="R94" s="1" t="s">
        <v>50</v>
      </c>
      <c r="S94" s="1">
        <v>0</v>
      </c>
      <c r="T94" s="1">
        <v>0</v>
      </c>
      <c r="U94" s="1">
        <v>600.88599999999997</v>
      </c>
      <c r="V94" s="1">
        <v>25.077999999999999</v>
      </c>
      <c r="W94" s="1">
        <v>0.56999999999999995</v>
      </c>
      <c r="X94" s="1">
        <v>0.46</v>
      </c>
      <c r="Y94" s="1">
        <v>25.538</v>
      </c>
      <c r="Z94" s="1">
        <v>7.4999999999999997E-2</v>
      </c>
      <c r="AA94" s="1">
        <v>-3.1</v>
      </c>
      <c r="AB94" s="1">
        <v>-2.9</v>
      </c>
      <c r="AC94" s="1">
        <v>-2.9</v>
      </c>
      <c r="AD94" s="1">
        <v>0.46</v>
      </c>
      <c r="AE94" s="1">
        <v>5.3999999999999999E-2</v>
      </c>
      <c r="AF94" s="1">
        <v>2.5999999999999999E-2</v>
      </c>
      <c r="AG94" s="1">
        <v>-3.1</v>
      </c>
      <c r="AI94" s="1">
        <v>0</v>
      </c>
      <c r="AJ94" s="1">
        <v>0</v>
      </c>
      <c r="AK94" s="1">
        <v>0</v>
      </c>
      <c r="AL94" s="1">
        <v>1</v>
      </c>
      <c r="AM94" s="1">
        <v>86400</v>
      </c>
      <c r="AN94" s="1">
        <v>80089</v>
      </c>
      <c r="AO94" s="1">
        <v>6311</v>
      </c>
      <c r="AP94" s="1">
        <v>50180</v>
      </c>
      <c r="AQ94" s="1">
        <v>2.7249590740331948</v>
      </c>
    </row>
    <row r="95" spans="1:43" x14ac:dyDescent="0.45">
      <c r="A95" s="1">
        <v>94</v>
      </c>
      <c r="B95" s="1">
        <v>101</v>
      </c>
      <c r="C95" s="1">
        <v>74</v>
      </c>
      <c r="D95" s="1" t="s">
        <v>61</v>
      </c>
      <c r="E95" s="1" t="s">
        <v>62</v>
      </c>
      <c r="F95" s="1" t="s">
        <v>63</v>
      </c>
      <c r="G95" s="1" t="s">
        <v>46</v>
      </c>
      <c r="H95" s="1" t="s">
        <v>47</v>
      </c>
      <c r="I95" s="1">
        <v>1175</v>
      </c>
      <c r="J95" s="1">
        <v>30642</v>
      </c>
      <c r="K95" s="1">
        <v>1</v>
      </c>
      <c r="L95" s="1">
        <v>73</v>
      </c>
      <c r="M95" s="1">
        <v>2073</v>
      </c>
      <c r="N95" s="1" t="s">
        <v>48</v>
      </c>
      <c r="O95" s="1">
        <v>198595</v>
      </c>
      <c r="P95" s="1">
        <v>93</v>
      </c>
      <c r="Q95" s="1" t="s">
        <v>111</v>
      </c>
      <c r="R95" s="1" t="s">
        <v>50</v>
      </c>
      <c r="S95" s="1">
        <v>0</v>
      </c>
      <c r="T95" s="1">
        <v>0</v>
      </c>
      <c r="U95" s="1">
        <v>356.9</v>
      </c>
      <c r="V95" s="1">
        <v>25.073</v>
      </c>
      <c r="W95" s="1">
        <v>0.56999999999999995</v>
      </c>
      <c r="X95" s="1">
        <v>0.46500000000000002</v>
      </c>
      <c r="Y95" s="1">
        <v>25.536999999999999</v>
      </c>
      <c r="Z95" s="1">
        <v>5.6000000000000001E-2</v>
      </c>
      <c r="AA95" s="1">
        <v>-0.9</v>
      </c>
      <c r="AB95" s="1">
        <v>-0.9</v>
      </c>
      <c r="AC95" s="1">
        <v>-0.9</v>
      </c>
      <c r="AD95" s="1">
        <v>0.46500000000000002</v>
      </c>
      <c r="AE95" s="1">
        <v>5.6000000000000001E-2</v>
      </c>
      <c r="AF95" s="1">
        <v>2.5999999999999999E-2</v>
      </c>
      <c r="AG95" s="1">
        <v>-0.9</v>
      </c>
      <c r="AI95" s="1">
        <v>0</v>
      </c>
      <c r="AJ95" s="1">
        <v>0</v>
      </c>
      <c r="AK95" s="1">
        <v>0</v>
      </c>
      <c r="AL95" s="1">
        <v>1</v>
      </c>
      <c r="AM95" s="1">
        <v>86400</v>
      </c>
      <c r="AN95" s="1">
        <v>80277</v>
      </c>
      <c r="AO95" s="1">
        <v>6123</v>
      </c>
      <c r="AP95" s="1">
        <v>50366</v>
      </c>
      <c r="AQ95" s="1">
        <v>49.442101089761117</v>
      </c>
    </row>
    <row r="96" spans="1:43" x14ac:dyDescent="0.45">
      <c r="A96" s="1">
        <v>95</v>
      </c>
      <c r="B96" s="1">
        <v>101</v>
      </c>
      <c r="C96" s="1">
        <v>74</v>
      </c>
      <c r="D96" s="1" t="s">
        <v>61</v>
      </c>
      <c r="E96" s="1" t="s">
        <v>62</v>
      </c>
      <c r="F96" s="1" t="s">
        <v>63</v>
      </c>
      <c r="G96" s="1" t="s">
        <v>46</v>
      </c>
      <c r="H96" s="1" t="s">
        <v>47</v>
      </c>
      <c r="I96" s="1">
        <v>1175</v>
      </c>
      <c r="J96" s="1">
        <v>30642</v>
      </c>
      <c r="K96" s="1">
        <v>1</v>
      </c>
      <c r="L96" s="1">
        <v>73</v>
      </c>
      <c r="M96" s="1">
        <v>2074</v>
      </c>
      <c r="N96" s="1" t="s">
        <v>48</v>
      </c>
      <c r="O96" s="1">
        <v>198598</v>
      </c>
      <c r="P96" s="1">
        <v>93</v>
      </c>
      <c r="Q96" s="1" t="s">
        <v>111</v>
      </c>
      <c r="R96" s="1" t="s">
        <v>50</v>
      </c>
      <c r="S96" s="1">
        <v>0</v>
      </c>
      <c r="T96" s="1">
        <v>0</v>
      </c>
      <c r="U96" s="1">
        <v>434.84699999999998</v>
      </c>
      <c r="V96" s="1">
        <v>25.167000000000002</v>
      </c>
      <c r="W96" s="1">
        <v>0.56000000000000005</v>
      </c>
      <c r="X96" s="1">
        <v>0.371</v>
      </c>
      <c r="Y96" s="1">
        <v>25.538</v>
      </c>
      <c r="Z96" s="1">
        <v>8.5999999999999993E-2</v>
      </c>
      <c r="AA96" s="1">
        <v>1.6</v>
      </c>
      <c r="AB96" s="1">
        <v>2.5</v>
      </c>
      <c r="AC96" s="1">
        <v>2.5</v>
      </c>
      <c r="AD96" s="1">
        <v>0.37</v>
      </c>
      <c r="AE96" s="1">
        <v>3.2000000000000001E-2</v>
      </c>
      <c r="AF96" s="1">
        <v>1.6E-2</v>
      </c>
      <c r="AG96" s="1">
        <v>1.6</v>
      </c>
      <c r="AI96" s="1">
        <v>0</v>
      </c>
      <c r="AJ96" s="1">
        <v>0</v>
      </c>
      <c r="AK96" s="1">
        <v>0</v>
      </c>
      <c r="AL96" s="1">
        <v>1</v>
      </c>
      <c r="AM96" s="1">
        <v>86400</v>
      </c>
      <c r="AN96" s="1">
        <v>77092</v>
      </c>
      <c r="AO96" s="1">
        <v>9308</v>
      </c>
      <c r="AP96" s="1">
        <v>50289</v>
      </c>
      <c r="AQ96" s="1">
        <v>26.300615520015079</v>
      </c>
    </row>
    <row r="97" spans="1:43" x14ac:dyDescent="0.45">
      <c r="A97" s="1">
        <v>96</v>
      </c>
      <c r="B97" s="1">
        <v>101</v>
      </c>
      <c r="C97" s="1">
        <v>74</v>
      </c>
      <c r="D97" s="1" t="s">
        <v>61</v>
      </c>
      <c r="E97" s="1" t="s">
        <v>62</v>
      </c>
      <c r="F97" s="1" t="s">
        <v>63</v>
      </c>
      <c r="G97" s="1" t="s">
        <v>46</v>
      </c>
      <c r="H97" s="1" t="s">
        <v>47</v>
      </c>
      <c r="I97" s="1">
        <v>1175</v>
      </c>
      <c r="J97" s="1">
        <v>30642</v>
      </c>
      <c r="K97" s="1">
        <v>1</v>
      </c>
      <c r="L97" s="1">
        <v>73</v>
      </c>
      <c r="M97" s="1">
        <v>2075</v>
      </c>
      <c r="N97" s="1" t="s">
        <v>48</v>
      </c>
      <c r="O97" s="1">
        <v>198600</v>
      </c>
      <c r="P97" s="1">
        <v>93</v>
      </c>
      <c r="Q97" s="1" t="s">
        <v>111</v>
      </c>
      <c r="R97" s="1" t="s">
        <v>50</v>
      </c>
      <c r="S97" s="1">
        <v>0</v>
      </c>
      <c r="T97" s="1">
        <v>0</v>
      </c>
      <c r="U97" s="1">
        <v>547.45600000000002</v>
      </c>
      <c r="V97" s="1">
        <v>25.297999999999998</v>
      </c>
      <c r="W97" s="1">
        <v>0.54</v>
      </c>
      <c r="X97" s="1">
        <v>0.24099999999999999</v>
      </c>
      <c r="Y97" s="1">
        <v>25.539000000000001</v>
      </c>
      <c r="Z97" s="1">
        <v>9.9000000000000005E-2</v>
      </c>
      <c r="AA97" s="1">
        <v>0.9</v>
      </c>
      <c r="AB97" s="1">
        <v>2.7</v>
      </c>
      <c r="AC97" s="1">
        <v>2.7</v>
      </c>
      <c r="AD97" s="1">
        <v>0.24</v>
      </c>
      <c r="AE97" s="1">
        <v>5.5E-2</v>
      </c>
      <c r="AF97" s="1">
        <v>1.4E-2</v>
      </c>
      <c r="AG97" s="1">
        <v>0.9</v>
      </c>
      <c r="AI97" s="1">
        <v>0</v>
      </c>
      <c r="AJ97" s="1">
        <v>0</v>
      </c>
      <c r="AK97" s="1">
        <v>0</v>
      </c>
      <c r="AL97" s="1">
        <v>1</v>
      </c>
      <c r="AM97" s="1">
        <v>59805</v>
      </c>
      <c r="AN97" s="1">
        <v>16536</v>
      </c>
      <c r="AO97" s="1">
        <v>43269</v>
      </c>
      <c r="AP97" s="1">
        <v>50178</v>
      </c>
      <c r="AQ97" s="1">
        <v>1.6525758168340901</v>
      </c>
    </row>
    <row r="98" spans="1:43" x14ac:dyDescent="0.45">
      <c r="A98" s="1">
        <v>97</v>
      </c>
      <c r="B98" s="1">
        <v>101</v>
      </c>
      <c r="C98" s="1">
        <v>74</v>
      </c>
      <c r="D98" s="1" t="s">
        <v>61</v>
      </c>
      <c r="E98" s="1" t="s">
        <v>62</v>
      </c>
      <c r="F98" s="1" t="s">
        <v>63</v>
      </c>
      <c r="G98" s="1" t="s">
        <v>46</v>
      </c>
      <c r="H98" s="1" t="s">
        <v>47</v>
      </c>
      <c r="I98" s="1">
        <v>1175</v>
      </c>
      <c r="J98" s="1">
        <v>30642</v>
      </c>
      <c r="K98" s="1">
        <v>1</v>
      </c>
      <c r="L98" s="1">
        <v>73</v>
      </c>
      <c r="M98" s="1">
        <v>2078</v>
      </c>
      <c r="N98" s="1" t="s">
        <v>48</v>
      </c>
      <c r="O98" s="1">
        <v>198603</v>
      </c>
      <c r="P98" s="1">
        <v>93</v>
      </c>
      <c r="Q98" s="1" t="s">
        <v>111</v>
      </c>
      <c r="R98" s="1" t="s">
        <v>50</v>
      </c>
      <c r="S98" s="1">
        <v>0</v>
      </c>
      <c r="T98" s="1">
        <v>0</v>
      </c>
      <c r="U98" s="1">
        <v>717.81100000000004</v>
      </c>
      <c r="V98" s="1">
        <v>25.273</v>
      </c>
      <c r="W98" s="1">
        <v>0.54</v>
      </c>
      <c r="X98" s="1">
        <v>0.26400000000000001</v>
      </c>
      <c r="Y98" s="1">
        <v>25.536999999999999</v>
      </c>
      <c r="Z98" s="1">
        <v>0.112</v>
      </c>
      <c r="AA98" s="1">
        <v>0.6</v>
      </c>
      <c r="AB98" s="1">
        <v>3</v>
      </c>
      <c r="AC98" s="1">
        <v>3</v>
      </c>
      <c r="AD98" s="1">
        <v>0.26400000000000001</v>
      </c>
      <c r="AE98" s="1">
        <v>7.2999999999999995E-2</v>
      </c>
      <c r="AF98" s="1">
        <v>2.1000000000000001E-2</v>
      </c>
      <c r="AG98" s="1">
        <v>0.6</v>
      </c>
      <c r="AI98" s="1">
        <v>0</v>
      </c>
      <c r="AJ98" s="1">
        <v>0</v>
      </c>
      <c r="AK98" s="1">
        <v>0</v>
      </c>
      <c r="AL98" s="1">
        <v>1</v>
      </c>
      <c r="AM98" s="1">
        <v>72610</v>
      </c>
      <c r="AN98" s="1">
        <v>32756</v>
      </c>
      <c r="AO98" s="1">
        <v>39854</v>
      </c>
      <c r="AP98" s="1">
        <v>50356</v>
      </c>
      <c r="AQ98" s="1">
        <v>0.81983896563122749</v>
      </c>
    </row>
    <row r="99" spans="1:43" x14ac:dyDescent="0.45">
      <c r="A99" s="1">
        <v>98</v>
      </c>
      <c r="B99" s="1">
        <v>101</v>
      </c>
      <c r="C99" s="1">
        <v>74</v>
      </c>
      <c r="D99" s="1" t="s">
        <v>61</v>
      </c>
      <c r="E99" s="1" t="s">
        <v>62</v>
      </c>
      <c r="F99" s="1" t="s">
        <v>63</v>
      </c>
      <c r="G99" s="1" t="s">
        <v>46</v>
      </c>
      <c r="H99" s="1" t="s">
        <v>47</v>
      </c>
      <c r="I99" s="1">
        <v>1175</v>
      </c>
      <c r="J99" s="1">
        <v>30642</v>
      </c>
      <c r="K99" s="1">
        <v>1</v>
      </c>
      <c r="L99" s="1">
        <v>73</v>
      </c>
      <c r="M99" s="1">
        <v>2079</v>
      </c>
      <c r="N99" s="1" t="s">
        <v>48</v>
      </c>
      <c r="O99" s="1">
        <v>198604</v>
      </c>
      <c r="P99" s="1">
        <v>93</v>
      </c>
      <c r="Q99" s="1" t="s">
        <v>111</v>
      </c>
      <c r="R99" s="1" t="s">
        <v>50</v>
      </c>
      <c r="S99" s="1">
        <v>0</v>
      </c>
      <c r="T99" s="1">
        <v>0</v>
      </c>
      <c r="U99" s="1">
        <v>319.57100000000003</v>
      </c>
      <c r="V99" s="1">
        <v>25.094999999999999</v>
      </c>
      <c r="W99" s="1">
        <v>0.56999999999999995</v>
      </c>
      <c r="X99" s="1">
        <v>0.442</v>
      </c>
      <c r="Y99" s="1">
        <v>25.536000000000001</v>
      </c>
      <c r="Z99" s="1">
        <v>0.14599999999999999</v>
      </c>
      <c r="AA99" s="1">
        <v>-2.5</v>
      </c>
      <c r="AB99" s="1">
        <v>-2.5</v>
      </c>
      <c r="AC99" s="1">
        <v>-2.5</v>
      </c>
      <c r="AD99" s="1">
        <v>0.441</v>
      </c>
      <c r="AE99" s="1">
        <v>0.13300000000000001</v>
      </c>
      <c r="AF99" s="1">
        <v>6.2E-2</v>
      </c>
      <c r="AG99" s="1">
        <v>-2.5</v>
      </c>
      <c r="AI99" s="1">
        <v>0</v>
      </c>
      <c r="AJ99" s="1">
        <v>0</v>
      </c>
      <c r="AK99" s="1">
        <v>0</v>
      </c>
      <c r="AL99" s="1">
        <v>1</v>
      </c>
      <c r="AM99" s="1">
        <v>86400</v>
      </c>
      <c r="AN99" s="1">
        <v>80269</v>
      </c>
      <c r="AO99" s="1">
        <v>6131</v>
      </c>
      <c r="AP99" s="1">
        <v>50342</v>
      </c>
      <c r="AQ99" s="1">
        <v>25.644147779351979</v>
      </c>
    </row>
    <row r="100" spans="1:43" x14ac:dyDescent="0.45">
      <c r="A100" s="1">
        <v>99</v>
      </c>
      <c r="B100" s="1">
        <v>101</v>
      </c>
      <c r="C100" s="1">
        <v>74</v>
      </c>
      <c r="D100" s="1" t="s">
        <v>61</v>
      </c>
      <c r="E100" s="1" t="s">
        <v>62</v>
      </c>
      <c r="F100" s="1" t="s">
        <v>63</v>
      </c>
      <c r="G100" s="1" t="s">
        <v>46</v>
      </c>
      <c r="H100" s="1" t="s">
        <v>47</v>
      </c>
      <c r="I100" s="1">
        <v>1175</v>
      </c>
      <c r="J100" s="1">
        <v>30642</v>
      </c>
      <c r="K100" s="1">
        <v>1</v>
      </c>
      <c r="L100" s="1">
        <v>73</v>
      </c>
      <c r="M100" s="1">
        <v>2081</v>
      </c>
      <c r="N100" s="1" t="s">
        <v>48</v>
      </c>
      <c r="O100" s="1">
        <v>198607</v>
      </c>
      <c r="P100" s="1">
        <v>93</v>
      </c>
      <c r="Q100" s="1" t="s">
        <v>111</v>
      </c>
      <c r="R100" s="1" t="s">
        <v>50</v>
      </c>
      <c r="S100" s="1">
        <v>0</v>
      </c>
      <c r="T100" s="1">
        <v>0</v>
      </c>
      <c r="U100" s="1">
        <v>71.430000000000007</v>
      </c>
      <c r="V100" s="1">
        <v>25.236000000000001</v>
      </c>
      <c r="W100" s="1">
        <v>0.55000000000000004</v>
      </c>
      <c r="X100" s="1">
        <v>0.29899999999999999</v>
      </c>
      <c r="Y100" s="1">
        <v>25.535</v>
      </c>
      <c r="Z100" s="1">
        <v>0.11799999999999999</v>
      </c>
      <c r="AA100" s="1">
        <v>-0.6</v>
      </c>
      <c r="AB100" s="1">
        <v>-2.1</v>
      </c>
      <c r="AC100" s="1">
        <v>-2.1</v>
      </c>
      <c r="AD100" s="1">
        <v>0.29899999999999999</v>
      </c>
      <c r="AE100" s="1">
        <v>4.9000000000000002E-2</v>
      </c>
      <c r="AF100" s="1">
        <v>0.02</v>
      </c>
      <c r="AG100" s="1">
        <v>-0.6</v>
      </c>
      <c r="AI100" s="1">
        <v>0</v>
      </c>
      <c r="AJ100" s="1">
        <v>0</v>
      </c>
      <c r="AK100" s="1">
        <v>0</v>
      </c>
      <c r="AL100" s="1">
        <v>1</v>
      </c>
      <c r="AM100" s="1">
        <v>86400</v>
      </c>
      <c r="AN100" s="1">
        <v>81431</v>
      </c>
      <c r="AO100" s="1">
        <v>4969</v>
      </c>
      <c r="AP100" s="1">
        <v>50212</v>
      </c>
      <c r="AQ100" s="1">
        <v>10.66390759449977</v>
      </c>
    </row>
    <row r="101" spans="1:43" x14ac:dyDescent="0.45">
      <c r="A101" s="1">
        <v>100</v>
      </c>
      <c r="B101" s="1">
        <v>101</v>
      </c>
      <c r="C101" s="1">
        <v>74</v>
      </c>
      <c r="D101" s="1" t="s">
        <v>61</v>
      </c>
      <c r="E101" s="1" t="s">
        <v>62</v>
      </c>
      <c r="F101" s="1" t="s">
        <v>63</v>
      </c>
      <c r="G101" s="1" t="s">
        <v>46</v>
      </c>
      <c r="H101" s="1" t="s">
        <v>47</v>
      </c>
      <c r="I101" s="1">
        <v>1175</v>
      </c>
      <c r="J101" s="1">
        <v>30642</v>
      </c>
      <c r="K101" s="1">
        <v>1</v>
      </c>
      <c r="L101" s="1">
        <v>73</v>
      </c>
      <c r="M101" s="1">
        <v>2083</v>
      </c>
      <c r="N101" s="1" t="s">
        <v>48</v>
      </c>
      <c r="O101" s="1">
        <v>198609</v>
      </c>
      <c r="P101" s="1">
        <v>93</v>
      </c>
      <c r="Q101" s="1" t="s">
        <v>111</v>
      </c>
      <c r="R101" s="1" t="s">
        <v>50</v>
      </c>
      <c r="S101" s="1">
        <v>0</v>
      </c>
      <c r="T101" s="1">
        <v>0</v>
      </c>
      <c r="U101" s="1">
        <v>223.38499999999999</v>
      </c>
      <c r="V101" s="1">
        <v>25.291</v>
      </c>
      <c r="W101" s="1">
        <v>0.54</v>
      </c>
      <c r="X101" s="1">
        <v>0.245</v>
      </c>
      <c r="Y101" s="1">
        <v>25.536000000000001</v>
      </c>
      <c r="Z101" s="1">
        <v>0.18099999999999999</v>
      </c>
      <c r="AA101" s="1">
        <v>-2.2000000000000002</v>
      </c>
      <c r="AB101" s="1">
        <v>-2.1</v>
      </c>
      <c r="AC101" s="1">
        <v>-2.1</v>
      </c>
      <c r="AD101" s="1">
        <v>0.24399999999999999</v>
      </c>
      <c r="AE101" s="1">
        <v>0.16900000000000001</v>
      </c>
      <c r="AF101" s="1">
        <v>4.2000000000000003E-2</v>
      </c>
      <c r="AG101" s="1">
        <v>-2.2000000000000002</v>
      </c>
      <c r="AI101" s="1">
        <v>0</v>
      </c>
      <c r="AJ101" s="1">
        <v>0</v>
      </c>
      <c r="AK101" s="1">
        <v>0</v>
      </c>
      <c r="AL101" s="1">
        <v>1</v>
      </c>
      <c r="AM101" s="1">
        <v>65024</v>
      </c>
      <c r="AN101" s="1">
        <v>21795</v>
      </c>
      <c r="AO101" s="1">
        <v>43228</v>
      </c>
      <c r="AP101" s="1">
        <v>50341</v>
      </c>
      <c r="AQ101" s="1">
        <v>0.95858752303891448</v>
      </c>
    </row>
    <row r="102" spans="1:43" x14ac:dyDescent="0.45">
      <c r="A102" s="1">
        <v>101</v>
      </c>
      <c r="B102" s="1">
        <v>128</v>
      </c>
      <c r="C102" s="1">
        <v>88</v>
      </c>
      <c r="D102" s="1" t="s">
        <v>115</v>
      </c>
      <c r="E102" s="1" t="s">
        <v>116</v>
      </c>
      <c r="F102" s="1" t="s">
        <v>117</v>
      </c>
      <c r="G102" s="1" t="s">
        <v>54</v>
      </c>
      <c r="H102" s="1" t="s">
        <v>47</v>
      </c>
      <c r="I102" s="1">
        <v>830</v>
      </c>
      <c r="J102" s="1">
        <v>39746</v>
      </c>
      <c r="K102" s="1">
        <v>1</v>
      </c>
      <c r="L102" s="1">
        <v>87</v>
      </c>
      <c r="M102" s="1">
        <v>1874</v>
      </c>
      <c r="N102" s="1" t="s">
        <v>48</v>
      </c>
      <c r="O102" s="1">
        <v>195158</v>
      </c>
      <c r="P102" s="1">
        <v>93</v>
      </c>
      <c r="Q102" s="1" t="s">
        <v>111</v>
      </c>
      <c r="R102" s="1" t="s">
        <v>50</v>
      </c>
      <c r="S102" s="1">
        <v>0</v>
      </c>
      <c r="T102" s="1">
        <v>0</v>
      </c>
      <c r="U102" s="1">
        <v>115.226</v>
      </c>
      <c r="V102" s="1">
        <v>20.7</v>
      </c>
      <c r="W102" s="1">
        <v>1.63</v>
      </c>
      <c r="X102" s="1">
        <v>4.0670000000000002</v>
      </c>
      <c r="Y102" s="1">
        <v>24.766999999999999</v>
      </c>
      <c r="Z102" s="1">
        <v>0.28499999999999998</v>
      </c>
      <c r="AA102" s="1">
        <v>1.9</v>
      </c>
      <c r="AB102" s="1">
        <v>1.3</v>
      </c>
      <c r="AC102" s="1">
        <v>1.3</v>
      </c>
      <c r="AD102" s="1">
        <v>4.0640000000000001</v>
      </c>
      <c r="AE102" s="1">
        <v>3.3000000000000002E-2</v>
      </c>
      <c r="AF102" s="1">
        <v>0.16900000000000001</v>
      </c>
      <c r="AG102" s="1">
        <v>1.9</v>
      </c>
      <c r="AI102" s="1">
        <v>0</v>
      </c>
      <c r="AJ102" s="1">
        <v>0</v>
      </c>
      <c r="AK102" s="1">
        <v>0</v>
      </c>
      <c r="AL102" s="1">
        <v>1</v>
      </c>
      <c r="AM102" s="1">
        <v>86400</v>
      </c>
      <c r="AN102" s="1">
        <v>76302</v>
      </c>
      <c r="AO102" s="1">
        <v>10098</v>
      </c>
      <c r="AP102" s="1">
        <v>50685</v>
      </c>
      <c r="AQ102" s="1">
        <v>2.410940798470242</v>
      </c>
    </row>
    <row r="103" spans="1:43" x14ac:dyDescent="0.45">
      <c r="A103" s="1">
        <v>102</v>
      </c>
      <c r="B103" s="1">
        <v>128</v>
      </c>
      <c r="C103" s="1">
        <v>88</v>
      </c>
      <c r="D103" s="1" t="s">
        <v>115</v>
      </c>
      <c r="E103" s="1" t="s">
        <v>116</v>
      </c>
      <c r="F103" s="1" t="s">
        <v>117</v>
      </c>
      <c r="G103" s="1" t="s">
        <v>54</v>
      </c>
      <c r="H103" s="1" t="s">
        <v>47</v>
      </c>
      <c r="I103" s="1">
        <v>830</v>
      </c>
      <c r="J103" s="1">
        <v>39746</v>
      </c>
      <c r="K103" s="1">
        <v>1</v>
      </c>
      <c r="L103" s="1">
        <v>87</v>
      </c>
      <c r="M103" s="1">
        <v>1875</v>
      </c>
      <c r="N103" s="1" t="s">
        <v>48</v>
      </c>
      <c r="O103" s="1">
        <v>195159</v>
      </c>
      <c r="P103" s="1">
        <v>93</v>
      </c>
      <c r="Q103" s="1" t="s">
        <v>111</v>
      </c>
      <c r="R103" s="1" t="s">
        <v>50</v>
      </c>
      <c r="S103" s="1">
        <v>0</v>
      </c>
      <c r="T103" s="1">
        <v>0</v>
      </c>
      <c r="U103" s="1">
        <v>73.049000000000007</v>
      </c>
      <c r="V103" s="1">
        <v>21.353999999999999</v>
      </c>
      <c r="W103" s="1">
        <v>1.53</v>
      </c>
      <c r="X103" s="1">
        <v>3.4119999999999999</v>
      </c>
      <c r="Y103" s="1">
        <v>24.766999999999999</v>
      </c>
      <c r="Z103" s="1">
        <v>0.248</v>
      </c>
      <c r="AA103" s="1">
        <v>0.7</v>
      </c>
      <c r="AB103" s="1">
        <v>0.4</v>
      </c>
      <c r="AC103" s="1">
        <v>0.5</v>
      </c>
      <c r="AD103" s="1">
        <v>3.41</v>
      </c>
      <c r="AE103" s="1">
        <v>1.7999999999999999E-2</v>
      </c>
      <c r="AF103" s="1">
        <v>7.6999999999999999E-2</v>
      </c>
      <c r="AI103" s="1">
        <v>0</v>
      </c>
      <c r="AJ103" s="1">
        <v>0</v>
      </c>
      <c r="AK103" s="1">
        <v>0</v>
      </c>
      <c r="AL103" s="1">
        <v>1</v>
      </c>
      <c r="AM103" s="1">
        <v>75226</v>
      </c>
      <c r="AN103" s="1">
        <v>31891</v>
      </c>
      <c r="AO103" s="1">
        <v>43335</v>
      </c>
      <c r="AP103" s="1">
        <v>50611</v>
      </c>
      <c r="AQ103" s="1">
        <v>7.3345719801515834</v>
      </c>
    </row>
    <row r="104" spans="1:43" x14ac:dyDescent="0.45">
      <c r="A104" s="1">
        <v>103</v>
      </c>
      <c r="B104" s="1">
        <v>128</v>
      </c>
      <c r="C104" s="1">
        <v>88</v>
      </c>
      <c r="D104" s="1" t="s">
        <v>115</v>
      </c>
      <c r="E104" s="1" t="s">
        <v>116</v>
      </c>
      <c r="F104" s="1" t="s">
        <v>117</v>
      </c>
      <c r="G104" s="1" t="s">
        <v>54</v>
      </c>
      <c r="H104" s="1" t="s">
        <v>47</v>
      </c>
      <c r="I104" s="1">
        <v>830</v>
      </c>
      <c r="J104" s="1">
        <v>39746</v>
      </c>
      <c r="K104" s="1">
        <v>1</v>
      </c>
      <c r="L104" s="1">
        <v>87</v>
      </c>
      <c r="M104" s="1">
        <v>1876</v>
      </c>
      <c r="N104" s="1" t="s">
        <v>48</v>
      </c>
      <c r="O104" s="1">
        <v>195160</v>
      </c>
      <c r="P104" s="1">
        <v>93</v>
      </c>
      <c r="Q104" s="1" t="s">
        <v>111</v>
      </c>
      <c r="R104" s="1" t="s">
        <v>50</v>
      </c>
      <c r="S104" s="1">
        <v>0</v>
      </c>
      <c r="T104" s="1">
        <v>0</v>
      </c>
      <c r="U104" s="1">
        <v>96.495000000000005</v>
      </c>
      <c r="V104" s="1">
        <v>21.187000000000001</v>
      </c>
      <c r="W104" s="1">
        <v>1.56</v>
      </c>
      <c r="X104" s="1">
        <v>3.5790000000000002</v>
      </c>
      <c r="Y104" s="1">
        <v>24.765999999999998</v>
      </c>
      <c r="Z104" s="1">
        <v>0.23899999999999999</v>
      </c>
      <c r="AA104" s="1">
        <v>0.3</v>
      </c>
      <c r="AB104" s="1">
        <v>1.9</v>
      </c>
      <c r="AC104" s="1">
        <v>1.9</v>
      </c>
      <c r="AD104" s="1">
        <v>3.5760000000000001</v>
      </c>
      <c r="AE104" s="1">
        <v>3.6999999999999998E-2</v>
      </c>
      <c r="AF104" s="1">
        <v>0.13400000000000001</v>
      </c>
      <c r="AG104" s="1">
        <v>0.3</v>
      </c>
      <c r="AI104" s="1">
        <v>0</v>
      </c>
      <c r="AJ104" s="1">
        <v>0</v>
      </c>
      <c r="AK104" s="1">
        <v>0</v>
      </c>
      <c r="AL104" s="1">
        <v>1</v>
      </c>
      <c r="AM104" s="1">
        <v>75798</v>
      </c>
      <c r="AN104" s="1">
        <v>38904</v>
      </c>
      <c r="AO104" s="1">
        <v>36891</v>
      </c>
      <c r="AP104" s="1">
        <v>50610</v>
      </c>
      <c r="AQ104" s="1">
        <v>2.064071779436039</v>
      </c>
    </row>
    <row r="105" spans="1:43" x14ac:dyDescent="0.45">
      <c r="A105" s="1">
        <v>104</v>
      </c>
      <c r="B105" s="1">
        <v>128</v>
      </c>
      <c r="C105" s="1">
        <v>88</v>
      </c>
      <c r="D105" s="1" t="s">
        <v>115</v>
      </c>
      <c r="E105" s="1" t="s">
        <v>116</v>
      </c>
      <c r="F105" s="1" t="s">
        <v>117</v>
      </c>
      <c r="G105" s="1" t="s">
        <v>54</v>
      </c>
      <c r="H105" s="1" t="s">
        <v>47</v>
      </c>
      <c r="I105" s="1">
        <v>830</v>
      </c>
      <c r="J105" s="1">
        <v>39746</v>
      </c>
      <c r="K105" s="1">
        <v>1</v>
      </c>
      <c r="L105" s="1">
        <v>87</v>
      </c>
      <c r="M105" s="1">
        <v>1886</v>
      </c>
      <c r="N105" s="1" t="s">
        <v>48</v>
      </c>
      <c r="O105" s="1">
        <v>195172</v>
      </c>
      <c r="P105" s="1">
        <v>93</v>
      </c>
      <c r="Q105" s="1" t="s">
        <v>111</v>
      </c>
      <c r="R105" s="1" t="s">
        <v>50</v>
      </c>
      <c r="S105" s="1">
        <v>0</v>
      </c>
      <c r="T105" s="1">
        <v>0</v>
      </c>
      <c r="U105" s="1">
        <v>181.34700000000001</v>
      </c>
      <c r="V105" s="1">
        <v>21.968</v>
      </c>
      <c r="W105" s="1">
        <v>1.44</v>
      </c>
      <c r="X105" s="1">
        <v>2.7989999999999999</v>
      </c>
      <c r="Y105" s="1">
        <v>24.766999999999999</v>
      </c>
      <c r="Z105" s="1">
        <v>0.16200000000000001</v>
      </c>
      <c r="AA105" s="1">
        <v>2.7</v>
      </c>
      <c r="AB105" s="1">
        <v>-1.4</v>
      </c>
      <c r="AC105" s="1">
        <v>-1.5</v>
      </c>
      <c r="AD105" s="1">
        <v>2.7989999999999999</v>
      </c>
      <c r="AE105" s="1">
        <v>0.05</v>
      </c>
      <c r="AF105" s="1">
        <v>0.13900000000000001</v>
      </c>
      <c r="AI105" s="1">
        <v>0</v>
      </c>
      <c r="AJ105" s="1">
        <v>0</v>
      </c>
      <c r="AK105" s="1">
        <v>0</v>
      </c>
      <c r="AL105" s="1">
        <v>1</v>
      </c>
      <c r="AM105" s="1">
        <v>71635</v>
      </c>
      <c r="AN105" s="1">
        <v>27423</v>
      </c>
      <c r="AO105" s="1">
        <v>44212</v>
      </c>
      <c r="AP105" s="1">
        <v>50611</v>
      </c>
      <c r="AQ105" s="1">
        <v>2.1957611314984709</v>
      </c>
    </row>
    <row r="106" spans="1:43" x14ac:dyDescent="0.45">
      <c r="A106" s="1">
        <v>105</v>
      </c>
      <c r="B106" s="1">
        <v>128</v>
      </c>
      <c r="C106" s="1">
        <v>88</v>
      </c>
      <c r="D106" s="1" t="s">
        <v>115</v>
      </c>
      <c r="E106" s="1" t="s">
        <v>116</v>
      </c>
      <c r="F106" s="1" t="s">
        <v>117</v>
      </c>
      <c r="G106" s="1" t="s">
        <v>54</v>
      </c>
      <c r="H106" s="1" t="s">
        <v>47</v>
      </c>
      <c r="I106" s="1">
        <v>830</v>
      </c>
      <c r="J106" s="1">
        <v>39746</v>
      </c>
      <c r="K106" s="1">
        <v>1</v>
      </c>
      <c r="L106" s="1">
        <v>87</v>
      </c>
      <c r="M106" s="1">
        <v>1889</v>
      </c>
      <c r="N106" s="1" t="s">
        <v>48</v>
      </c>
      <c r="O106" s="1">
        <v>195175</v>
      </c>
      <c r="P106" s="1">
        <v>93</v>
      </c>
      <c r="Q106" s="1" t="s">
        <v>111</v>
      </c>
      <c r="R106" s="1" t="s">
        <v>50</v>
      </c>
      <c r="S106" s="1">
        <v>0</v>
      </c>
      <c r="T106" s="1">
        <v>0</v>
      </c>
      <c r="U106" s="1">
        <v>387.74799999999999</v>
      </c>
      <c r="V106" s="1">
        <v>21.367999999999999</v>
      </c>
      <c r="W106" s="1">
        <v>1.52</v>
      </c>
      <c r="X106" s="1">
        <v>3.3969999999999998</v>
      </c>
      <c r="Y106" s="1">
        <v>24.765999999999998</v>
      </c>
      <c r="Z106" s="1">
        <v>0.51800000000000002</v>
      </c>
      <c r="AA106" s="1">
        <v>-3.1</v>
      </c>
      <c r="AB106" s="1">
        <v>2.6</v>
      </c>
      <c r="AC106" s="1">
        <v>2.8</v>
      </c>
      <c r="AD106" s="1">
        <v>3.395</v>
      </c>
      <c r="AE106" s="1">
        <v>2.1000000000000001E-2</v>
      </c>
      <c r="AF106" s="1">
        <v>7.0999999999999994E-2</v>
      </c>
      <c r="AG106" s="1">
        <v>-3.1</v>
      </c>
      <c r="AI106" s="1">
        <v>0</v>
      </c>
      <c r="AJ106" s="1">
        <v>0</v>
      </c>
      <c r="AK106" s="1">
        <v>0</v>
      </c>
      <c r="AL106" s="1">
        <v>1</v>
      </c>
      <c r="AM106" s="1">
        <v>75206</v>
      </c>
      <c r="AN106" s="1">
        <v>35449</v>
      </c>
      <c r="AO106" s="1">
        <v>39757</v>
      </c>
      <c r="AP106" s="1">
        <v>50562</v>
      </c>
      <c r="AQ106" s="1">
        <v>3.0715079833882188</v>
      </c>
    </row>
    <row r="107" spans="1:43" x14ac:dyDescent="0.45">
      <c r="A107" s="1">
        <v>106</v>
      </c>
      <c r="B107" s="1">
        <v>128</v>
      </c>
      <c r="C107" s="1">
        <v>88</v>
      </c>
      <c r="D107" s="1" t="s">
        <v>115</v>
      </c>
      <c r="E107" s="1" t="s">
        <v>116</v>
      </c>
      <c r="F107" s="1" t="s">
        <v>117</v>
      </c>
      <c r="G107" s="1" t="s">
        <v>54</v>
      </c>
      <c r="H107" s="1" t="s">
        <v>47</v>
      </c>
      <c r="I107" s="1">
        <v>830</v>
      </c>
      <c r="J107" s="1">
        <v>39746</v>
      </c>
      <c r="K107" s="1">
        <v>1</v>
      </c>
      <c r="L107" s="1">
        <v>87</v>
      </c>
      <c r="M107" s="1">
        <v>1890</v>
      </c>
      <c r="N107" s="1" t="s">
        <v>48</v>
      </c>
      <c r="O107" s="1">
        <v>195176</v>
      </c>
      <c r="P107" s="1">
        <v>93</v>
      </c>
      <c r="Q107" s="1" t="s">
        <v>111</v>
      </c>
      <c r="R107" s="1" t="s">
        <v>50</v>
      </c>
      <c r="S107" s="1">
        <v>0</v>
      </c>
      <c r="T107" s="1">
        <v>0</v>
      </c>
      <c r="U107" s="1">
        <v>305.37299999999999</v>
      </c>
      <c r="V107" s="1">
        <v>22.896999999999998</v>
      </c>
      <c r="W107" s="1">
        <v>1.29</v>
      </c>
      <c r="X107" s="1">
        <v>1.87</v>
      </c>
      <c r="Y107" s="1">
        <v>24.765999999999998</v>
      </c>
      <c r="Z107" s="1">
        <v>0.20399999999999999</v>
      </c>
      <c r="AA107" s="1">
        <v>2.1</v>
      </c>
      <c r="AB107" s="1">
        <v>0.4</v>
      </c>
      <c r="AC107" s="1">
        <v>0.4</v>
      </c>
      <c r="AD107" s="1">
        <v>1.869</v>
      </c>
      <c r="AE107" s="1">
        <v>1.4999999999999999E-2</v>
      </c>
      <c r="AF107" s="1">
        <v>2.8000000000000001E-2</v>
      </c>
      <c r="AI107" s="1">
        <v>0</v>
      </c>
      <c r="AJ107" s="1">
        <v>0</v>
      </c>
      <c r="AK107" s="1">
        <v>0</v>
      </c>
      <c r="AL107" s="1">
        <v>1</v>
      </c>
      <c r="AM107" s="1">
        <v>64723</v>
      </c>
      <c r="AN107" s="1">
        <v>18773</v>
      </c>
      <c r="AO107" s="1">
        <v>45950</v>
      </c>
      <c r="AP107" s="1">
        <v>50630</v>
      </c>
      <c r="AQ107" s="1">
        <v>32.115410528628978</v>
      </c>
    </row>
    <row r="108" spans="1:43" x14ac:dyDescent="0.45">
      <c r="A108" s="1">
        <v>107</v>
      </c>
      <c r="B108" s="1">
        <v>128</v>
      </c>
      <c r="C108" s="1">
        <v>88</v>
      </c>
      <c r="D108" s="1" t="s">
        <v>115</v>
      </c>
      <c r="E108" s="1" t="s">
        <v>116</v>
      </c>
      <c r="F108" s="1" t="s">
        <v>117</v>
      </c>
      <c r="G108" s="1" t="s">
        <v>54</v>
      </c>
      <c r="H108" s="1" t="s">
        <v>47</v>
      </c>
      <c r="I108" s="1">
        <v>830</v>
      </c>
      <c r="J108" s="1">
        <v>39746</v>
      </c>
      <c r="K108" s="1">
        <v>1</v>
      </c>
      <c r="L108" s="1">
        <v>87</v>
      </c>
      <c r="M108" s="1">
        <v>1891</v>
      </c>
      <c r="N108" s="1" t="s">
        <v>48</v>
      </c>
      <c r="O108" s="1">
        <v>195178</v>
      </c>
      <c r="P108" s="1">
        <v>93</v>
      </c>
      <c r="Q108" s="1" t="s">
        <v>111</v>
      </c>
      <c r="R108" s="1" t="s">
        <v>50</v>
      </c>
      <c r="S108" s="1">
        <v>0</v>
      </c>
      <c r="T108" s="1">
        <v>0</v>
      </c>
      <c r="U108" s="1">
        <v>164.86</v>
      </c>
      <c r="V108" s="1">
        <v>21.922999999999998</v>
      </c>
      <c r="W108" s="1">
        <v>1.44</v>
      </c>
      <c r="X108" s="1">
        <v>2.843</v>
      </c>
      <c r="Y108" s="1">
        <v>24.766999999999999</v>
      </c>
      <c r="Z108" s="1">
        <v>0.215</v>
      </c>
      <c r="AA108" s="1">
        <v>2.6</v>
      </c>
      <c r="AB108" s="1">
        <v>-2.9</v>
      </c>
      <c r="AC108" s="1">
        <v>-2.9</v>
      </c>
      <c r="AD108" s="1">
        <v>2.8420000000000001</v>
      </c>
      <c r="AE108" s="1">
        <v>3.6999999999999998E-2</v>
      </c>
      <c r="AF108" s="1">
        <v>0.106</v>
      </c>
      <c r="AI108" s="1">
        <v>0</v>
      </c>
      <c r="AJ108" s="1">
        <v>0</v>
      </c>
      <c r="AK108" s="1">
        <v>0</v>
      </c>
      <c r="AL108" s="1">
        <v>1</v>
      </c>
      <c r="AM108" s="1">
        <v>71996</v>
      </c>
      <c r="AN108" s="1">
        <v>27881</v>
      </c>
      <c r="AO108" s="1">
        <v>44115</v>
      </c>
      <c r="AP108" s="1">
        <v>50629</v>
      </c>
      <c r="AQ108" s="1">
        <v>2.7422035102508739</v>
      </c>
    </row>
    <row r="109" spans="1:43" x14ac:dyDescent="0.45">
      <c r="A109" s="1">
        <v>108</v>
      </c>
      <c r="B109" s="1">
        <v>128</v>
      </c>
      <c r="C109" s="1">
        <v>88</v>
      </c>
      <c r="D109" s="1" t="s">
        <v>115</v>
      </c>
      <c r="E109" s="1" t="s">
        <v>116</v>
      </c>
      <c r="F109" s="1" t="s">
        <v>117</v>
      </c>
      <c r="G109" s="1" t="s">
        <v>54</v>
      </c>
      <c r="H109" s="1" t="s">
        <v>47</v>
      </c>
      <c r="I109" s="1">
        <v>830</v>
      </c>
      <c r="J109" s="1">
        <v>39746</v>
      </c>
      <c r="K109" s="1">
        <v>1</v>
      </c>
      <c r="L109" s="1">
        <v>87</v>
      </c>
      <c r="M109" s="1">
        <v>1892</v>
      </c>
      <c r="N109" s="1" t="s">
        <v>48</v>
      </c>
      <c r="O109" s="1">
        <v>195179</v>
      </c>
      <c r="P109" s="1">
        <v>93</v>
      </c>
      <c r="Q109" s="1" t="s">
        <v>111</v>
      </c>
      <c r="R109" s="1" t="s">
        <v>50</v>
      </c>
      <c r="S109" s="1">
        <v>0</v>
      </c>
      <c r="T109" s="1">
        <v>0</v>
      </c>
      <c r="U109" s="1">
        <v>155.964</v>
      </c>
      <c r="V109" s="1">
        <v>22.390999999999998</v>
      </c>
      <c r="W109" s="1">
        <v>1.37</v>
      </c>
      <c r="X109" s="1">
        <v>2.3759999999999999</v>
      </c>
      <c r="Y109" s="1">
        <v>24.766999999999999</v>
      </c>
      <c r="Z109" s="1">
        <v>0.17699999999999999</v>
      </c>
      <c r="AA109" s="1">
        <v>2.1</v>
      </c>
      <c r="AB109" s="1">
        <v>-2.6</v>
      </c>
      <c r="AC109" s="1">
        <v>-2.7</v>
      </c>
      <c r="AD109" s="1">
        <v>2.3759999999999999</v>
      </c>
      <c r="AE109" s="1">
        <v>2.3E-2</v>
      </c>
      <c r="AF109" s="1">
        <v>5.5E-2</v>
      </c>
      <c r="AI109" s="1">
        <v>0</v>
      </c>
      <c r="AJ109" s="1">
        <v>0</v>
      </c>
      <c r="AK109" s="1">
        <v>0</v>
      </c>
      <c r="AL109" s="1">
        <v>1</v>
      </c>
      <c r="AM109" s="1">
        <v>68264</v>
      </c>
      <c r="AN109" s="1">
        <v>23298</v>
      </c>
      <c r="AO109" s="1">
        <v>44967</v>
      </c>
      <c r="AP109" s="1">
        <v>50611</v>
      </c>
      <c r="AQ109" s="1">
        <v>21.291210193614429</v>
      </c>
    </row>
    <row r="110" spans="1:43" x14ac:dyDescent="0.45">
      <c r="A110" s="1">
        <v>109</v>
      </c>
      <c r="B110" s="1">
        <v>128</v>
      </c>
      <c r="C110" s="1">
        <v>88</v>
      </c>
      <c r="D110" s="1" t="s">
        <v>115</v>
      </c>
      <c r="E110" s="1" t="s">
        <v>116</v>
      </c>
      <c r="F110" s="1" t="s">
        <v>117</v>
      </c>
      <c r="G110" s="1" t="s">
        <v>54</v>
      </c>
      <c r="H110" s="1" t="s">
        <v>47</v>
      </c>
      <c r="I110" s="1">
        <v>830</v>
      </c>
      <c r="J110" s="1">
        <v>39746</v>
      </c>
      <c r="K110" s="1">
        <v>1</v>
      </c>
      <c r="L110" s="1">
        <v>87</v>
      </c>
      <c r="M110" s="1">
        <v>1893</v>
      </c>
      <c r="N110" s="1" t="s">
        <v>48</v>
      </c>
      <c r="O110" s="1">
        <v>195188</v>
      </c>
      <c r="P110" s="1">
        <v>93</v>
      </c>
      <c r="Q110" s="1" t="s">
        <v>111</v>
      </c>
      <c r="R110" s="1" t="s">
        <v>50</v>
      </c>
      <c r="S110" s="1">
        <v>0</v>
      </c>
      <c r="T110" s="1">
        <v>0</v>
      </c>
      <c r="U110" s="1">
        <v>759.12900000000002</v>
      </c>
      <c r="V110" s="1">
        <v>21.216000000000001</v>
      </c>
      <c r="W110" s="1">
        <v>1.54</v>
      </c>
      <c r="X110" s="1">
        <v>3.55</v>
      </c>
      <c r="Y110" s="1">
        <v>24.765000000000001</v>
      </c>
      <c r="Z110" s="1">
        <v>0.45200000000000001</v>
      </c>
      <c r="AA110" s="1">
        <v>-3</v>
      </c>
      <c r="AB110" s="1">
        <v>-2.6</v>
      </c>
      <c r="AC110" s="1">
        <v>-2.6</v>
      </c>
      <c r="AD110" s="1">
        <v>3.548</v>
      </c>
      <c r="AE110" s="1">
        <v>0.01</v>
      </c>
      <c r="AF110" s="1">
        <v>0.26600000000000001</v>
      </c>
      <c r="AG110" s="1">
        <v>-3</v>
      </c>
      <c r="AI110" s="1">
        <v>0</v>
      </c>
      <c r="AJ110" s="1">
        <v>0</v>
      </c>
      <c r="AK110" s="1">
        <v>0</v>
      </c>
      <c r="AL110" s="1">
        <v>1</v>
      </c>
      <c r="AM110" s="1">
        <v>86400</v>
      </c>
      <c r="AN110" s="1">
        <v>81070</v>
      </c>
      <c r="AO110" s="1">
        <v>5330</v>
      </c>
      <c r="AP110" s="1">
        <v>50612</v>
      </c>
      <c r="AQ110" s="1">
        <v>2.840576342070904</v>
      </c>
    </row>
    <row r="111" spans="1:43" x14ac:dyDescent="0.45">
      <c r="A111" s="1">
        <v>110</v>
      </c>
      <c r="B111" s="1">
        <v>128</v>
      </c>
      <c r="C111" s="1">
        <v>88</v>
      </c>
      <c r="D111" s="1" t="s">
        <v>115</v>
      </c>
      <c r="E111" s="1" t="s">
        <v>116</v>
      </c>
      <c r="F111" s="1" t="s">
        <v>117</v>
      </c>
      <c r="G111" s="1" t="s">
        <v>54</v>
      </c>
      <c r="H111" s="1" t="s">
        <v>47</v>
      </c>
      <c r="I111" s="1">
        <v>830</v>
      </c>
      <c r="J111" s="1">
        <v>39746</v>
      </c>
      <c r="K111" s="1">
        <v>1</v>
      </c>
      <c r="L111" s="1">
        <v>87</v>
      </c>
      <c r="M111" s="1">
        <v>1894</v>
      </c>
      <c r="N111" s="1" t="s">
        <v>48</v>
      </c>
      <c r="O111" s="1">
        <v>195189</v>
      </c>
      <c r="P111" s="1">
        <v>93</v>
      </c>
      <c r="Q111" s="1" t="s">
        <v>111</v>
      </c>
      <c r="R111" s="1" t="s">
        <v>50</v>
      </c>
      <c r="S111" s="1">
        <v>0</v>
      </c>
      <c r="T111" s="1">
        <v>0</v>
      </c>
      <c r="U111" s="1">
        <v>648.024</v>
      </c>
      <c r="V111" s="1">
        <v>21.824000000000002</v>
      </c>
      <c r="W111" s="1">
        <v>1.45</v>
      </c>
      <c r="X111" s="1">
        <v>2.9420000000000002</v>
      </c>
      <c r="Y111" s="1">
        <v>24.765000000000001</v>
      </c>
      <c r="Z111" s="1">
        <v>0.53300000000000003</v>
      </c>
      <c r="AA111" s="1">
        <v>-3</v>
      </c>
      <c r="AB111" s="1">
        <v>-2.9</v>
      </c>
      <c r="AC111" s="1">
        <v>-2.9</v>
      </c>
      <c r="AD111" s="1">
        <v>2.9409999999999998</v>
      </c>
      <c r="AE111" s="1">
        <v>7.0000000000000001E-3</v>
      </c>
      <c r="AF111" s="1">
        <v>2.7E-2</v>
      </c>
      <c r="AG111" s="1">
        <v>-3</v>
      </c>
      <c r="AI111" s="1">
        <v>0</v>
      </c>
      <c r="AJ111" s="1">
        <v>0</v>
      </c>
      <c r="AK111" s="1">
        <v>0</v>
      </c>
      <c r="AL111" s="1">
        <v>1</v>
      </c>
      <c r="AM111" s="1">
        <v>72769</v>
      </c>
      <c r="AN111" s="1">
        <v>29427</v>
      </c>
      <c r="AO111" s="1">
        <v>43341</v>
      </c>
      <c r="AP111" s="1">
        <v>50633</v>
      </c>
      <c r="AQ111" s="1">
        <v>34.814007380376417</v>
      </c>
    </row>
    <row r="112" spans="1:43" x14ac:dyDescent="0.45">
      <c r="A112" s="1">
        <v>111</v>
      </c>
      <c r="B112" s="1">
        <v>128</v>
      </c>
      <c r="C112" s="1">
        <v>88</v>
      </c>
      <c r="D112" s="1" t="s">
        <v>115</v>
      </c>
      <c r="E112" s="1" t="s">
        <v>116</v>
      </c>
      <c r="F112" s="1" t="s">
        <v>117</v>
      </c>
      <c r="G112" s="1" t="s">
        <v>54</v>
      </c>
      <c r="H112" s="1" t="s">
        <v>47</v>
      </c>
      <c r="I112" s="1">
        <v>830</v>
      </c>
      <c r="J112" s="1">
        <v>39746</v>
      </c>
      <c r="K112" s="1">
        <v>1</v>
      </c>
      <c r="L112" s="1">
        <v>87</v>
      </c>
      <c r="M112" s="1">
        <v>1895</v>
      </c>
      <c r="N112" s="1" t="s">
        <v>48</v>
      </c>
      <c r="O112" s="1">
        <v>195190</v>
      </c>
      <c r="P112" s="1">
        <v>93</v>
      </c>
      <c r="Q112" s="1" t="s">
        <v>111</v>
      </c>
      <c r="R112" s="1" t="s">
        <v>50</v>
      </c>
      <c r="S112" s="1">
        <v>0</v>
      </c>
      <c r="T112" s="1">
        <v>0</v>
      </c>
      <c r="U112" s="1">
        <v>162.02699999999999</v>
      </c>
      <c r="V112" s="1">
        <v>21.437000000000001</v>
      </c>
      <c r="W112" s="1">
        <v>1.51</v>
      </c>
      <c r="X112" s="1">
        <v>3.3279999999999998</v>
      </c>
      <c r="Y112" s="1">
        <v>24.765000000000001</v>
      </c>
      <c r="Z112" s="1">
        <v>0.36599999999999999</v>
      </c>
      <c r="AA112" s="1">
        <v>3.1</v>
      </c>
      <c r="AB112" s="1">
        <v>-3.1</v>
      </c>
      <c r="AC112" s="1">
        <v>-3</v>
      </c>
      <c r="AD112" s="1">
        <v>3.3279999999999998</v>
      </c>
      <c r="AE112" s="1">
        <v>8.0000000000000002E-3</v>
      </c>
      <c r="AF112" s="1">
        <v>0.16900000000000001</v>
      </c>
      <c r="AG112" s="1">
        <v>3.1</v>
      </c>
      <c r="AI112" s="1">
        <v>0</v>
      </c>
      <c r="AJ112" s="1">
        <v>0</v>
      </c>
      <c r="AK112" s="1">
        <v>0</v>
      </c>
      <c r="AL112" s="1">
        <v>1</v>
      </c>
      <c r="AM112" s="1">
        <v>86400</v>
      </c>
      <c r="AN112" s="1">
        <v>79317</v>
      </c>
      <c r="AO112" s="1">
        <v>7083</v>
      </c>
      <c r="AP112" s="1">
        <v>50564</v>
      </c>
      <c r="AQ112" s="1">
        <v>1.181862772484338</v>
      </c>
    </row>
    <row r="113" spans="1:43" x14ac:dyDescent="0.45">
      <c r="A113" s="1">
        <v>112</v>
      </c>
      <c r="B113" s="1">
        <v>128</v>
      </c>
      <c r="C113" s="1">
        <v>88</v>
      </c>
      <c r="D113" s="1" t="s">
        <v>115</v>
      </c>
      <c r="E113" s="1" t="s">
        <v>116</v>
      </c>
      <c r="F113" s="1" t="s">
        <v>117</v>
      </c>
      <c r="G113" s="1" t="s">
        <v>54</v>
      </c>
      <c r="H113" s="1" t="s">
        <v>47</v>
      </c>
      <c r="I113" s="1">
        <v>830</v>
      </c>
      <c r="J113" s="1">
        <v>39746</v>
      </c>
      <c r="K113" s="1">
        <v>1</v>
      </c>
      <c r="L113" s="1">
        <v>87</v>
      </c>
      <c r="M113" s="1">
        <v>1902</v>
      </c>
      <c r="N113" s="1" t="s">
        <v>48</v>
      </c>
      <c r="O113" s="1">
        <v>195201</v>
      </c>
      <c r="P113" s="1">
        <v>93</v>
      </c>
      <c r="Q113" s="1" t="s">
        <v>111</v>
      </c>
      <c r="R113" s="1" t="s">
        <v>50</v>
      </c>
      <c r="S113" s="1">
        <v>0</v>
      </c>
      <c r="T113" s="1">
        <v>0</v>
      </c>
      <c r="U113" s="1">
        <v>137.08600000000001</v>
      </c>
      <c r="V113" s="1">
        <v>21.556000000000001</v>
      </c>
      <c r="W113" s="1">
        <v>1.49</v>
      </c>
      <c r="X113" s="1">
        <v>3.21</v>
      </c>
      <c r="Y113" s="1">
        <v>24.765000000000001</v>
      </c>
      <c r="Z113" s="1">
        <v>2.7E-2</v>
      </c>
      <c r="AA113" s="1">
        <v>1.4</v>
      </c>
      <c r="AB113" s="1">
        <v>-2.2000000000000002</v>
      </c>
      <c r="AC113" s="1">
        <v>-2.4</v>
      </c>
      <c r="AD113" s="1">
        <v>3.2090000000000001</v>
      </c>
      <c r="AE113" s="1">
        <v>8.0000000000000002E-3</v>
      </c>
      <c r="AF113" s="1">
        <v>2.4E-2</v>
      </c>
      <c r="AG113" s="1">
        <v>1.4</v>
      </c>
      <c r="AI113" s="1">
        <v>0</v>
      </c>
      <c r="AJ113" s="1">
        <v>0</v>
      </c>
      <c r="AK113" s="1">
        <v>0</v>
      </c>
      <c r="AL113" s="1">
        <v>1</v>
      </c>
      <c r="AM113" s="1">
        <v>86400</v>
      </c>
      <c r="AN113" s="1">
        <v>76378</v>
      </c>
      <c r="AO113" s="1">
        <v>10022</v>
      </c>
      <c r="AP113" s="1">
        <v>50578</v>
      </c>
      <c r="AQ113" s="1">
        <v>4.4034149939720413</v>
      </c>
    </row>
    <row r="114" spans="1:43" x14ac:dyDescent="0.45">
      <c r="A114" s="1">
        <v>113</v>
      </c>
      <c r="B114" s="1">
        <v>128</v>
      </c>
      <c r="C114" s="1">
        <v>88</v>
      </c>
      <c r="D114" s="1" t="s">
        <v>115</v>
      </c>
      <c r="E114" s="1" t="s">
        <v>116</v>
      </c>
      <c r="F114" s="1" t="s">
        <v>117</v>
      </c>
      <c r="G114" s="1" t="s">
        <v>54</v>
      </c>
      <c r="H114" s="1" t="s">
        <v>47</v>
      </c>
      <c r="I114" s="1">
        <v>830</v>
      </c>
      <c r="J114" s="1">
        <v>39746</v>
      </c>
      <c r="K114" s="1">
        <v>1</v>
      </c>
      <c r="L114" s="1">
        <v>87</v>
      </c>
      <c r="M114" s="1">
        <v>1904</v>
      </c>
      <c r="N114" s="1" t="s">
        <v>48</v>
      </c>
      <c r="O114" s="1">
        <v>195203</v>
      </c>
      <c r="P114" s="1">
        <v>93</v>
      </c>
      <c r="Q114" s="1" t="s">
        <v>111</v>
      </c>
      <c r="R114" s="1" t="s">
        <v>50</v>
      </c>
      <c r="S114" s="1">
        <v>0</v>
      </c>
      <c r="T114" s="1">
        <v>0</v>
      </c>
      <c r="U114" s="1">
        <v>91.207999999999998</v>
      </c>
      <c r="V114" s="1">
        <v>21.504000000000001</v>
      </c>
      <c r="W114" s="1">
        <v>1.5</v>
      </c>
      <c r="X114" s="1">
        <v>3.2610000000000001</v>
      </c>
      <c r="Y114" s="1">
        <v>24.765000000000001</v>
      </c>
      <c r="Z114" s="1">
        <v>3.5999999999999997E-2</v>
      </c>
      <c r="AA114" s="1">
        <v>2.6</v>
      </c>
      <c r="AB114" s="1">
        <v>-2.8</v>
      </c>
      <c r="AC114" s="1">
        <v>-2.8</v>
      </c>
      <c r="AD114" s="1">
        <v>3.26</v>
      </c>
      <c r="AE114" s="1">
        <v>8.0000000000000002E-3</v>
      </c>
      <c r="AF114" s="1">
        <v>2.7E-2</v>
      </c>
      <c r="AI114" s="1">
        <v>0</v>
      </c>
      <c r="AJ114" s="1">
        <v>0</v>
      </c>
      <c r="AK114" s="1">
        <v>0</v>
      </c>
      <c r="AL114" s="1">
        <v>1</v>
      </c>
      <c r="AM114" s="1">
        <v>86400</v>
      </c>
      <c r="AN114" s="1">
        <v>77676</v>
      </c>
      <c r="AO114" s="1">
        <v>8724</v>
      </c>
      <c r="AP114" s="1">
        <v>50604</v>
      </c>
      <c r="AQ114" s="1">
        <v>13.665509821742679</v>
      </c>
    </row>
    <row r="115" spans="1:43" x14ac:dyDescent="0.45">
      <c r="A115" s="1">
        <v>114</v>
      </c>
      <c r="B115" s="1">
        <v>128</v>
      </c>
      <c r="C115" s="1">
        <v>88</v>
      </c>
      <c r="D115" s="1" t="s">
        <v>115</v>
      </c>
      <c r="E115" s="1" t="s">
        <v>116</v>
      </c>
      <c r="F115" s="1" t="s">
        <v>117</v>
      </c>
      <c r="G115" s="1" t="s">
        <v>54</v>
      </c>
      <c r="H115" s="1" t="s">
        <v>47</v>
      </c>
      <c r="I115" s="1">
        <v>830</v>
      </c>
      <c r="J115" s="1">
        <v>39746</v>
      </c>
      <c r="K115" s="1">
        <v>1</v>
      </c>
      <c r="L115" s="1">
        <v>87</v>
      </c>
      <c r="M115" s="1">
        <v>1905</v>
      </c>
      <c r="N115" s="1" t="s">
        <v>48</v>
      </c>
      <c r="O115" s="1">
        <v>195204</v>
      </c>
      <c r="P115" s="1">
        <v>93</v>
      </c>
      <c r="Q115" s="1" t="s">
        <v>111</v>
      </c>
      <c r="R115" s="1" t="s">
        <v>50</v>
      </c>
      <c r="S115" s="1">
        <v>0</v>
      </c>
      <c r="T115" s="1">
        <v>0</v>
      </c>
      <c r="U115" s="1">
        <v>154.404</v>
      </c>
      <c r="V115" s="1">
        <v>21.431999999999999</v>
      </c>
      <c r="W115" s="1">
        <v>1.51</v>
      </c>
      <c r="X115" s="1">
        <v>3.3340000000000001</v>
      </c>
      <c r="Y115" s="1">
        <v>24.765000000000001</v>
      </c>
      <c r="Z115" s="1">
        <v>0.04</v>
      </c>
      <c r="AA115" s="1">
        <v>1.8</v>
      </c>
      <c r="AB115" s="1">
        <v>-3</v>
      </c>
      <c r="AC115" s="1">
        <v>-2.9</v>
      </c>
      <c r="AD115" s="1">
        <v>3.3330000000000002</v>
      </c>
      <c r="AE115" s="1">
        <v>8.0000000000000002E-3</v>
      </c>
      <c r="AF115" s="1">
        <v>2.5999999999999999E-2</v>
      </c>
      <c r="AI115" s="1">
        <v>0</v>
      </c>
      <c r="AJ115" s="1">
        <v>0</v>
      </c>
      <c r="AK115" s="1">
        <v>0</v>
      </c>
      <c r="AL115" s="1">
        <v>1</v>
      </c>
      <c r="AM115" s="1">
        <v>86400</v>
      </c>
      <c r="AN115" s="1">
        <v>79479</v>
      </c>
      <c r="AO115" s="1">
        <v>6921</v>
      </c>
      <c r="AP115" s="1">
        <v>50594</v>
      </c>
      <c r="AQ115" s="1">
        <v>3.810868070110133</v>
      </c>
    </row>
    <row r="116" spans="1:43" x14ac:dyDescent="0.45">
      <c r="A116" s="1">
        <v>115</v>
      </c>
      <c r="B116" s="1">
        <v>128</v>
      </c>
      <c r="C116" s="1">
        <v>88</v>
      </c>
      <c r="D116" s="1" t="s">
        <v>115</v>
      </c>
      <c r="E116" s="1" t="s">
        <v>116</v>
      </c>
      <c r="F116" s="1" t="s">
        <v>117</v>
      </c>
      <c r="G116" s="1" t="s">
        <v>54</v>
      </c>
      <c r="H116" s="1" t="s">
        <v>47</v>
      </c>
      <c r="I116" s="1">
        <v>830</v>
      </c>
      <c r="J116" s="1">
        <v>39746</v>
      </c>
      <c r="K116" s="1">
        <v>1</v>
      </c>
      <c r="L116" s="1">
        <v>87</v>
      </c>
      <c r="M116" s="1">
        <v>1906</v>
      </c>
      <c r="N116" s="1" t="s">
        <v>48</v>
      </c>
      <c r="O116" s="1">
        <v>195205</v>
      </c>
      <c r="P116" s="1">
        <v>93</v>
      </c>
      <c r="Q116" s="1" t="s">
        <v>111</v>
      </c>
      <c r="R116" s="1" t="s">
        <v>50</v>
      </c>
      <c r="S116" s="1">
        <v>0</v>
      </c>
      <c r="T116" s="1">
        <v>0</v>
      </c>
      <c r="U116" s="1">
        <v>130.07499999999999</v>
      </c>
      <c r="V116" s="1">
        <v>21.893000000000001</v>
      </c>
      <c r="W116" s="1">
        <v>1.44</v>
      </c>
      <c r="X116" s="1">
        <v>2.8719999999999999</v>
      </c>
      <c r="Y116" s="1">
        <v>24.765000000000001</v>
      </c>
      <c r="Z116" s="1">
        <v>0.19500000000000001</v>
      </c>
      <c r="AA116" s="1">
        <v>2.1</v>
      </c>
      <c r="AB116" s="1">
        <v>-2.9</v>
      </c>
      <c r="AC116" s="1">
        <v>-2.9</v>
      </c>
      <c r="AD116" s="1">
        <v>2.871</v>
      </c>
      <c r="AE116" s="1">
        <v>8.0000000000000002E-3</v>
      </c>
      <c r="AF116" s="1">
        <v>2.3E-2</v>
      </c>
      <c r="AI116" s="1">
        <v>0</v>
      </c>
      <c r="AJ116" s="1">
        <v>0</v>
      </c>
      <c r="AK116" s="1">
        <v>0</v>
      </c>
      <c r="AL116" s="1">
        <v>1</v>
      </c>
      <c r="AM116" s="1">
        <v>72227</v>
      </c>
      <c r="AN116" s="1">
        <v>28128</v>
      </c>
      <c r="AO116" s="1">
        <v>44099</v>
      </c>
      <c r="AP116" s="1">
        <v>50566</v>
      </c>
      <c r="AQ116" s="1">
        <v>12.478949660479341</v>
      </c>
    </row>
    <row r="117" spans="1:43" x14ac:dyDescent="0.45">
      <c r="A117" s="1">
        <v>116</v>
      </c>
      <c r="B117" s="1">
        <v>128</v>
      </c>
      <c r="C117" s="1">
        <v>88</v>
      </c>
      <c r="D117" s="1" t="s">
        <v>115</v>
      </c>
      <c r="E117" s="1" t="s">
        <v>116</v>
      </c>
      <c r="F117" s="1" t="s">
        <v>117</v>
      </c>
      <c r="G117" s="1" t="s">
        <v>54</v>
      </c>
      <c r="H117" s="1" t="s">
        <v>47</v>
      </c>
      <c r="I117" s="1">
        <v>830</v>
      </c>
      <c r="J117" s="1">
        <v>39746</v>
      </c>
      <c r="K117" s="1">
        <v>1</v>
      </c>
      <c r="L117" s="1">
        <v>87</v>
      </c>
      <c r="M117" s="1">
        <v>1907</v>
      </c>
      <c r="N117" s="1" t="s">
        <v>48</v>
      </c>
      <c r="O117" s="1">
        <v>195208</v>
      </c>
      <c r="P117" s="1">
        <v>93</v>
      </c>
      <c r="Q117" s="1" t="s">
        <v>111</v>
      </c>
      <c r="R117" s="1" t="s">
        <v>50</v>
      </c>
      <c r="S117" s="1">
        <v>0</v>
      </c>
      <c r="T117" s="1">
        <v>0</v>
      </c>
      <c r="U117" s="1">
        <v>264.02999999999997</v>
      </c>
      <c r="V117" s="1">
        <v>22.882999999999999</v>
      </c>
      <c r="W117" s="1">
        <v>1.29</v>
      </c>
      <c r="X117" s="1">
        <v>1.8819999999999999</v>
      </c>
      <c r="Y117" s="1">
        <v>24.765000000000001</v>
      </c>
      <c r="Z117" s="1">
        <v>0.22900000000000001</v>
      </c>
      <c r="AA117" s="1">
        <v>2</v>
      </c>
      <c r="AB117" s="1">
        <v>2.1</v>
      </c>
      <c r="AC117" s="1">
        <v>2.5</v>
      </c>
      <c r="AD117" s="1">
        <v>1.8819999999999999</v>
      </c>
      <c r="AE117" s="1">
        <v>2E-3</v>
      </c>
      <c r="AF117" s="1">
        <v>7.0000000000000001E-3</v>
      </c>
      <c r="AI117" s="1">
        <v>0</v>
      </c>
      <c r="AJ117" s="1">
        <v>0</v>
      </c>
      <c r="AK117" s="1">
        <v>0</v>
      </c>
      <c r="AL117" s="1">
        <v>1</v>
      </c>
      <c r="AM117" s="1">
        <v>64821</v>
      </c>
      <c r="AN117" s="1">
        <v>18900</v>
      </c>
      <c r="AO117" s="1">
        <v>45921</v>
      </c>
      <c r="AP117" s="1">
        <v>50621</v>
      </c>
      <c r="AQ117" s="1">
        <v>31.230541444332388</v>
      </c>
    </row>
    <row r="118" spans="1:43" x14ac:dyDescent="0.45">
      <c r="A118" s="1">
        <v>117</v>
      </c>
      <c r="B118" s="1">
        <v>128</v>
      </c>
      <c r="C118" s="1">
        <v>88</v>
      </c>
      <c r="D118" s="1" t="s">
        <v>115</v>
      </c>
      <c r="E118" s="1" t="s">
        <v>116</v>
      </c>
      <c r="F118" s="1" t="s">
        <v>117</v>
      </c>
      <c r="G118" s="1" t="s">
        <v>54</v>
      </c>
      <c r="H118" s="1" t="s">
        <v>47</v>
      </c>
      <c r="I118" s="1">
        <v>830</v>
      </c>
      <c r="J118" s="1">
        <v>39746</v>
      </c>
      <c r="K118" s="1">
        <v>1</v>
      </c>
      <c r="L118" s="1">
        <v>87</v>
      </c>
      <c r="M118" s="1">
        <v>1908</v>
      </c>
      <c r="N118" s="1" t="s">
        <v>48</v>
      </c>
      <c r="O118" s="1">
        <v>195209</v>
      </c>
      <c r="P118" s="1">
        <v>93</v>
      </c>
      <c r="Q118" s="1" t="s">
        <v>111</v>
      </c>
      <c r="R118" s="1" t="s">
        <v>50</v>
      </c>
      <c r="S118" s="1">
        <v>0</v>
      </c>
      <c r="T118" s="1">
        <v>0</v>
      </c>
      <c r="U118" s="1">
        <v>245.447</v>
      </c>
      <c r="V118" s="1">
        <v>22.640999999999998</v>
      </c>
      <c r="W118" s="1">
        <v>1.32</v>
      </c>
      <c r="X118" s="1">
        <v>2.125</v>
      </c>
      <c r="Y118" s="1">
        <v>24.765000000000001</v>
      </c>
      <c r="Z118" s="1">
        <v>0.22500000000000001</v>
      </c>
      <c r="AA118" s="1">
        <v>2.2999999999999998</v>
      </c>
      <c r="AB118" s="1">
        <v>2.2999999999999998</v>
      </c>
      <c r="AC118" s="1">
        <v>2.5</v>
      </c>
      <c r="AD118" s="1">
        <v>2.1240000000000001</v>
      </c>
      <c r="AE118" s="1">
        <v>2E-3</v>
      </c>
      <c r="AF118" s="1">
        <v>3.5000000000000003E-2</v>
      </c>
      <c r="AI118" s="1">
        <v>0</v>
      </c>
      <c r="AJ118" s="1">
        <v>0</v>
      </c>
      <c r="AK118" s="1">
        <v>0</v>
      </c>
      <c r="AL118" s="1">
        <v>1</v>
      </c>
      <c r="AM118" s="1">
        <v>66479</v>
      </c>
      <c r="AN118" s="1">
        <v>21073</v>
      </c>
      <c r="AO118" s="1">
        <v>45405</v>
      </c>
      <c r="AP118" s="1">
        <v>50647</v>
      </c>
      <c r="AQ118" s="1">
        <v>2.9340896201097939</v>
      </c>
    </row>
    <row r="119" spans="1:43" x14ac:dyDescent="0.45">
      <c r="A119" s="1">
        <v>118</v>
      </c>
      <c r="B119" s="1">
        <v>128</v>
      </c>
      <c r="C119" s="1">
        <v>88</v>
      </c>
      <c r="D119" s="1" t="s">
        <v>115</v>
      </c>
      <c r="E119" s="1" t="s">
        <v>116</v>
      </c>
      <c r="F119" s="1" t="s">
        <v>117</v>
      </c>
      <c r="G119" s="1" t="s">
        <v>54</v>
      </c>
      <c r="H119" s="1" t="s">
        <v>47</v>
      </c>
      <c r="I119" s="1">
        <v>830</v>
      </c>
      <c r="J119" s="1">
        <v>39746</v>
      </c>
      <c r="K119" s="1">
        <v>1</v>
      </c>
      <c r="L119" s="1">
        <v>87</v>
      </c>
      <c r="M119" s="1">
        <v>1910</v>
      </c>
      <c r="N119" s="1" t="s">
        <v>48</v>
      </c>
      <c r="O119" s="1">
        <v>195258</v>
      </c>
      <c r="P119" s="1">
        <v>93</v>
      </c>
      <c r="Q119" s="1" t="s">
        <v>111</v>
      </c>
      <c r="R119" s="1" t="s">
        <v>50</v>
      </c>
      <c r="S119" s="1">
        <v>0</v>
      </c>
      <c r="T119" s="1">
        <v>0</v>
      </c>
      <c r="U119" s="1">
        <v>78.058999999999997</v>
      </c>
      <c r="V119" s="1">
        <v>21.181000000000001</v>
      </c>
      <c r="W119" s="1">
        <v>1.55</v>
      </c>
      <c r="X119" s="1">
        <v>3.585</v>
      </c>
      <c r="Y119" s="1">
        <v>24.765999999999998</v>
      </c>
      <c r="Z119" s="1">
        <v>9.1999999999999998E-2</v>
      </c>
      <c r="AA119" s="1">
        <v>2.1</v>
      </c>
      <c r="AB119" s="1">
        <v>2</v>
      </c>
      <c r="AC119" s="1">
        <v>2</v>
      </c>
      <c r="AD119" s="1">
        <v>3.5840000000000001</v>
      </c>
      <c r="AE119" s="1">
        <v>1.2E-2</v>
      </c>
      <c r="AF119" s="1">
        <v>4.9000000000000002E-2</v>
      </c>
      <c r="AG119" s="1">
        <v>2.1</v>
      </c>
      <c r="AI119" s="1">
        <v>0</v>
      </c>
      <c r="AJ119" s="1">
        <v>0</v>
      </c>
      <c r="AK119" s="1">
        <v>0</v>
      </c>
      <c r="AL119" s="1">
        <v>1</v>
      </c>
      <c r="AM119" s="1">
        <v>75978</v>
      </c>
      <c r="AN119" s="1">
        <v>39774</v>
      </c>
      <c r="AO119" s="1">
        <v>36205</v>
      </c>
      <c r="AP119" s="1">
        <v>50634</v>
      </c>
      <c r="AQ119" s="1">
        <v>15.472366591781739</v>
      </c>
    </row>
    <row r="120" spans="1:43" x14ac:dyDescent="0.45">
      <c r="A120" s="1">
        <v>119</v>
      </c>
      <c r="B120" s="1">
        <v>128</v>
      </c>
      <c r="C120" s="1">
        <v>88</v>
      </c>
      <c r="D120" s="1" t="s">
        <v>115</v>
      </c>
      <c r="E120" s="1" t="s">
        <v>116</v>
      </c>
      <c r="F120" s="1" t="s">
        <v>117</v>
      </c>
      <c r="G120" s="1" t="s">
        <v>54</v>
      </c>
      <c r="H120" s="1" t="s">
        <v>47</v>
      </c>
      <c r="I120" s="1">
        <v>830</v>
      </c>
      <c r="J120" s="1">
        <v>39746</v>
      </c>
      <c r="K120" s="1">
        <v>1</v>
      </c>
      <c r="L120" s="1">
        <v>87</v>
      </c>
      <c r="M120" s="1">
        <v>1913</v>
      </c>
      <c r="N120" s="1" t="s">
        <v>48</v>
      </c>
      <c r="O120" s="1">
        <v>195261</v>
      </c>
      <c r="P120" s="1">
        <v>93</v>
      </c>
      <c r="Q120" s="1" t="s">
        <v>111</v>
      </c>
      <c r="R120" s="1" t="s">
        <v>50</v>
      </c>
      <c r="S120" s="1">
        <v>0</v>
      </c>
      <c r="T120" s="1">
        <v>0</v>
      </c>
      <c r="U120" s="1">
        <v>153.06899999999999</v>
      </c>
      <c r="V120" s="1">
        <v>21.137</v>
      </c>
      <c r="W120" s="1">
        <v>1.56</v>
      </c>
      <c r="X120" s="1">
        <v>3.6280000000000001</v>
      </c>
      <c r="Y120" s="1">
        <v>24.765999999999998</v>
      </c>
      <c r="Z120" s="1">
        <v>0.106</v>
      </c>
      <c r="AA120" s="1">
        <v>2.4</v>
      </c>
      <c r="AB120" s="1">
        <v>2</v>
      </c>
      <c r="AC120" s="1">
        <v>2</v>
      </c>
      <c r="AD120" s="1">
        <v>3.6280000000000001</v>
      </c>
      <c r="AE120" s="1">
        <v>1.0999999999999999E-2</v>
      </c>
      <c r="AF120" s="1">
        <v>0.05</v>
      </c>
      <c r="AG120" s="1">
        <v>2.4</v>
      </c>
      <c r="AI120" s="1">
        <v>0</v>
      </c>
      <c r="AJ120" s="1">
        <v>0</v>
      </c>
      <c r="AK120" s="1">
        <v>0</v>
      </c>
      <c r="AL120" s="1">
        <v>1</v>
      </c>
      <c r="AM120" s="1">
        <v>76432</v>
      </c>
      <c r="AN120" s="1">
        <v>47270</v>
      </c>
      <c r="AO120" s="1">
        <v>29162</v>
      </c>
      <c r="AP120" s="1">
        <v>50606</v>
      </c>
      <c r="AQ120" s="1">
        <v>15.89005224095512</v>
      </c>
    </row>
    <row r="121" spans="1:43" x14ac:dyDescent="0.45">
      <c r="A121" s="1">
        <v>120</v>
      </c>
      <c r="B121" s="1">
        <v>128</v>
      </c>
      <c r="C121" s="1">
        <v>88</v>
      </c>
      <c r="D121" s="1" t="s">
        <v>115</v>
      </c>
      <c r="E121" s="1" t="s">
        <v>116</v>
      </c>
      <c r="F121" s="1" t="s">
        <v>117</v>
      </c>
      <c r="G121" s="1" t="s">
        <v>54</v>
      </c>
      <c r="H121" s="1" t="s">
        <v>47</v>
      </c>
      <c r="I121" s="1">
        <v>830</v>
      </c>
      <c r="J121" s="1">
        <v>39746</v>
      </c>
      <c r="K121" s="1">
        <v>1</v>
      </c>
      <c r="L121" s="1">
        <v>87</v>
      </c>
      <c r="M121" s="1">
        <v>1914</v>
      </c>
      <c r="N121" s="1" t="s">
        <v>48</v>
      </c>
      <c r="O121" s="1">
        <v>195262</v>
      </c>
      <c r="P121" s="1">
        <v>93</v>
      </c>
      <c r="Q121" s="1" t="s">
        <v>111</v>
      </c>
      <c r="R121" s="1" t="s">
        <v>50</v>
      </c>
      <c r="S121" s="1">
        <v>0</v>
      </c>
      <c r="T121" s="1">
        <v>0</v>
      </c>
      <c r="U121" s="1">
        <v>125.68300000000001</v>
      </c>
      <c r="V121" s="1">
        <v>21.154</v>
      </c>
      <c r="W121" s="1">
        <v>1.55</v>
      </c>
      <c r="X121" s="1">
        <v>3.6120000000000001</v>
      </c>
      <c r="Y121" s="1">
        <v>24.765000000000001</v>
      </c>
      <c r="Z121" s="1">
        <v>0.129</v>
      </c>
      <c r="AA121" s="1">
        <v>2.4</v>
      </c>
      <c r="AB121" s="1">
        <v>2</v>
      </c>
      <c r="AC121" s="1">
        <v>2</v>
      </c>
      <c r="AD121" s="1">
        <v>3.6110000000000002</v>
      </c>
      <c r="AE121" s="1">
        <v>0.01</v>
      </c>
      <c r="AF121" s="1">
        <v>5.1999999999999998E-2</v>
      </c>
      <c r="AG121" s="1">
        <v>2.4</v>
      </c>
      <c r="AI121" s="1">
        <v>0</v>
      </c>
      <c r="AJ121" s="1">
        <v>0</v>
      </c>
      <c r="AK121" s="1">
        <v>0</v>
      </c>
      <c r="AL121" s="1">
        <v>1</v>
      </c>
      <c r="AM121" s="1">
        <v>76187</v>
      </c>
      <c r="AN121" s="1">
        <v>43507</v>
      </c>
      <c r="AO121" s="1">
        <v>32681</v>
      </c>
      <c r="AP121" s="1">
        <v>50614</v>
      </c>
      <c r="AQ121" s="1">
        <v>1.520562052601047</v>
      </c>
    </row>
    <row r="122" spans="1:43" x14ac:dyDescent="0.45">
      <c r="A122" s="1">
        <v>121</v>
      </c>
      <c r="B122" s="1">
        <v>128</v>
      </c>
      <c r="C122" s="1">
        <v>88</v>
      </c>
      <c r="D122" s="1" t="s">
        <v>115</v>
      </c>
      <c r="E122" s="1" t="s">
        <v>116</v>
      </c>
      <c r="F122" s="1" t="s">
        <v>117</v>
      </c>
      <c r="G122" s="1" t="s">
        <v>54</v>
      </c>
      <c r="H122" s="1" t="s">
        <v>47</v>
      </c>
      <c r="I122" s="1">
        <v>830</v>
      </c>
      <c r="J122" s="1">
        <v>39746</v>
      </c>
      <c r="K122" s="1">
        <v>1</v>
      </c>
      <c r="L122" s="1">
        <v>87</v>
      </c>
      <c r="M122" s="1">
        <v>1920</v>
      </c>
      <c r="N122" s="1" t="s">
        <v>48</v>
      </c>
      <c r="O122" s="1">
        <v>195270</v>
      </c>
      <c r="P122" s="1">
        <v>93</v>
      </c>
      <c r="Q122" s="1" t="s">
        <v>111</v>
      </c>
      <c r="R122" s="1" t="s">
        <v>50</v>
      </c>
      <c r="S122" s="1">
        <v>0</v>
      </c>
      <c r="T122" s="1">
        <v>0</v>
      </c>
      <c r="U122" s="1">
        <v>69.132000000000005</v>
      </c>
      <c r="V122" s="1">
        <v>21.013999999999999</v>
      </c>
      <c r="W122" s="1">
        <v>1.58</v>
      </c>
      <c r="X122" s="1">
        <v>3.7509999999999999</v>
      </c>
      <c r="Y122" s="1">
        <v>24.765000000000001</v>
      </c>
      <c r="Z122" s="1">
        <v>8.2000000000000003E-2</v>
      </c>
      <c r="AA122" s="1">
        <v>1.8</v>
      </c>
      <c r="AB122" s="1">
        <v>1.9</v>
      </c>
      <c r="AC122" s="1">
        <v>1.9</v>
      </c>
      <c r="AD122" s="1">
        <v>3.75</v>
      </c>
      <c r="AE122" s="1">
        <v>1.4E-2</v>
      </c>
      <c r="AF122" s="1">
        <v>6.2E-2</v>
      </c>
      <c r="AG122" s="1">
        <v>1.8</v>
      </c>
      <c r="AI122" s="1">
        <v>0</v>
      </c>
      <c r="AJ122" s="1">
        <v>0</v>
      </c>
      <c r="AK122" s="1">
        <v>0</v>
      </c>
      <c r="AL122" s="1">
        <v>1</v>
      </c>
      <c r="AM122" s="1">
        <v>86400</v>
      </c>
      <c r="AN122" s="1">
        <v>73964</v>
      </c>
      <c r="AO122" s="1">
        <v>12436</v>
      </c>
      <c r="AP122" s="1">
        <v>50569</v>
      </c>
      <c r="AQ122" s="1">
        <v>1.392836945343001</v>
      </c>
    </row>
    <row r="123" spans="1:43" x14ac:dyDescent="0.45">
      <c r="A123" s="1">
        <v>122</v>
      </c>
      <c r="B123" s="1">
        <v>128</v>
      </c>
      <c r="C123" s="1">
        <v>88</v>
      </c>
      <c r="D123" s="1" t="s">
        <v>115</v>
      </c>
      <c r="E123" s="1" t="s">
        <v>116</v>
      </c>
      <c r="F123" s="1" t="s">
        <v>117</v>
      </c>
      <c r="G123" s="1" t="s">
        <v>54</v>
      </c>
      <c r="H123" s="1" t="s">
        <v>47</v>
      </c>
      <c r="I123" s="1">
        <v>830</v>
      </c>
      <c r="J123" s="1">
        <v>39746</v>
      </c>
      <c r="K123" s="1">
        <v>1</v>
      </c>
      <c r="L123" s="1">
        <v>87</v>
      </c>
      <c r="M123" s="1">
        <v>1921</v>
      </c>
      <c r="N123" s="1" t="s">
        <v>48</v>
      </c>
      <c r="O123" s="1">
        <v>195271</v>
      </c>
      <c r="P123" s="1">
        <v>93</v>
      </c>
      <c r="Q123" s="1" t="s">
        <v>111</v>
      </c>
      <c r="R123" s="1" t="s">
        <v>50</v>
      </c>
      <c r="S123" s="1">
        <v>0</v>
      </c>
      <c r="T123" s="1">
        <v>0</v>
      </c>
      <c r="U123" s="1">
        <v>153.398</v>
      </c>
      <c r="V123" s="1">
        <v>20.052</v>
      </c>
      <c r="W123" s="1">
        <v>1.72</v>
      </c>
      <c r="X123" s="1">
        <v>4.7130000000000001</v>
      </c>
      <c r="Y123" s="1">
        <v>24.765000000000001</v>
      </c>
      <c r="Z123" s="1">
        <v>5.6000000000000001E-2</v>
      </c>
      <c r="AA123" s="1">
        <v>0.8</v>
      </c>
      <c r="AB123" s="1">
        <v>2.6</v>
      </c>
      <c r="AC123" s="1">
        <v>2.5</v>
      </c>
      <c r="AD123" s="1">
        <v>4.7119999999999997</v>
      </c>
      <c r="AE123" s="1">
        <v>1.2E-2</v>
      </c>
      <c r="AF123" s="1">
        <v>7.3999999999999996E-2</v>
      </c>
      <c r="AI123" s="1">
        <v>0</v>
      </c>
      <c r="AJ123" s="1">
        <v>0</v>
      </c>
      <c r="AK123" s="1">
        <v>0</v>
      </c>
      <c r="AL123" s="1">
        <v>1</v>
      </c>
      <c r="AM123" s="1">
        <v>86400</v>
      </c>
      <c r="AN123" s="1">
        <v>80220</v>
      </c>
      <c r="AO123" s="1">
        <v>6180</v>
      </c>
      <c r="AP123" s="1">
        <v>50656</v>
      </c>
      <c r="AQ123" s="1">
        <v>1.848400219853761</v>
      </c>
    </row>
    <row r="124" spans="1:43" x14ac:dyDescent="0.45">
      <c r="A124" s="1">
        <v>123</v>
      </c>
      <c r="B124" s="1">
        <v>128</v>
      </c>
      <c r="C124" s="1">
        <v>88</v>
      </c>
      <c r="D124" s="1" t="s">
        <v>115</v>
      </c>
      <c r="E124" s="1" t="s">
        <v>116</v>
      </c>
      <c r="F124" s="1" t="s">
        <v>117</v>
      </c>
      <c r="G124" s="1" t="s">
        <v>54</v>
      </c>
      <c r="H124" s="1" t="s">
        <v>47</v>
      </c>
      <c r="I124" s="1">
        <v>830</v>
      </c>
      <c r="J124" s="1">
        <v>39746</v>
      </c>
      <c r="K124" s="1">
        <v>1</v>
      </c>
      <c r="L124" s="1">
        <v>87</v>
      </c>
      <c r="M124" s="1">
        <v>1922</v>
      </c>
      <c r="N124" s="1" t="s">
        <v>48</v>
      </c>
      <c r="O124" s="1">
        <v>195272</v>
      </c>
      <c r="P124" s="1">
        <v>93</v>
      </c>
      <c r="Q124" s="1" t="s">
        <v>111</v>
      </c>
      <c r="R124" s="1" t="s">
        <v>50</v>
      </c>
      <c r="S124" s="1">
        <v>0</v>
      </c>
      <c r="T124" s="1">
        <v>0</v>
      </c>
      <c r="U124" s="1">
        <v>122.854</v>
      </c>
      <c r="V124" s="1">
        <v>20.367000000000001</v>
      </c>
      <c r="W124" s="1">
        <v>1.67</v>
      </c>
      <c r="X124" s="1">
        <v>4.3979999999999997</v>
      </c>
      <c r="Y124" s="1">
        <v>24.765000000000001</v>
      </c>
      <c r="Z124" s="1">
        <v>0.04</v>
      </c>
      <c r="AA124" s="1">
        <v>0.1</v>
      </c>
      <c r="AB124" s="1">
        <v>2.2000000000000002</v>
      </c>
      <c r="AC124" s="1">
        <v>2</v>
      </c>
      <c r="AD124" s="1">
        <v>4.3970000000000002</v>
      </c>
      <c r="AE124" s="1">
        <v>5.0000000000000001E-3</v>
      </c>
      <c r="AF124" s="1">
        <v>3.7999999999999999E-2</v>
      </c>
      <c r="AI124" s="1">
        <v>0</v>
      </c>
      <c r="AJ124" s="1">
        <v>0</v>
      </c>
      <c r="AK124" s="1">
        <v>0</v>
      </c>
      <c r="AL124" s="1">
        <v>1</v>
      </c>
      <c r="AM124" s="1">
        <v>86400</v>
      </c>
      <c r="AN124" s="1">
        <v>78344</v>
      </c>
      <c r="AO124" s="1">
        <v>8056</v>
      </c>
      <c r="AP124" s="1">
        <v>50633</v>
      </c>
      <c r="AQ124" s="1">
        <v>15.112516080123729</v>
      </c>
    </row>
    <row r="125" spans="1:43" x14ac:dyDescent="0.45">
      <c r="A125" s="1">
        <v>124</v>
      </c>
      <c r="B125" s="1">
        <v>128</v>
      </c>
      <c r="C125" s="1">
        <v>88</v>
      </c>
      <c r="D125" s="1" t="s">
        <v>115</v>
      </c>
      <c r="E125" s="1" t="s">
        <v>116</v>
      </c>
      <c r="F125" s="1" t="s">
        <v>117</v>
      </c>
      <c r="G125" s="1" t="s">
        <v>54</v>
      </c>
      <c r="H125" s="1" t="s">
        <v>47</v>
      </c>
      <c r="I125" s="1">
        <v>830</v>
      </c>
      <c r="J125" s="1">
        <v>39746</v>
      </c>
      <c r="K125" s="1">
        <v>1</v>
      </c>
      <c r="L125" s="1">
        <v>87</v>
      </c>
      <c r="M125" s="1">
        <v>1923</v>
      </c>
      <c r="N125" s="1" t="s">
        <v>48</v>
      </c>
      <c r="O125" s="1">
        <v>195273</v>
      </c>
      <c r="P125" s="1">
        <v>93</v>
      </c>
      <c r="Q125" s="1" t="s">
        <v>111</v>
      </c>
      <c r="R125" s="1" t="s">
        <v>50</v>
      </c>
      <c r="S125" s="1">
        <v>0</v>
      </c>
      <c r="T125" s="1">
        <v>0</v>
      </c>
      <c r="U125" s="1">
        <v>85.891000000000005</v>
      </c>
      <c r="V125" s="1">
        <v>19.951000000000001</v>
      </c>
      <c r="W125" s="1">
        <v>1.75</v>
      </c>
      <c r="X125" s="1">
        <v>4.8150000000000004</v>
      </c>
      <c r="Y125" s="1">
        <v>24.765999999999998</v>
      </c>
      <c r="Z125" s="1">
        <v>0.20599999999999999</v>
      </c>
      <c r="AA125" s="1">
        <v>0.4</v>
      </c>
      <c r="AB125" s="1">
        <v>0.4</v>
      </c>
      <c r="AC125" s="1">
        <v>0.5</v>
      </c>
      <c r="AD125" s="1">
        <v>4.8140000000000001</v>
      </c>
      <c r="AE125" s="1">
        <v>4.2999999999999997E-2</v>
      </c>
      <c r="AF125" s="1">
        <v>0.28000000000000003</v>
      </c>
      <c r="AG125" s="1">
        <v>0.4</v>
      </c>
      <c r="AI125" s="1">
        <v>0</v>
      </c>
      <c r="AJ125" s="1">
        <v>0</v>
      </c>
      <c r="AK125" s="1">
        <v>0</v>
      </c>
      <c r="AL125" s="1">
        <v>1</v>
      </c>
      <c r="AM125" s="1">
        <v>86400</v>
      </c>
      <c r="AN125" s="1">
        <v>80938</v>
      </c>
      <c r="AO125" s="1">
        <v>5462</v>
      </c>
      <c r="AP125" s="1">
        <v>50633</v>
      </c>
      <c r="AQ125" s="1">
        <v>1.1430980625257849</v>
      </c>
    </row>
    <row r="126" spans="1:43" x14ac:dyDescent="0.45">
      <c r="A126" s="1">
        <v>125</v>
      </c>
      <c r="B126" s="1">
        <v>128</v>
      </c>
      <c r="C126" s="1">
        <v>88</v>
      </c>
      <c r="D126" s="1" t="s">
        <v>115</v>
      </c>
      <c r="E126" s="1" t="s">
        <v>116</v>
      </c>
      <c r="F126" s="1" t="s">
        <v>117</v>
      </c>
      <c r="G126" s="1" t="s">
        <v>54</v>
      </c>
      <c r="H126" s="1" t="s">
        <v>47</v>
      </c>
      <c r="I126" s="1">
        <v>830</v>
      </c>
      <c r="J126" s="1">
        <v>39746</v>
      </c>
      <c r="K126" s="1">
        <v>1</v>
      </c>
      <c r="L126" s="1">
        <v>87</v>
      </c>
      <c r="M126" s="1">
        <v>1936</v>
      </c>
      <c r="N126" s="1" t="s">
        <v>48</v>
      </c>
      <c r="O126" s="1">
        <v>195302</v>
      </c>
      <c r="P126" s="1">
        <v>93</v>
      </c>
      <c r="Q126" s="1" t="s">
        <v>111</v>
      </c>
      <c r="R126" s="1" t="s">
        <v>50</v>
      </c>
      <c r="S126" s="1">
        <v>0</v>
      </c>
      <c r="T126" s="1">
        <v>0</v>
      </c>
      <c r="U126" s="1">
        <v>78.664000000000001</v>
      </c>
      <c r="V126" s="1">
        <v>21.154</v>
      </c>
      <c r="W126" s="1">
        <v>1.55</v>
      </c>
      <c r="X126" s="1">
        <v>3.6110000000000002</v>
      </c>
      <c r="Y126" s="1">
        <v>24.765000000000001</v>
      </c>
      <c r="Z126" s="1">
        <v>0.23699999999999999</v>
      </c>
      <c r="AA126" s="1">
        <v>2.6</v>
      </c>
      <c r="AB126" s="1">
        <v>2</v>
      </c>
      <c r="AC126" s="1">
        <v>2</v>
      </c>
      <c r="AD126" s="1">
        <v>3.6110000000000002</v>
      </c>
      <c r="AE126" s="1">
        <v>8.9999999999999993E-3</v>
      </c>
      <c r="AF126" s="1">
        <v>5.1999999999999998E-2</v>
      </c>
      <c r="AG126" s="1">
        <v>2.6</v>
      </c>
      <c r="AI126" s="1">
        <v>0</v>
      </c>
      <c r="AJ126" s="1">
        <v>0</v>
      </c>
      <c r="AK126" s="1">
        <v>0</v>
      </c>
      <c r="AL126" s="1">
        <v>1</v>
      </c>
      <c r="AM126" s="1">
        <v>76269</v>
      </c>
      <c r="AN126" s="1">
        <v>46419</v>
      </c>
      <c r="AO126" s="1">
        <v>29850</v>
      </c>
      <c r="AP126" s="1">
        <v>50624</v>
      </c>
      <c r="AQ126" s="1">
        <v>1.1310608105362661</v>
      </c>
    </row>
    <row r="127" spans="1:43" x14ac:dyDescent="0.45">
      <c r="A127" s="1">
        <v>126</v>
      </c>
      <c r="B127" s="1">
        <v>128</v>
      </c>
      <c r="C127" s="1">
        <v>88</v>
      </c>
      <c r="D127" s="1" t="s">
        <v>115</v>
      </c>
      <c r="E127" s="1" t="s">
        <v>116</v>
      </c>
      <c r="F127" s="1" t="s">
        <v>117</v>
      </c>
      <c r="G127" s="1" t="s">
        <v>54</v>
      </c>
      <c r="H127" s="1" t="s">
        <v>47</v>
      </c>
      <c r="I127" s="1">
        <v>830</v>
      </c>
      <c r="J127" s="1">
        <v>39746</v>
      </c>
      <c r="K127" s="1">
        <v>1</v>
      </c>
      <c r="L127" s="1">
        <v>87</v>
      </c>
      <c r="M127" s="1">
        <v>1937</v>
      </c>
      <c r="N127" s="1" t="s">
        <v>48</v>
      </c>
      <c r="O127" s="1">
        <v>195303</v>
      </c>
      <c r="P127" s="1">
        <v>93</v>
      </c>
      <c r="Q127" s="1" t="s">
        <v>111</v>
      </c>
      <c r="R127" s="1" t="s">
        <v>50</v>
      </c>
      <c r="S127" s="1">
        <v>0</v>
      </c>
      <c r="T127" s="1">
        <v>0</v>
      </c>
      <c r="U127" s="1">
        <v>59.354999999999997</v>
      </c>
      <c r="V127" s="1">
        <v>21.082000000000001</v>
      </c>
      <c r="W127" s="1">
        <v>1.56</v>
      </c>
      <c r="X127" s="1">
        <v>3.6829999999999998</v>
      </c>
      <c r="Y127" s="1">
        <v>24.765000000000001</v>
      </c>
      <c r="Z127" s="1">
        <v>8.5999999999999993E-2</v>
      </c>
      <c r="AA127" s="1">
        <v>1.8</v>
      </c>
      <c r="AB127" s="1">
        <v>1.4</v>
      </c>
      <c r="AC127" s="1">
        <v>1.5</v>
      </c>
      <c r="AD127" s="1">
        <v>3.6829999999999998</v>
      </c>
      <c r="AE127" s="1">
        <v>8.0000000000000002E-3</v>
      </c>
      <c r="AF127" s="1">
        <v>4.8000000000000001E-2</v>
      </c>
      <c r="AG127" s="1">
        <v>1.8</v>
      </c>
      <c r="AI127" s="1">
        <v>0</v>
      </c>
      <c r="AJ127" s="1">
        <v>0</v>
      </c>
      <c r="AK127" s="1">
        <v>0</v>
      </c>
      <c r="AL127" s="1">
        <v>1</v>
      </c>
      <c r="AM127" s="1">
        <v>86400</v>
      </c>
      <c r="AN127" s="1">
        <v>80946</v>
      </c>
      <c r="AO127" s="1">
        <v>5454</v>
      </c>
      <c r="AP127" s="1">
        <v>50623</v>
      </c>
      <c r="AQ127" s="1">
        <v>0.78619780940348905</v>
      </c>
    </row>
    <row r="128" spans="1:43" x14ac:dyDescent="0.45">
      <c r="A128" s="1">
        <v>127</v>
      </c>
      <c r="B128" s="1">
        <v>128</v>
      </c>
      <c r="C128" s="1">
        <v>88</v>
      </c>
      <c r="D128" s="1" t="s">
        <v>115</v>
      </c>
      <c r="E128" s="1" t="s">
        <v>116</v>
      </c>
      <c r="F128" s="1" t="s">
        <v>117</v>
      </c>
      <c r="G128" s="1" t="s">
        <v>54</v>
      </c>
      <c r="H128" s="1" t="s">
        <v>47</v>
      </c>
      <c r="I128" s="1">
        <v>830</v>
      </c>
      <c r="J128" s="1">
        <v>39746</v>
      </c>
      <c r="K128" s="1">
        <v>1</v>
      </c>
      <c r="L128" s="1">
        <v>87</v>
      </c>
      <c r="M128" s="1">
        <v>1938</v>
      </c>
      <c r="N128" s="1" t="s">
        <v>48</v>
      </c>
      <c r="O128" s="1">
        <v>195304</v>
      </c>
      <c r="P128" s="1">
        <v>93</v>
      </c>
      <c r="Q128" s="1" t="s">
        <v>111</v>
      </c>
      <c r="R128" s="1" t="s">
        <v>50</v>
      </c>
      <c r="S128" s="1">
        <v>0</v>
      </c>
      <c r="T128" s="1">
        <v>0</v>
      </c>
      <c r="U128" s="1">
        <v>185.06</v>
      </c>
      <c r="V128" s="1">
        <v>21.213999999999999</v>
      </c>
      <c r="W128" s="1">
        <v>1.54</v>
      </c>
      <c r="X128" s="1">
        <v>3.552</v>
      </c>
      <c r="Y128" s="1">
        <v>24.765000000000001</v>
      </c>
      <c r="Z128" s="1">
        <v>0.13900000000000001</v>
      </c>
      <c r="AA128" s="1">
        <v>2.2999999999999998</v>
      </c>
      <c r="AB128" s="1">
        <v>2.1</v>
      </c>
      <c r="AC128" s="1">
        <v>2.1</v>
      </c>
      <c r="AD128" s="1">
        <v>3.552</v>
      </c>
      <c r="AE128" s="1">
        <v>0.01</v>
      </c>
      <c r="AF128" s="1">
        <v>5.0999999999999997E-2</v>
      </c>
      <c r="AG128" s="1">
        <v>2.2999999999999998</v>
      </c>
      <c r="AI128" s="1">
        <v>0</v>
      </c>
      <c r="AJ128" s="1">
        <v>0</v>
      </c>
      <c r="AK128" s="1">
        <v>0</v>
      </c>
      <c r="AL128" s="1">
        <v>1</v>
      </c>
      <c r="AM128" s="1">
        <v>75864</v>
      </c>
      <c r="AN128" s="1">
        <v>38405</v>
      </c>
      <c r="AO128" s="1">
        <v>37459</v>
      </c>
      <c r="AP128" s="1">
        <v>50635</v>
      </c>
      <c r="AQ128" s="1">
        <v>25.54400995282375</v>
      </c>
    </row>
    <row r="129" spans="1:43" x14ac:dyDescent="0.45">
      <c r="A129" s="1">
        <v>128</v>
      </c>
      <c r="B129" s="1">
        <v>128</v>
      </c>
      <c r="C129" s="1">
        <v>88</v>
      </c>
      <c r="D129" s="1" t="s">
        <v>115</v>
      </c>
      <c r="E129" s="1" t="s">
        <v>116</v>
      </c>
      <c r="F129" s="1" t="s">
        <v>117</v>
      </c>
      <c r="G129" s="1" t="s">
        <v>54</v>
      </c>
      <c r="H129" s="1" t="s">
        <v>47</v>
      </c>
      <c r="I129" s="1">
        <v>830</v>
      </c>
      <c r="J129" s="1">
        <v>39746</v>
      </c>
      <c r="K129" s="1">
        <v>1</v>
      </c>
      <c r="L129" s="1">
        <v>87</v>
      </c>
      <c r="M129" s="1">
        <v>1939</v>
      </c>
      <c r="N129" s="1" t="s">
        <v>48</v>
      </c>
      <c r="O129" s="1">
        <v>195308</v>
      </c>
      <c r="P129" s="1">
        <v>93</v>
      </c>
      <c r="Q129" s="1" t="s">
        <v>111</v>
      </c>
      <c r="R129" s="1" t="s">
        <v>50</v>
      </c>
      <c r="S129" s="1">
        <v>0</v>
      </c>
      <c r="T129" s="1">
        <v>0</v>
      </c>
      <c r="U129" s="1">
        <v>95.602999999999994</v>
      </c>
      <c r="V129" s="1">
        <v>21.193000000000001</v>
      </c>
      <c r="W129" s="1">
        <v>1.55</v>
      </c>
      <c r="X129" s="1">
        <v>3.5720000000000001</v>
      </c>
      <c r="Y129" s="1">
        <v>24.765000000000001</v>
      </c>
      <c r="Z129" s="1">
        <v>9.9000000000000005E-2</v>
      </c>
      <c r="AA129" s="1">
        <v>2</v>
      </c>
      <c r="AB129" s="1">
        <v>-1.2</v>
      </c>
      <c r="AC129" s="1">
        <v>-1.2</v>
      </c>
      <c r="AD129" s="1">
        <v>3.5720000000000001</v>
      </c>
      <c r="AE129" s="1">
        <v>5.0000000000000001E-3</v>
      </c>
      <c r="AF129" s="1">
        <v>1.9E-2</v>
      </c>
      <c r="AG129" s="1">
        <v>2</v>
      </c>
      <c r="AI129" s="1">
        <v>0</v>
      </c>
      <c r="AJ129" s="1">
        <v>0</v>
      </c>
      <c r="AK129" s="1">
        <v>0</v>
      </c>
      <c r="AL129" s="1">
        <v>1</v>
      </c>
      <c r="AM129" s="1">
        <v>75961</v>
      </c>
      <c r="AN129" s="1">
        <v>39602</v>
      </c>
      <c r="AO129" s="1">
        <v>36359</v>
      </c>
      <c r="AP129" s="1">
        <v>50611</v>
      </c>
      <c r="AQ129" s="1">
        <v>23.159593782099659</v>
      </c>
    </row>
    <row r="130" spans="1:43" x14ac:dyDescent="0.45">
      <c r="A130" s="1">
        <v>129</v>
      </c>
      <c r="B130" s="1">
        <v>128</v>
      </c>
      <c r="C130" s="1">
        <v>88</v>
      </c>
      <c r="D130" s="1" t="s">
        <v>115</v>
      </c>
      <c r="E130" s="1" t="s">
        <v>116</v>
      </c>
      <c r="F130" s="1" t="s">
        <v>117</v>
      </c>
      <c r="G130" s="1" t="s">
        <v>54</v>
      </c>
      <c r="H130" s="1" t="s">
        <v>47</v>
      </c>
      <c r="I130" s="1">
        <v>830</v>
      </c>
      <c r="J130" s="1">
        <v>39746</v>
      </c>
      <c r="K130" s="1">
        <v>1</v>
      </c>
      <c r="L130" s="1">
        <v>87</v>
      </c>
      <c r="M130" s="1">
        <v>1940</v>
      </c>
      <c r="N130" s="1" t="s">
        <v>48</v>
      </c>
      <c r="O130" s="1">
        <v>195309</v>
      </c>
      <c r="P130" s="1">
        <v>93</v>
      </c>
      <c r="Q130" s="1" t="s">
        <v>111</v>
      </c>
      <c r="R130" s="1" t="s">
        <v>50</v>
      </c>
      <c r="S130" s="1">
        <v>0</v>
      </c>
      <c r="T130" s="1">
        <v>0</v>
      </c>
      <c r="U130" s="1">
        <v>66.171999999999997</v>
      </c>
      <c r="V130" s="1">
        <v>21.103999999999999</v>
      </c>
      <c r="W130" s="1">
        <v>1.56</v>
      </c>
      <c r="X130" s="1">
        <v>3.661</v>
      </c>
      <c r="Y130" s="1">
        <v>24.765000000000001</v>
      </c>
      <c r="Z130" s="1">
        <v>7.2999999999999995E-2</v>
      </c>
      <c r="AA130" s="1">
        <v>2</v>
      </c>
      <c r="AB130" s="1">
        <v>1.3</v>
      </c>
      <c r="AC130" s="1">
        <v>1.4</v>
      </c>
      <c r="AD130" s="1">
        <v>3.661</v>
      </c>
      <c r="AE130" s="1">
        <v>8.0000000000000002E-3</v>
      </c>
      <c r="AF130" s="1">
        <v>4.4999999999999998E-2</v>
      </c>
      <c r="AG130" s="1">
        <v>2</v>
      </c>
      <c r="AI130" s="1">
        <v>0</v>
      </c>
      <c r="AJ130" s="1">
        <v>0</v>
      </c>
      <c r="AK130" s="1">
        <v>0</v>
      </c>
      <c r="AL130" s="1">
        <v>1</v>
      </c>
      <c r="AM130" s="1">
        <v>86400</v>
      </c>
      <c r="AN130" s="1">
        <v>80645</v>
      </c>
      <c r="AO130" s="1">
        <v>5755</v>
      </c>
      <c r="AP130" s="1">
        <v>50595</v>
      </c>
      <c r="AQ130" s="1">
        <v>2.0028434179116399</v>
      </c>
    </row>
    <row r="131" spans="1:43" x14ac:dyDescent="0.45">
      <c r="A131" s="1">
        <v>130</v>
      </c>
      <c r="B131" s="1">
        <v>128</v>
      </c>
      <c r="C131" s="1">
        <v>88</v>
      </c>
      <c r="D131" s="1" t="s">
        <v>115</v>
      </c>
      <c r="E131" s="1" t="s">
        <v>116</v>
      </c>
      <c r="F131" s="1" t="s">
        <v>117</v>
      </c>
      <c r="G131" s="1" t="s">
        <v>54</v>
      </c>
      <c r="H131" s="1" t="s">
        <v>47</v>
      </c>
      <c r="I131" s="1">
        <v>830</v>
      </c>
      <c r="J131" s="1">
        <v>39746</v>
      </c>
      <c r="K131" s="1">
        <v>1</v>
      </c>
      <c r="L131" s="1">
        <v>87</v>
      </c>
      <c r="M131" s="1">
        <v>1945</v>
      </c>
      <c r="N131" s="1" t="s">
        <v>48</v>
      </c>
      <c r="O131" s="1">
        <v>195314</v>
      </c>
      <c r="P131" s="1">
        <v>93</v>
      </c>
      <c r="Q131" s="1" t="s">
        <v>111</v>
      </c>
      <c r="R131" s="1" t="s">
        <v>50</v>
      </c>
      <c r="S131" s="1">
        <v>0</v>
      </c>
      <c r="T131" s="1">
        <v>0</v>
      </c>
      <c r="U131" s="1">
        <v>54.076000000000001</v>
      </c>
      <c r="V131" s="1">
        <v>21.242999999999999</v>
      </c>
      <c r="W131" s="1">
        <v>1.54</v>
      </c>
      <c r="X131" s="1">
        <v>3.5219999999999998</v>
      </c>
      <c r="Y131" s="1">
        <v>24.765000000000001</v>
      </c>
      <c r="Z131" s="1">
        <v>0.122</v>
      </c>
      <c r="AA131" s="1">
        <v>1.9</v>
      </c>
      <c r="AB131" s="1">
        <v>2.7</v>
      </c>
      <c r="AC131" s="1">
        <v>2.7</v>
      </c>
      <c r="AD131" s="1">
        <v>3.5219999999999998</v>
      </c>
      <c r="AE131" s="1">
        <v>8.0000000000000002E-3</v>
      </c>
      <c r="AF131" s="1">
        <v>4.8000000000000001E-2</v>
      </c>
      <c r="AI131" s="1">
        <v>0</v>
      </c>
      <c r="AJ131" s="1">
        <v>0</v>
      </c>
      <c r="AK131" s="1">
        <v>0</v>
      </c>
      <c r="AL131" s="1">
        <v>1</v>
      </c>
      <c r="AM131" s="1">
        <v>75756</v>
      </c>
      <c r="AN131" s="1">
        <v>35617</v>
      </c>
      <c r="AO131" s="1">
        <v>40139</v>
      </c>
      <c r="AP131" s="1">
        <v>50644</v>
      </c>
      <c r="AQ131" s="1">
        <v>2.475593700290871</v>
      </c>
    </row>
    <row r="132" spans="1:43" x14ac:dyDescent="0.45">
      <c r="A132" s="1">
        <v>131</v>
      </c>
      <c r="B132" s="1">
        <v>128</v>
      </c>
      <c r="C132" s="1">
        <v>88</v>
      </c>
      <c r="D132" s="1" t="s">
        <v>115</v>
      </c>
      <c r="E132" s="1" t="s">
        <v>116</v>
      </c>
      <c r="F132" s="1" t="s">
        <v>117</v>
      </c>
      <c r="G132" s="1" t="s">
        <v>54</v>
      </c>
      <c r="H132" s="1" t="s">
        <v>47</v>
      </c>
      <c r="I132" s="1">
        <v>830</v>
      </c>
      <c r="J132" s="1">
        <v>39746</v>
      </c>
      <c r="K132" s="1">
        <v>1</v>
      </c>
      <c r="L132" s="1">
        <v>87</v>
      </c>
      <c r="M132" s="1">
        <v>1946</v>
      </c>
      <c r="N132" s="1" t="s">
        <v>48</v>
      </c>
      <c r="O132" s="1">
        <v>195315</v>
      </c>
      <c r="P132" s="1">
        <v>93</v>
      </c>
      <c r="Q132" s="1" t="s">
        <v>111</v>
      </c>
      <c r="R132" s="1" t="s">
        <v>50</v>
      </c>
      <c r="S132" s="1">
        <v>0</v>
      </c>
      <c r="T132" s="1">
        <v>0</v>
      </c>
      <c r="U132" s="1">
        <v>96.864000000000004</v>
      </c>
      <c r="V132" s="1">
        <v>23.88</v>
      </c>
      <c r="W132" s="1">
        <v>1.1399999999999999</v>
      </c>
      <c r="X132" s="1">
        <v>0.88500000000000001</v>
      </c>
      <c r="Y132" s="1">
        <v>24.765999999999998</v>
      </c>
      <c r="Z132" s="1">
        <v>0.22</v>
      </c>
      <c r="AA132" s="1">
        <v>2.7</v>
      </c>
      <c r="AB132" s="1">
        <v>1.5</v>
      </c>
      <c r="AC132" s="1">
        <v>1.6</v>
      </c>
      <c r="AD132" s="1">
        <v>0.88500000000000001</v>
      </c>
      <c r="AE132" s="1">
        <v>8.0000000000000002E-3</v>
      </c>
      <c r="AF132" s="1">
        <v>5.8999999999999997E-2</v>
      </c>
      <c r="AI132" s="1">
        <v>0</v>
      </c>
      <c r="AJ132" s="1">
        <v>0</v>
      </c>
      <c r="AK132" s="1">
        <v>0</v>
      </c>
      <c r="AL132" s="1">
        <v>1</v>
      </c>
      <c r="AM132" s="1">
        <v>58167</v>
      </c>
      <c r="AN132" s="1">
        <v>9914</v>
      </c>
      <c r="AO132" s="1">
        <v>48254</v>
      </c>
      <c r="AP132" s="1">
        <v>50614</v>
      </c>
      <c r="AQ132" s="1">
        <v>12.865381977203279</v>
      </c>
    </row>
    <row r="133" spans="1:43" x14ac:dyDescent="0.45">
      <c r="A133" s="1">
        <v>132</v>
      </c>
      <c r="B133" s="1">
        <v>128</v>
      </c>
      <c r="C133" s="1">
        <v>88</v>
      </c>
      <c r="D133" s="1" t="s">
        <v>115</v>
      </c>
      <c r="E133" s="1" t="s">
        <v>116</v>
      </c>
      <c r="F133" s="1" t="s">
        <v>117</v>
      </c>
      <c r="G133" s="1" t="s">
        <v>54</v>
      </c>
      <c r="H133" s="1" t="s">
        <v>47</v>
      </c>
      <c r="I133" s="1">
        <v>830</v>
      </c>
      <c r="J133" s="1">
        <v>39746</v>
      </c>
      <c r="K133" s="1">
        <v>1</v>
      </c>
      <c r="L133" s="1">
        <v>87</v>
      </c>
      <c r="M133" s="1">
        <v>1947</v>
      </c>
      <c r="N133" s="1" t="s">
        <v>48</v>
      </c>
      <c r="O133" s="1">
        <v>195316</v>
      </c>
      <c r="P133" s="1">
        <v>93</v>
      </c>
      <c r="Q133" s="1" t="s">
        <v>111</v>
      </c>
      <c r="R133" s="1" t="s">
        <v>50</v>
      </c>
      <c r="S133" s="1">
        <v>0</v>
      </c>
      <c r="T133" s="1">
        <v>0</v>
      </c>
      <c r="U133" s="1">
        <v>75.606999999999999</v>
      </c>
      <c r="V133" s="1">
        <v>22.675999999999998</v>
      </c>
      <c r="W133" s="1">
        <v>1.32</v>
      </c>
      <c r="X133" s="1">
        <v>2.089</v>
      </c>
      <c r="Y133" s="1">
        <v>24.765999999999998</v>
      </c>
      <c r="Z133" s="1">
        <v>0.29699999999999999</v>
      </c>
      <c r="AA133" s="1">
        <v>2.7</v>
      </c>
      <c r="AB133" s="1">
        <v>1.7</v>
      </c>
      <c r="AC133" s="1">
        <v>1.7</v>
      </c>
      <c r="AD133" s="1">
        <v>2.089</v>
      </c>
      <c r="AE133" s="1">
        <v>8.9999999999999993E-3</v>
      </c>
      <c r="AF133" s="1">
        <v>3.5999999999999997E-2</v>
      </c>
      <c r="AI133" s="1">
        <v>0</v>
      </c>
      <c r="AJ133" s="1">
        <v>0</v>
      </c>
      <c r="AK133" s="1">
        <v>0</v>
      </c>
      <c r="AL133" s="1">
        <v>1</v>
      </c>
      <c r="AM133" s="1">
        <v>66232</v>
      </c>
      <c r="AN133" s="1">
        <v>20759</v>
      </c>
      <c r="AO133" s="1">
        <v>45473</v>
      </c>
      <c r="AP133" s="1">
        <v>50609</v>
      </c>
      <c r="AQ133" s="1">
        <v>10.23284716234854</v>
      </c>
    </row>
    <row r="134" spans="1:43" x14ac:dyDescent="0.45">
      <c r="A134" s="1">
        <v>133</v>
      </c>
      <c r="B134" s="1">
        <v>142</v>
      </c>
      <c r="C134" s="1">
        <v>78</v>
      </c>
      <c r="D134" s="1" t="s">
        <v>67</v>
      </c>
      <c r="E134" s="1" t="s">
        <v>68</v>
      </c>
      <c r="F134" s="1" t="s">
        <v>69</v>
      </c>
      <c r="G134" s="1" t="s">
        <v>46</v>
      </c>
      <c r="H134" s="1" t="s">
        <v>47</v>
      </c>
      <c r="I134" s="1">
        <v>1163</v>
      </c>
      <c r="J134" s="1">
        <v>33073</v>
      </c>
      <c r="K134" s="1">
        <v>1</v>
      </c>
      <c r="L134" s="1">
        <v>77</v>
      </c>
      <c r="M134" s="1">
        <v>1848</v>
      </c>
      <c r="N134" s="1" t="s">
        <v>48</v>
      </c>
      <c r="O134" s="1">
        <v>194312</v>
      </c>
      <c r="P134" s="1">
        <v>93</v>
      </c>
      <c r="Q134" s="1" t="s">
        <v>111</v>
      </c>
      <c r="R134" s="1" t="s">
        <v>50</v>
      </c>
      <c r="S134" s="1">
        <v>0</v>
      </c>
      <c r="T134" s="1">
        <v>0</v>
      </c>
      <c r="U134" s="1">
        <v>570.83799999999997</v>
      </c>
      <c r="V134" s="1">
        <v>25.484000000000002</v>
      </c>
      <c r="W134" s="1">
        <v>0.55000000000000004</v>
      </c>
      <c r="X134" s="1">
        <v>0.33300000000000002</v>
      </c>
      <c r="Y134" s="1">
        <v>25.818000000000001</v>
      </c>
      <c r="Z134" s="1">
        <v>0.108</v>
      </c>
      <c r="AA134" s="1">
        <v>-1.6</v>
      </c>
      <c r="AB134" s="1">
        <v>-1.6</v>
      </c>
      <c r="AC134" s="1">
        <v>-1.6</v>
      </c>
      <c r="AD134" s="1">
        <v>0.33300000000000002</v>
      </c>
      <c r="AE134" s="1">
        <v>0.108</v>
      </c>
      <c r="AF134" s="1">
        <v>3.5999999999999997E-2</v>
      </c>
      <c r="AG134" s="1">
        <v>-1.6</v>
      </c>
      <c r="AI134" s="1">
        <v>0</v>
      </c>
      <c r="AJ134" s="1">
        <v>0</v>
      </c>
      <c r="AK134" s="1">
        <v>0</v>
      </c>
      <c r="AL134" s="1">
        <v>1</v>
      </c>
      <c r="AM134" s="1">
        <v>86400</v>
      </c>
      <c r="AN134" s="1">
        <v>79125</v>
      </c>
      <c r="AO134" s="1">
        <v>7275</v>
      </c>
      <c r="AP134" s="1">
        <v>47099</v>
      </c>
      <c r="AQ134" s="1">
        <v>1.131743174433216</v>
      </c>
    </row>
    <row r="135" spans="1:43" x14ac:dyDescent="0.45">
      <c r="A135" s="1">
        <v>134</v>
      </c>
      <c r="B135" s="1">
        <v>142</v>
      </c>
      <c r="C135" s="1">
        <v>78</v>
      </c>
      <c r="D135" s="1" t="s">
        <v>67</v>
      </c>
      <c r="E135" s="1" t="s">
        <v>68</v>
      </c>
      <c r="F135" s="1" t="s">
        <v>69</v>
      </c>
      <c r="G135" s="1" t="s">
        <v>46</v>
      </c>
      <c r="H135" s="1" t="s">
        <v>47</v>
      </c>
      <c r="I135" s="1">
        <v>1163</v>
      </c>
      <c r="J135" s="1">
        <v>33073</v>
      </c>
      <c r="K135" s="1">
        <v>1</v>
      </c>
      <c r="L135" s="1">
        <v>77</v>
      </c>
      <c r="M135" s="1">
        <v>1849</v>
      </c>
      <c r="N135" s="1" t="s">
        <v>48</v>
      </c>
      <c r="O135" s="1">
        <v>194313</v>
      </c>
      <c r="P135" s="1">
        <v>93</v>
      </c>
      <c r="Q135" s="1" t="s">
        <v>111</v>
      </c>
      <c r="R135" s="1" t="s">
        <v>50</v>
      </c>
      <c r="S135" s="1">
        <v>0</v>
      </c>
      <c r="T135" s="1">
        <v>0</v>
      </c>
      <c r="U135" s="1">
        <v>403.28300000000002</v>
      </c>
      <c r="V135" s="1">
        <v>25.466999999999999</v>
      </c>
      <c r="W135" s="1">
        <v>0.56000000000000005</v>
      </c>
      <c r="X135" s="1">
        <v>0.35</v>
      </c>
      <c r="Y135" s="1">
        <v>25.817</v>
      </c>
      <c r="Z135" s="1">
        <v>0.11799999999999999</v>
      </c>
      <c r="AA135" s="1">
        <v>-1.7</v>
      </c>
      <c r="AB135" s="1">
        <v>-1.7</v>
      </c>
      <c r="AC135" s="1">
        <v>-1.7</v>
      </c>
      <c r="AD135" s="1">
        <v>0.35</v>
      </c>
      <c r="AE135" s="1">
        <v>0.113</v>
      </c>
      <c r="AF135" s="1">
        <v>4.1000000000000002E-2</v>
      </c>
      <c r="AG135" s="1">
        <v>-1.7</v>
      </c>
      <c r="AI135" s="1">
        <v>0</v>
      </c>
      <c r="AJ135" s="1">
        <v>0</v>
      </c>
      <c r="AK135" s="1">
        <v>0</v>
      </c>
      <c r="AL135" s="1">
        <v>1</v>
      </c>
      <c r="AM135" s="1">
        <v>86400</v>
      </c>
      <c r="AN135" s="1">
        <v>80146</v>
      </c>
      <c r="AO135" s="1">
        <v>6254</v>
      </c>
      <c r="AP135" s="1">
        <v>47073</v>
      </c>
      <c r="AQ135" s="1">
        <v>27.22208285825711</v>
      </c>
    </row>
    <row r="136" spans="1:43" x14ac:dyDescent="0.45">
      <c r="A136" s="1">
        <v>135</v>
      </c>
      <c r="B136" s="1">
        <v>142</v>
      </c>
      <c r="C136" s="1">
        <v>78</v>
      </c>
      <c r="D136" s="1" t="s">
        <v>67</v>
      </c>
      <c r="E136" s="1" t="s">
        <v>68</v>
      </c>
      <c r="F136" s="1" t="s">
        <v>69</v>
      </c>
      <c r="G136" s="1" t="s">
        <v>46</v>
      </c>
      <c r="H136" s="1" t="s">
        <v>47</v>
      </c>
      <c r="I136" s="1">
        <v>1163</v>
      </c>
      <c r="J136" s="1">
        <v>33073</v>
      </c>
      <c r="K136" s="1">
        <v>1</v>
      </c>
      <c r="L136" s="1">
        <v>77</v>
      </c>
      <c r="M136" s="1">
        <v>1850</v>
      </c>
      <c r="N136" s="1" t="s">
        <v>48</v>
      </c>
      <c r="O136" s="1">
        <v>194321</v>
      </c>
      <c r="P136" s="1">
        <v>93</v>
      </c>
      <c r="Q136" s="1" t="s">
        <v>111</v>
      </c>
      <c r="R136" s="1" t="s">
        <v>50</v>
      </c>
      <c r="S136" s="1">
        <v>0</v>
      </c>
      <c r="T136" s="1">
        <v>0</v>
      </c>
      <c r="U136" s="1">
        <v>430.35700000000003</v>
      </c>
      <c r="V136" s="1">
        <v>25.529</v>
      </c>
      <c r="W136" s="1">
        <v>0.55000000000000004</v>
      </c>
      <c r="X136" s="1">
        <v>0.27600000000000002</v>
      </c>
      <c r="Y136" s="1">
        <v>25.805</v>
      </c>
      <c r="Z136" s="1">
        <v>0.14000000000000001</v>
      </c>
      <c r="AA136" s="1">
        <v>-0.8</v>
      </c>
      <c r="AB136" s="1">
        <v>-0.8</v>
      </c>
      <c r="AC136" s="1">
        <v>-0.8</v>
      </c>
      <c r="AD136" s="1">
        <v>0.27600000000000002</v>
      </c>
      <c r="AE136" s="1">
        <v>0.13900000000000001</v>
      </c>
      <c r="AF136" s="1">
        <v>3.7999999999999999E-2</v>
      </c>
      <c r="AG136" s="1">
        <v>-0.8</v>
      </c>
      <c r="AI136" s="1">
        <v>0</v>
      </c>
      <c r="AJ136" s="1">
        <v>0</v>
      </c>
      <c r="AK136" s="1">
        <v>0</v>
      </c>
      <c r="AL136" s="1">
        <v>1</v>
      </c>
      <c r="AM136" s="1">
        <v>86400</v>
      </c>
      <c r="AN136" s="1">
        <v>78427</v>
      </c>
      <c r="AO136" s="1">
        <v>7973</v>
      </c>
      <c r="AP136" s="1">
        <v>46902</v>
      </c>
      <c r="AQ136" s="1">
        <v>0.81082726490215773</v>
      </c>
    </row>
    <row r="137" spans="1:43" x14ac:dyDescent="0.45">
      <c r="A137" s="1">
        <v>136</v>
      </c>
      <c r="B137" s="1">
        <v>142</v>
      </c>
      <c r="C137" s="1">
        <v>78</v>
      </c>
      <c r="D137" s="1" t="s">
        <v>67</v>
      </c>
      <c r="E137" s="1" t="s">
        <v>68</v>
      </c>
      <c r="F137" s="1" t="s">
        <v>69</v>
      </c>
      <c r="G137" s="1" t="s">
        <v>46</v>
      </c>
      <c r="H137" s="1" t="s">
        <v>47</v>
      </c>
      <c r="I137" s="1">
        <v>1163</v>
      </c>
      <c r="J137" s="1">
        <v>33073</v>
      </c>
      <c r="K137" s="1">
        <v>1</v>
      </c>
      <c r="L137" s="1">
        <v>77</v>
      </c>
      <c r="M137" s="1">
        <v>1851</v>
      </c>
      <c r="N137" s="1" t="s">
        <v>48</v>
      </c>
      <c r="O137" s="1">
        <v>194325</v>
      </c>
      <c r="P137" s="1">
        <v>93</v>
      </c>
      <c r="Q137" s="1" t="s">
        <v>111</v>
      </c>
      <c r="R137" s="1" t="s">
        <v>50</v>
      </c>
      <c r="S137" s="1">
        <v>0</v>
      </c>
      <c r="T137" s="1">
        <v>0</v>
      </c>
      <c r="U137" s="1">
        <v>137.80099999999999</v>
      </c>
      <c r="V137" s="1">
        <v>25.645</v>
      </c>
      <c r="W137" s="1">
        <v>0.53</v>
      </c>
      <c r="X137" s="1">
        <v>0.159</v>
      </c>
      <c r="Y137" s="1">
        <v>25.803999999999998</v>
      </c>
      <c r="Z137" s="1">
        <v>0.24199999999999999</v>
      </c>
      <c r="AA137" s="1">
        <v>-0.5</v>
      </c>
      <c r="AB137" s="1">
        <v>-0.4</v>
      </c>
      <c r="AC137" s="1">
        <v>-0.4</v>
      </c>
      <c r="AD137" s="1">
        <v>0.159</v>
      </c>
      <c r="AE137" s="1">
        <v>0.23799999999999999</v>
      </c>
      <c r="AF137" s="1">
        <v>3.7999999999999999E-2</v>
      </c>
      <c r="AG137" s="1">
        <v>-0.5</v>
      </c>
      <c r="AI137" s="1">
        <v>0</v>
      </c>
      <c r="AJ137" s="1">
        <v>0</v>
      </c>
      <c r="AK137" s="1">
        <v>0</v>
      </c>
      <c r="AL137" s="1">
        <v>1</v>
      </c>
      <c r="AM137" s="1">
        <v>64972</v>
      </c>
      <c r="AN137" s="1">
        <v>32534</v>
      </c>
      <c r="AO137" s="1">
        <v>32438</v>
      </c>
      <c r="AP137" s="1">
        <v>47302</v>
      </c>
      <c r="AQ137" s="1">
        <v>0.71025518424474854</v>
      </c>
    </row>
    <row r="138" spans="1:43" x14ac:dyDescent="0.45">
      <c r="A138" s="1">
        <v>137</v>
      </c>
      <c r="B138" s="1">
        <v>142</v>
      </c>
      <c r="C138" s="1">
        <v>78</v>
      </c>
      <c r="D138" s="1" t="s">
        <v>67</v>
      </c>
      <c r="E138" s="1" t="s">
        <v>68</v>
      </c>
      <c r="F138" s="1" t="s">
        <v>69</v>
      </c>
      <c r="G138" s="1" t="s">
        <v>46</v>
      </c>
      <c r="H138" s="1" t="s">
        <v>47</v>
      </c>
      <c r="I138" s="1">
        <v>1163</v>
      </c>
      <c r="J138" s="1">
        <v>33073</v>
      </c>
      <c r="K138" s="1">
        <v>1</v>
      </c>
      <c r="L138" s="1">
        <v>77</v>
      </c>
      <c r="M138" s="1">
        <v>1852</v>
      </c>
      <c r="N138" s="1" t="s">
        <v>48</v>
      </c>
      <c r="O138" s="1">
        <v>194520</v>
      </c>
      <c r="P138" s="1">
        <v>93</v>
      </c>
      <c r="Q138" s="1" t="s">
        <v>111</v>
      </c>
      <c r="R138" s="1" t="s">
        <v>50</v>
      </c>
      <c r="S138" s="1">
        <v>0</v>
      </c>
      <c r="T138" s="1">
        <v>0</v>
      </c>
      <c r="U138" s="1">
        <v>414.14699999999999</v>
      </c>
      <c r="V138" s="1">
        <v>25.219000000000001</v>
      </c>
      <c r="W138" s="1">
        <v>0.52</v>
      </c>
      <c r="X138" s="1">
        <v>0.11700000000000001</v>
      </c>
      <c r="Y138" s="1">
        <v>25.335999999999999</v>
      </c>
      <c r="Z138" s="1">
        <v>0.155</v>
      </c>
      <c r="AA138" s="1">
        <v>2.2000000000000002</v>
      </c>
      <c r="AB138" s="1">
        <v>2.1</v>
      </c>
      <c r="AC138" s="1">
        <v>2.1</v>
      </c>
      <c r="AD138" s="1">
        <v>0.11700000000000001</v>
      </c>
      <c r="AE138" s="1">
        <v>0.152</v>
      </c>
      <c r="AF138" s="1">
        <v>1.7999999999999999E-2</v>
      </c>
      <c r="AG138" s="1">
        <v>2.2000000000000002</v>
      </c>
      <c r="AI138" s="1">
        <v>0</v>
      </c>
      <c r="AJ138" s="1">
        <v>0</v>
      </c>
      <c r="AK138" s="1">
        <v>0</v>
      </c>
      <c r="AL138" s="1">
        <v>1</v>
      </c>
      <c r="AM138" s="1">
        <v>50803</v>
      </c>
      <c r="AN138" s="1">
        <v>7372</v>
      </c>
      <c r="AO138" s="1">
        <v>43430</v>
      </c>
      <c r="AP138" s="1">
        <v>50398</v>
      </c>
      <c r="AQ138" s="1">
        <v>1.3587106949051591</v>
      </c>
    </row>
    <row r="139" spans="1:43" x14ac:dyDescent="0.45">
      <c r="A139" s="1">
        <v>138</v>
      </c>
      <c r="B139" s="1">
        <v>142</v>
      </c>
      <c r="C139" s="1">
        <v>78</v>
      </c>
      <c r="D139" s="1" t="s">
        <v>67</v>
      </c>
      <c r="E139" s="1" t="s">
        <v>68</v>
      </c>
      <c r="F139" s="1" t="s">
        <v>69</v>
      </c>
      <c r="G139" s="1" t="s">
        <v>46</v>
      </c>
      <c r="H139" s="1" t="s">
        <v>47</v>
      </c>
      <c r="I139" s="1">
        <v>1163</v>
      </c>
      <c r="J139" s="1">
        <v>33073</v>
      </c>
      <c r="K139" s="1">
        <v>1</v>
      </c>
      <c r="L139" s="1">
        <v>77</v>
      </c>
      <c r="M139" s="1">
        <v>1855</v>
      </c>
      <c r="N139" s="1" t="s">
        <v>48</v>
      </c>
      <c r="O139" s="1">
        <v>194540</v>
      </c>
      <c r="P139" s="1">
        <v>93</v>
      </c>
      <c r="Q139" s="1" t="s">
        <v>111</v>
      </c>
      <c r="R139" s="1" t="s">
        <v>50</v>
      </c>
      <c r="S139" s="1">
        <v>0</v>
      </c>
      <c r="T139" s="1">
        <v>0</v>
      </c>
      <c r="U139" s="1">
        <v>880.29600000000005</v>
      </c>
      <c r="V139" s="1">
        <v>25.163</v>
      </c>
      <c r="W139" s="1">
        <v>0.53</v>
      </c>
      <c r="X139" s="1">
        <v>0.16400000000000001</v>
      </c>
      <c r="Y139" s="1">
        <v>25.327000000000002</v>
      </c>
      <c r="Z139" s="1">
        <v>0.14199999999999999</v>
      </c>
      <c r="AA139" s="1">
        <v>0.4</v>
      </c>
      <c r="AB139" s="1">
        <v>0.5</v>
      </c>
      <c r="AC139" s="1">
        <v>0.5</v>
      </c>
      <c r="AD139" s="1">
        <v>0.16400000000000001</v>
      </c>
      <c r="AE139" s="1">
        <v>0.13500000000000001</v>
      </c>
      <c r="AF139" s="1">
        <v>2.1999999999999999E-2</v>
      </c>
      <c r="AG139" s="1">
        <v>0.4</v>
      </c>
      <c r="AI139" s="1">
        <v>0</v>
      </c>
      <c r="AJ139" s="1">
        <v>0</v>
      </c>
      <c r="AK139" s="1">
        <v>0</v>
      </c>
      <c r="AL139" s="1">
        <v>1</v>
      </c>
      <c r="AM139" s="1">
        <v>50933</v>
      </c>
      <c r="AN139" s="1">
        <v>7439</v>
      </c>
      <c r="AO139" s="1">
        <v>43495</v>
      </c>
      <c r="AP139" s="1">
        <v>50318</v>
      </c>
      <c r="AQ139" s="1">
        <v>0.30473785546464988</v>
      </c>
    </row>
    <row r="140" spans="1:43" x14ac:dyDescent="0.45">
      <c r="A140" s="1">
        <v>139</v>
      </c>
      <c r="B140" s="1">
        <v>142</v>
      </c>
      <c r="C140" s="1">
        <v>78</v>
      </c>
      <c r="D140" s="1" t="s">
        <v>67</v>
      </c>
      <c r="E140" s="1" t="s">
        <v>68</v>
      </c>
      <c r="F140" s="1" t="s">
        <v>69</v>
      </c>
      <c r="G140" s="1" t="s">
        <v>46</v>
      </c>
      <c r="H140" s="1" t="s">
        <v>47</v>
      </c>
      <c r="I140" s="1">
        <v>1163</v>
      </c>
      <c r="J140" s="1">
        <v>33073</v>
      </c>
      <c r="K140" s="1">
        <v>1</v>
      </c>
      <c r="L140" s="1">
        <v>77</v>
      </c>
      <c r="M140" s="1">
        <v>1856</v>
      </c>
      <c r="N140" s="1" t="s">
        <v>48</v>
      </c>
      <c r="O140" s="1">
        <v>194541</v>
      </c>
      <c r="P140" s="1">
        <v>93</v>
      </c>
      <c r="Q140" s="1" t="s">
        <v>111</v>
      </c>
      <c r="R140" s="1" t="s">
        <v>50</v>
      </c>
      <c r="S140" s="1">
        <v>0</v>
      </c>
      <c r="T140" s="1">
        <v>0</v>
      </c>
      <c r="U140" s="1">
        <v>444.91399999999999</v>
      </c>
      <c r="V140" s="1">
        <v>25.006</v>
      </c>
      <c r="W140" s="1">
        <v>0.55000000000000004</v>
      </c>
      <c r="X140" s="1">
        <v>0.32300000000000001</v>
      </c>
      <c r="Y140" s="1">
        <v>25.329000000000001</v>
      </c>
      <c r="Z140" s="1">
        <v>0.16900000000000001</v>
      </c>
      <c r="AA140" s="1">
        <v>0.6</v>
      </c>
      <c r="AB140" s="1">
        <v>-0.1</v>
      </c>
      <c r="AC140" s="1">
        <v>-0.1</v>
      </c>
      <c r="AD140" s="1">
        <v>0.32300000000000001</v>
      </c>
      <c r="AE140" s="1">
        <v>0.111</v>
      </c>
      <c r="AF140" s="1">
        <v>3.6999999999999998E-2</v>
      </c>
      <c r="AG140" s="1">
        <v>0.6</v>
      </c>
      <c r="AI140" s="1">
        <v>0</v>
      </c>
      <c r="AJ140" s="1">
        <v>0</v>
      </c>
      <c r="AK140" s="1">
        <v>0</v>
      </c>
      <c r="AL140" s="1">
        <v>1</v>
      </c>
      <c r="AM140" s="1">
        <v>86400</v>
      </c>
      <c r="AN140" s="1">
        <v>77560</v>
      </c>
      <c r="AO140" s="1">
        <v>8840</v>
      </c>
      <c r="AP140" s="1">
        <v>50408</v>
      </c>
      <c r="AQ140" s="1">
        <v>26.147441836754549</v>
      </c>
    </row>
    <row r="141" spans="1:43" x14ac:dyDescent="0.45">
      <c r="A141" s="1">
        <v>140</v>
      </c>
      <c r="B141" s="1">
        <v>142</v>
      </c>
      <c r="C141" s="1">
        <v>78</v>
      </c>
      <c r="D141" s="1" t="s">
        <v>67</v>
      </c>
      <c r="E141" s="1" t="s">
        <v>68</v>
      </c>
      <c r="F141" s="1" t="s">
        <v>69</v>
      </c>
      <c r="G141" s="1" t="s">
        <v>46</v>
      </c>
      <c r="H141" s="1" t="s">
        <v>47</v>
      </c>
      <c r="I141" s="1">
        <v>1163</v>
      </c>
      <c r="J141" s="1">
        <v>33073</v>
      </c>
      <c r="K141" s="1">
        <v>1</v>
      </c>
      <c r="L141" s="1">
        <v>77</v>
      </c>
      <c r="M141" s="1">
        <v>1857</v>
      </c>
      <c r="N141" s="1" t="s">
        <v>48</v>
      </c>
      <c r="O141" s="1">
        <v>194543</v>
      </c>
      <c r="P141" s="1">
        <v>93</v>
      </c>
      <c r="Q141" s="1" t="s">
        <v>111</v>
      </c>
      <c r="R141" s="1" t="s">
        <v>50</v>
      </c>
      <c r="S141" s="1">
        <v>0</v>
      </c>
      <c r="T141" s="1">
        <v>0</v>
      </c>
      <c r="U141" s="1">
        <v>99.31</v>
      </c>
      <c r="V141" s="1">
        <v>24.934000000000001</v>
      </c>
      <c r="W141" s="1">
        <v>0.56000000000000005</v>
      </c>
      <c r="X141" s="1">
        <v>0.39500000000000002</v>
      </c>
      <c r="Y141" s="1">
        <v>25.329000000000001</v>
      </c>
      <c r="Z141" s="1">
        <v>0.123</v>
      </c>
      <c r="AA141" s="1">
        <v>0.5</v>
      </c>
      <c r="AB141" s="1">
        <v>0.5</v>
      </c>
      <c r="AC141" s="1">
        <v>0.5</v>
      </c>
      <c r="AD141" s="1">
        <v>0.39500000000000002</v>
      </c>
      <c r="AE141" s="1">
        <v>8.1000000000000003E-2</v>
      </c>
      <c r="AF141" s="1">
        <v>3.5999999999999997E-2</v>
      </c>
      <c r="AG141" s="1">
        <v>0.5</v>
      </c>
      <c r="AI141" s="1">
        <v>0</v>
      </c>
      <c r="AJ141" s="1">
        <v>0</v>
      </c>
      <c r="AK141" s="1">
        <v>0</v>
      </c>
      <c r="AL141" s="1">
        <v>1</v>
      </c>
      <c r="AM141" s="1">
        <v>86400</v>
      </c>
      <c r="AN141" s="1">
        <v>79644</v>
      </c>
      <c r="AO141" s="1">
        <v>6756</v>
      </c>
      <c r="AP141" s="1">
        <v>50238</v>
      </c>
      <c r="AQ141" s="1">
        <v>9.402992152571759</v>
      </c>
    </row>
    <row r="142" spans="1:43" x14ac:dyDescent="0.45">
      <c r="A142" s="1">
        <v>141</v>
      </c>
      <c r="B142" s="1">
        <v>142</v>
      </c>
      <c r="C142" s="1">
        <v>78</v>
      </c>
      <c r="D142" s="1" t="s">
        <v>67</v>
      </c>
      <c r="E142" s="1" t="s">
        <v>68</v>
      </c>
      <c r="F142" s="1" t="s">
        <v>69</v>
      </c>
      <c r="G142" s="1" t="s">
        <v>46</v>
      </c>
      <c r="H142" s="1" t="s">
        <v>47</v>
      </c>
      <c r="I142" s="1">
        <v>1163</v>
      </c>
      <c r="J142" s="1">
        <v>33073</v>
      </c>
      <c r="K142" s="1">
        <v>1</v>
      </c>
      <c r="L142" s="1">
        <v>77</v>
      </c>
      <c r="M142" s="1">
        <v>1858</v>
      </c>
      <c r="N142" s="1" t="s">
        <v>48</v>
      </c>
      <c r="O142" s="1">
        <v>194544</v>
      </c>
      <c r="P142" s="1">
        <v>93</v>
      </c>
      <c r="Q142" s="1" t="s">
        <v>111</v>
      </c>
      <c r="R142" s="1" t="s">
        <v>50</v>
      </c>
      <c r="S142" s="1">
        <v>0</v>
      </c>
      <c r="T142" s="1">
        <v>0</v>
      </c>
      <c r="U142" s="1">
        <v>98.995000000000005</v>
      </c>
      <c r="V142" s="1">
        <v>24.971</v>
      </c>
      <c r="W142" s="1">
        <v>0.56000000000000005</v>
      </c>
      <c r="X142" s="1">
        <v>0.35799999999999998</v>
      </c>
      <c r="Y142" s="1">
        <v>25.329000000000001</v>
      </c>
      <c r="Z142" s="1">
        <v>0.11700000000000001</v>
      </c>
      <c r="AA142" s="1">
        <v>0.2</v>
      </c>
      <c r="AB142" s="1">
        <v>0.2</v>
      </c>
      <c r="AC142" s="1">
        <v>0.2</v>
      </c>
      <c r="AD142" s="1">
        <v>0.35799999999999998</v>
      </c>
      <c r="AE142" s="1">
        <v>7.6999999999999999E-2</v>
      </c>
      <c r="AF142" s="1">
        <v>0.03</v>
      </c>
      <c r="AG142" s="1">
        <v>0.2</v>
      </c>
      <c r="AI142" s="1">
        <v>0</v>
      </c>
      <c r="AJ142" s="1">
        <v>0</v>
      </c>
      <c r="AK142" s="1">
        <v>0</v>
      </c>
      <c r="AL142" s="1">
        <v>1</v>
      </c>
      <c r="AM142" s="1">
        <v>86400</v>
      </c>
      <c r="AN142" s="1">
        <v>78801</v>
      </c>
      <c r="AO142" s="1">
        <v>7599</v>
      </c>
      <c r="AP142" s="1">
        <v>50286</v>
      </c>
      <c r="AQ142" s="1">
        <v>17.426884546178929</v>
      </c>
    </row>
    <row r="143" spans="1:43" x14ac:dyDescent="0.45">
      <c r="A143" s="1">
        <v>142</v>
      </c>
      <c r="B143" s="1">
        <v>142</v>
      </c>
      <c r="C143" s="1">
        <v>78</v>
      </c>
      <c r="D143" s="1" t="s">
        <v>67</v>
      </c>
      <c r="E143" s="1" t="s">
        <v>68</v>
      </c>
      <c r="F143" s="1" t="s">
        <v>69</v>
      </c>
      <c r="G143" s="1" t="s">
        <v>46</v>
      </c>
      <c r="H143" s="1" t="s">
        <v>47</v>
      </c>
      <c r="I143" s="1">
        <v>1163</v>
      </c>
      <c r="J143" s="1">
        <v>33073</v>
      </c>
      <c r="K143" s="1">
        <v>1</v>
      </c>
      <c r="L143" s="1">
        <v>77</v>
      </c>
      <c r="M143" s="1">
        <v>1859</v>
      </c>
      <c r="N143" s="1" t="s">
        <v>48</v>
      </c>
      <c r="O143" s="1">
        <v>194545</v>
      </c>
      <c r="P143" s="1">
        <v>93</v>
      </c>
      <c r="Q143" s="1" t="s">
        <v>111</v>
      </c>
      <c r="R143" s="1" t="s">
        <v>50</v>
      </c>
      <c r="S143" s="1">
        <v>0</v>
      </c>
      <c r="T143" s="1">
        <v>0</v>
      </c>
      <c r="U143" s="1">
        <v>108.714</v>
      </c>
      <c r="V143" s="1">
        <v>24.908000000000001</v>
      </c>
      <c r="W143" s="1">
        <v>0.56999999999999995</v>
      </c>
      <c r="X143" s="1">
        <v>0.42099999999999999</v>
      </c>
      <c r="Y143" s="1">
        <v>25.329000000000001</v>
      </c>
      <c r="Z143" s="1">
        <v>7.2999999999999995E-2</v>
      </c>
      <c r="AA143" s="1">
        <v>1</v>
      </c>
      <c r="AB143" s="1">
        <v>1</v>
      </c>
      <c r="AC143" s="1">
        <v>1</v>
      </c>
      <c r="AD143" s="1">
        <v>0.42099999999999999</v>
      </c>
      <c r="AE143" s="1">
        <v>4.9000000000000002E-2</v>
      </c>
      <c r="AF143" s="1">
        <v>2.3E-2</v>
      </c>
      <c r="AG143" s="1">
        <v>1</v>
      </c>
      <c r="AI143" s="1">
        <v>0</v>
      </c>
      <c r="AJ143" s="1">
        <v>0</v>
      </c>
      <c r="AK143" s="1">
        <v>0</v>
      </c>
      <c r="AL143" s="1">
        <v>1</v>
      </c>
      <c r="AM143" s="1">
        <v>86400</v>
      </c>
      <c r="AN143" s="1">
        <v>80187</v>
      </c>
      <c r="AO143" s="1">
        <v>6213</v>
      </c>
      <c r="AP143" s="1">
        <v>50266</v>
      </c>
      <c r="AQ143" s="1">
        <v>1.659668804184055</v>
      </c>
    </row>
    <row r="144" spans="1:43" x14ac:dyDescent="0.45">
      <c r="A144" s="1">
        <v>143</v>
      </c>
      <c r="B144" s="1">
        <v>142</v>
      </c>
      <c r="C144" s="1">
        <v>78</v>
      </c>
      <c r="D144" s="1" t="s">
        <v>67</v>
      </c>
      <c r="E144" s="1" t="s">
        <v>68</v>
      </c>
      <c r="F144" s="1" t="s">
        <v>69</v>
      </c>
      <c r="G144" s="1" t="s">
        <v>46</v>
      </c>
      <c r="H144" s="1" t="s">
        <v>47</v>
      </c>
      <c r="I144" s="1">
        <v>1163</v>
      </c>
      <c r="J144" s="1">
        <v>33073</v>
      </c>
      <c r="K144" s="1">
        <v>1</v>
      </c>
      <c r="L144" s="1">
        <v>77</v>
      </c>
      <c r="M144" s="1">
        <v>1860</v>
      </c>
      <c r="N144" s="1" t="s">
        <v>48</v>
      </c>
      <c r="O144" s="1">
        <v>194546</v>
      </c>
      <c r="P144" s="1">
        <v>93</v>
      </c>
      <c r="Q144" s="1" t="s">
        <v>111</v>
      </c>
      <c r="R144" s="1" t="s">
        <v>50</v>
      </c>
      <c r="S144" s="1">
        <v>0</v>
      </c>
      <c r="T144" s="1">
        <v>0</v>
      </c>
      <c r="U144" s="1">
        <v>327.06</v>
      </c>
      <c r="V144" s="1">
        <v>24.867999999999999</v>
      </c>
      <c r="W144" s="1">
        <v>0.56999999999999995</v>
      </c>
      <c r="X144" s="1">
        <v>0.46200000000000002</v>
      </c>
      <c r="Y144" s="1">
        <v>25.33</v>
      </c>
      <c r="Z144" s="1">
        <v>0.13600000000000001</v>
      </c>
      <c r="AA144" s="1">
        <v>0.2</v>
      </c>
      <c r="AB144" s="1">
        <v>0.3</v>
      </c>
      <c r="AC144" s="1">
        <v>0.3</v>
      </c>
      <c r="AD144" s="1">
        <v>0.46200000000000002</v>
      </c>
      <c r="AE144" s="1">
        <v>9.5000000000000001E-2</v>
      </c>
      <c r="AF144" s="1">
        <v>4.8000000000000001E-2</v>
      </c>
      <c r="AG144" s="1">
        <v>0.2</v>
      </c>
      <c r="AI144" s="1">
        <v>0</v>
      </c>
      <c r="AJ144" s="1">
        <v>0</v>
      </c>
      <c r="AK144" s="1">
        <v>0</v>
      </c>
      <c r="AL144" s="1">
        <v>1</v>
      </c>
      <c r="AM144" s="1">
        <v>86400</v>
      </c>
      <c r="AN144" s="1">
        <v>81089</v>
      </c>
      <c r="AO144" s="1">
        <v>5311</v>
      </c>
      <c r="AP144" s="1">
        <v>50348</v>
      </c>
      <c r="AQ144" s="1">
        <v>0.62107041281627839</v>
      </c>
    </row>
    <row r="145" spans="1:43" x14ac:dyDescent="0.45">
      <c r="A145" s="1">
        <v>144</v>
      </c>
      <c r="B145" s="1">
        <v>142</v>
      </c>
      <c r="C145" s="1">
        <v>78</v>
      </c>
      <c r="D145" s="1" t="s">
        <v>67</v>
      </c>
      <c r="E145" s="1" t="s">
        <v>68</v>
      </c>
      <c r="F145" s="1" t="s">
        <v>69</v>
      </c>
      <c r="G145" s="1" t="s">
        <v>46</v>
      </c>
      <c r="H145" s="1" t="s">
        <v>47</v>
      </c>
      <c r="I145" s="1">
        <v>1163</v>
      </c>
      <c r="J145" s="1">
        <v>33073</v>
      </c>
      <c r="K145" s="1">
        <v>1</v>
      </c>
      <c r="L145" s="1">
        <v>77</v>
      </c>
      <c r="M145" s="1">
        <v>1861</v>
      </c>
      <c r="N145" s="1" t="s">
        <v>48</v>
      </c>
      <c r="O145" s="1">
        <v>194547</v>
      </c>
      <c r="P145" s="1">
        <v>93</v>
      </c>
      <c r="Q145" s="1" t="s">
        <v>111</v>
      </c>
      <c r="R145" s="1" t="s">
        <v>50</v>
      </c>
      <c r="S145" s="1">
        <v>0</v>
      </c>
      <c r="T145" s="1">
        <v>0</v>
      </c>
      <c r="U145" s="1">
        <v>353.36399999999998</v>
      </c>
      <c r="V145" s="1">
        <v>25.148</v>
      </c>
      <c r="W145" s="1">
        <v>0.53</v>
      </c>
      <c r="X145" s="1">
        <v>0.184</v>
      </c>
      <c r="Y145" s="1">
        <v>25.332000000000001</v>
      </c>
      <c r="Z145" s="1">
        <v>0.19900000000000001</v>
      </c>
      <c r="AA145" s="1">
        <v>2.2999999999999998</v>
      </c>
      <c r="AB145" s="1">
        <v>2.2000000000000002</v>
      </c>
      <c r="AC145" s="1">
        <v>2.2000000000000002</v>
      </c>
      <c r="AD145" s="1">
        <v>0.184</v>
      </c>
      <c r="AE145" s="1">
        <v>0.14299999999999999</v>
      </c>
      <c r="AF145" s="1">
        <v>2.7E-2</v>
      </c>
      <c r="AG145" s="1">
        <v>2.2999999999999998</v>
      </c>
      <c r="AI145" s="1">
        <v>0</v>
      </c>
      <c r="AJ145" s="1">
        <v>0</v>
      </c>
      <c r="AK145" s="1">
        <v>0</v>
      </c>
      <c r="AL145" s="1">
        <v>1</v>
      </c>
      <c r="AM145" s="1">
        <v>51097</v>
      </c>
      <c r="AN145" s="1">
        <v>7809</v>
      </c>
      <c r="AO145" s="1">
        <v>43288</v>
      </c>
      <c r="AP145" s="1">
        <v>50296</v>
      </c>
      <c r="AQ145" s="1">
        <v>23.041712715813588</v>
      </c>
    </row>
    <row r="146" spans="1:43" x14ac:dyDescent="0.45">
      <c r="A146" s="1">
        <v>145</v>
      </c>
      <c r="B146" s="1">
        <v>142</v>
      </c>
      <c r="C146" s="1">
        <v>78</v>
      </c>
      <c r="D146" s="1" t="s">
        <v>67</v>
      </c>
      <c r="E146" s="1" t="s">
        <v>68</v>
      </c>
      <c r="F146" s="1" t="s">
        <v>69</v>
      </c>
      <c r="G146" s="1" t="s">
        <v>46</v>
      </c>
      <c r="H146" s="1" t="s">
        <v>47</v>
      </c>
      <c r="I146" s="1">
        <v>1163</v>
      </c>
      <c r="J146" s="1">
        <v>33073</v>
      </c>
      <c r="K146" s="1">
        <v>1</v>
      </c>
      <c r="L146" s="1">
        <v>77</v>
      </c>
      <c r="M146" s="1">
        <v>1862</v>
      </c>
      <c r="N146" s="1" t="s">
        <v>48</v>
      </c>
      <c r="O146" s="1">
        <v>194548</v>
      </c>
      <c r="P146" s="1">
        <v>93</v>
      </c>
      <c r="Q146" s="1" t="s">
        <v>111</v>
      </c>
      <c r="R146" s="1" t="s">
        <v>50</v>
      </c>
      <c r="S146" s="1">
        <v>0</v>
      </c>
      <c r="T146" s="1">
        <v>0</v>
      </c>
      <c r="U146" s="1">
        <v>95.963999999999999</v>
      </c>
      <c r="V146" s="1">
        <v>25.006</v>
      </c>
      <c r="W146" s="1">
        <v>0.55000000000000004</v>
      </c>
      <c r="X146" s="1">
        <v>0.32300000000000001</v>
      </c>
      <c r="Y146" s="1">
        <v>25.329000000000001</v>
      </c>
      <c r="Z146" s="1">
        <v>0.105</v>
      </c>
      <c r="AA146" s="1">
        <v>1.8</v>
      </c>
      <c r="AB146" s="1">
        <v>1.8</v>
      </c>
      <c r="AC146" s="1">
        <v>1.8</v>
      </c>
      <c r="AD146" s="1">
        <v>0.32300000000000001</v>
      </c>
      <c r="AE146" s="1">
        <v>7.0000000000000007E-2</v>
      </c>
      <c r="AF146" s="1">
        <v>2.4E-2</v>
      </c>
      <c r="AG146" s="1">
        <v>1.8</v>
      </c>
      <c r="AI146" s="1">
        <v>0</v>
      </c>
      <c r="AJ146" s="1">
        <v>0</v>
      </c>
      <c r="AK146" s="1">
        <v>0</v>
      </c>
      <c r="AL146" s="1">
        <v>1</v>
      </c>
      <c r="AM146" s="1">
        <v>86400</v>
      </c>
      <c r="AN146" s="1">
        <v>77545</v>
      </c>
      <c r="AO146" s="1">
        <v>8855</v>
      </c>
      <c r="AP146" s="1">
        <v>50227</v>
      </c>
      <c r="AQ146" s="1">
        <v>21.030445631260442</v>
      </c>
    </row>
    <row r="147" spans="1:43" x14ac:dyDescent="0.45">
      <c r="A147" s="1">
        <v>146</v>
      </c>
      <c r="B147" s="1">
        <v>142</v>
      </c>
      <c r="C147" s="1">
        <v>78</v>
      </c>
      <c r="D147" s="1" t="s">
        <v>67</v>
      </c>
      <c r="E147" s="1" t="s">
        <v>68</v>
      </c>
      <c r="F147" s="1" t="s">
        <v>69</v>
      </c>
      <c r="G147" s="1" t="s">
        <v>46</v>
      </c>
      <c r="H147" s="1" t="s">
        <v>47</v>
      </c>
      <c r="I147" s="1">
        <v>1163</v>
      </c>
      <c r="J147" s="1">
        <v>33073</v>
      </c>
      <c r="K147" s="1">
        <v>1</v>
      </c>
      <c r="L147" s="1">
        <v>77</v>
      </c>
      <c r="M147" s="1">
        <v>1863</v>
      </c>
      <c r="N147" s="1" t="s">
        <v>48</v>
      </c>
      <c r="O147" s="1">
        <v>194549</v>
      </c>
      <c r="P147" s="1">
        <v>93</v>
      </c>
      <c r="Q147" s="1" t="s">
        <v>111</v>
      </c>
      <c r="R147" s="1" t="s">
        <v>50</v>
      </c>
      <c r="S147" s="1">
        <v>0</v>
      </c>
      <c r="T147" s="1">
        <v>0</v>
      </c>
      <c r="U147" s="1">
        <v>199.88499999999999</v>
      </c>
      <c r="V147" s="1">
        <v>24.984000000000002</v>
      </c>
      <c r="W147" s="1">
        <v>0.56000000000000005</v>
      </c>
      <c r="X147" s="1">
        <v>0.34399999999999997</v>
      </c>
      <c r="Y147" s="1">
        <v>25.327999999999999</v>
      </c>
      <c r="Z147" s="1">
        <v>0.16</v>
      </c>
      <c r="AA147" s="1">
        <v>1.9</v>
      </c>
      <c r="AB147" s="1">
        <v>1.9</v>
      </c>
      <c r="AC147" s="1">
        <v>1.9</v>
      </c>
      <c r="AD147" s="1">
        <v>0.34399999999999997</v>
      </c>
      <c r="AE147" s="1">
        <v>0.105</v>
      </c>
      <c r="AF147" s="1">
        <v>3.7999999999999999E-2</v>
      </c>
      <c r="AG147" s="1">
        <v>1.9</v>
      </c>
      <c r="AI147" s="1">
        <v>0</v>
      </c>
      <c r="AJ147" s="1">
        <v>0</v>
      </c>
      <c r="AK147" s="1">
        <v>0</v>
      </c>
      <c r="AL147" s="1">
        <v>1</v>
      </c>
      <c r="AM147" s="1">
        <v>86400</v>
      </c>
      <c r="AN147" s="1">
        <v>78380</v>
      </c>
      <c r="AO147" s="1">
        <v>8020</v>
      </c>
      <c r="AP147" s="1">
        <v>50347</v>
      </c>
      <c r="AQ147" s="1">
        <v>1.6542382139206111</v>
      </c>
    </row>
    <row r="148" spans="1:43" x14ac:dyDescent="0.45">
      <c r="A148" s="1">
        <v>147</v>
      </c>
      <c r="B148" s="1">
        <v>142</v>
      </c>
      <c r="C148" s="1">
        <v>78</v>
      </c>
      <c r="D148" s="1" t="s">
        <v>67</v>
      </c>
      <c r="E148" s="1" t="s">
        <v>68</v>
      </c>
      <c r="F148" s="1" t="s">
        <v>69</v>
      </c>
      <c r="G148" s="1" t="s">
        <v>46</v>
      </c>
      <c r="H148" s="1" t="s">
        <v>47</v>
      </c>
      <c r="I148" s="1">
        <v>1163</v>
      </c>
      <c r="J148" s="1">
        <v>33073</v>
      </c>
      <c r="K148" s="1">
        <v>1</v>
      </c>
      <c r="L148" s="1">
        <v>77</v>
      </c>
      <c r="M148" s="1">
        <v>1865</v>
      </c>
      <c r="N148" s="1" t="s">
        <v>48</v>
      </c>
      <c r="O148" s="1">
        <v>194554</v>
      </c>
      <c r="P148" s="1">
        <v>93</v>
      </c>
      <c r="Q148" s="1" t="s">
        <v>111</v>
      </c>
      <c r="R148" s="1" t="s">
        <v>50</v>
      </c>
      <c r="S148" s="1">
        <v>0</v>
      </c>
      <c r="T148" s="1">
        <v>0</v>
      </c>
      <c r="U148" s="1">
        <v>58.304000000000002</v>
      </c>
      <c r="V148" s="1">
        <v>25.05</v>
      </c>
      <c r="W148" s="1">
        <v>0.54</v>
      </c>
      <c r="X148" s="1">
        <v>0.27800000000000002</v>
      </c>
      <c r="Y148" s="1">
        <v>25.329000000000001</v>
      </c>
      <c r="Z148" s="1">
        <v>0.108</v>
      </c>
      <c r="AA148" s="1">
        <v>0.6</v>
      </c>
      <c r="AB148" s="1">
        <v>0.8</v>
      </c>
      <c r="AC148" s="1">
        <v>0.8</v>
      </c>
      <c r="AD148" s="1">
        <v>0.27800000000000002</v>
      </c>
      <c r="AE148" s="1">
        <v>9.7000000000000003E-2</v>
      </c>
      <c r="AF148" s="1">
        <v>2.7E-2</v>
      </c>
      <c r="AG148" s="1">
        <v>0.6</v>
      </c>
      <c r="AI148" s="1">
        <v>0</v>
      </c>
      <c r="AJ148" s="1">
        <v>0</v>
      </c>
      <c r="AK148" s="1">
        <v>0</v>
      </c>
      <c r="AL148" s="1">
        <v>1</v>
      </c>
      <c r="AM148" s="1">
        <v>86400</v>
      </c>
      <c r="AN148" s="1">
        <v>75545</v>
      </c>
      <c r="AO148" s="1">
        <v>10855</v>
      </c>
      <c r="AP148" s="1">
        <v>50339</v>
      </c>
      <c r="AQ148" s="1">
        <v>17.99697230014019</v>
      </c>
    </row>
    <row r="149" spans="1:43" x14ac:dyDescent="0.45">
      <c r="A149" s="1">
        <v>148</v>
      </c>
      <c r="B149" s="1">
        <v>142</v>
      </c>
      <c r="C149" s="1">
        <v>78</v>
      </c>
      <c r="D149" s="1" t="s">
        <v>67</v>
      </c>
      <c r="E149" s="1" t="s">
        <v>68</v>
      </c>
      <c r="F149" s="1" t="s">
        <v>69</v>
      </c>
      <c r="G149" s="1" t="s">
        <v>46</v>
      </c>
      <c r="H149" s="1" t="s">
        <v>47</v>
      </c>
      <c r="I149" s="1">
        <v>1163</v>
      </c>
      <c r="J149" s="1">
        <v>33073</v>
      </c>
      <c r="K149" s="1">
        <v>1</v>
      </c>
      <c r="L149" s="1">
        <v>77</v>
      </c>
      <c r="M149" s="1">
        <v>1866</v>
      </c>
      <c r="N149" s="1" t="s">
        <v>48</v>
      </c>
      <c r="O149" s="1">
        <v>194568</v>
      </c>
      <c r="P149" s="1">
        <v>93</v>
      </c>
      <c r="Q149" s="1" t="s">
        <v>111</v>
      </c>
      <c r="R149" s="1" t="s">
        <v>50</v>
      </c>
      <c r="S149" s="1">
        <v>0</v>
      </c>
      <c r="T149" s="1">
        <v>0</v>
      </c>
      <c r="U149" s="1">
        <v>71.478999999999999</v>
      </c>
      <c r="V149" s="1">
        <v>25.076000000000001</v>
      </c>
      <c r="W149" s="1">
        <v>0.54</v>
      </c>
      <c r="X149" s="1">
        <v>0.22900000000000001</v>
      </c>
      <c r="Y149" s="1">
        <v>25.303999999999998</v>
      </c>
      <c r="Z149" s="1">
        <v>0.85599999999999998</v>
      </c>
      <c r="AA149" s="1">
        <v>1.6</v>
      </c>
      <c r="AB149" s="1">
        <v>2.1</v>
      </c>
      <c r="AC149" s="1">
        <v>2.1</v>
      </c>
      <c r="AD149" s="1">
        <v>0.22900000000000001</v>
      </c>
      <c r="AE149" s="1">
        <v>0.46700000000000003</v>
      </c>
      <c r="AF149" s="1">
        <v>0.109</v>
      </c>
      <c r="AG149" s="1">
        <v>1.6</v>
      </c>
      <c r="AI149" s="1">
        <v>0</v>
      </c>
      <c r="AJ149" s="1">
        <v>0</v>
      </c>
      <c r="AK149" s="1">
        <v>0</v>
      </c>
      <c r="AL149" s="1">
        <v>1</v>
      </c>
      <c r="AM149" s="1">
        <v>86400</v>
      </c>
      <c r="AN149" s="1">
        <v>76843</v>
      </c>
      <c r="AO149" s="1">
        <v>9536</v>
      </c>
      <c r="AP149" s="1">
        <v>50364</v>
      </c>
      <c r="AQ149" s="1">
        <v>12.87607308566977</v>
      </c>
    </row>
    <row r="150" spans="1:43" x14ac:dyDescent="0.45">
      <c r="A150" s="1">
        <v>149</v>
      </c>
      <c r="B150" s="1">
        <v>142</v>
      </c>
      <c r="C150" s="1">
        <v>78</v>
      </c>
      <c r="D150" s="1" t="s">
        <v>67</v>
      </c>
      <c r="E150" s="1" t="s">
        <v>68</v>
      </c>
      <c r="F150" s="1" t="s">
        <v>69</v>
      </c>
      <c r="G150" s="1" t="s">
        <v>46</v>
      </c>
      <c r="H150" s="1" t="s">
        <v>47</v>
      </c>
      <c r="I150" s="1">
        <v>1163</v>
      </c>
      <c r="J150" s="1">
        <v>33073</v>
      </c>
      <c r="K150" s="1">
        <v>1</v>
      </c>
      <c r="L150" s="1">
        <v>77</v>
      </c>
      <c r="M150" s="1">
        <v>1867</v>
      </c>
      <c r="N150" s="1" t="s">
        <v>48</v>
      </c>
      <c r="O150" s="1">
        <v>194569</v>
      </c>
      <c r="P150" s="1">
        <v>93</v>
      </c>
      <c r="Q150" s="1" t="s">
        <v>111</v>
      </c>
      <c r="R150" s="1" t="s">
        <v>50</v>
      </c>
      <c r="S150" s="1">
        <v>0</v>
      </c>
      <c r="T150" s="1">
        <v>0</v>
      </c>
      <c r="U150" s="1">
        <v>97.01</v>
      </c>
      <c r="V150" s="1">
        <v>25.157</v>
      </c>
      <c r="W150" s="1">
        <v>0.52</v>
      </c>
      <c r="X150" s="1">
        <v>0.156</v>
      </c>
      <c r="Y150" s="1">
        <v>25.312999999999999</v>
      </c>
      <c r="Z150" s="1">
        <v>0.36599999999999999</v>
      </c>
      <c r="AA150" s="1">
        <v>1.4</v>
      </c>
      <c r="AB150" s="1">
        <v>-1.8</v>
      </c>
      <c r="AC150" s="1">
        <v>-1.8</v>
      </c>
      <c r="AD150" s="1">
        <v>0.156</v>
      </c>
      <c r="AE150" s="1">
        <v>6.5000000000000002E-2</v>
      </c>
      <c r="AF150" s="1">
        <v>2.5000000000000001E-2</v>
      </c>
      <c r="AG150" s="1">
        <v>1.4</v>
      </c>
      <c r="AI150" s="1">
        <v>0</v>
      </c>
      <c r="AJ150" s="1">
        <v>0</v>
      </c>
      <c r="AK150" s="1">
        <v>0</v>
      </c>
      <c r="AL150" s="1">
        <v>1</v>
      </c>
      <c r="AM150" s="1">
        <v>50905</v>
      </c>
      <c r="AN150" s="1">
        <v>7356</v>
      </c>
      <c r="AO150" s="1">
        <v>43549</v>
      </c>
      <c r="AP150" s="1">
        <v>50260</v>
      </c>
      <c r="AQ150" s="1">
        <v>17.425376818478529</v>
      </c>
    </row>
    <row r="151" spans="1:43" x14ac:dyDescent="0.45">
      <c r="A151" s="1">
        <v>150</v>
      </c>
      <c r="B151" s="1">
        <v>142</v>
      </c>
      <c r="C151" s="1">
        <v>78</v>
      </c>
      <c r="D151" s="1" t="s">
        <v>67</v>
      </c>
      <c r="E151" s="1" t="s">
        <v>68</v>
      </c>
      <c r="F151" s="1" t="s">
        <v>69</v>
      </c>
      <c r="G151" s="1" t="s">
        <v>46</v>
      </c>
      <c r="H151" s="1" t="s">
        <v>47</v>
      </c>
      <c r="I151" s="1">
        <v>1163</v>
      </c>
      <c r="J151" s="1">
        <v>33073</v>
      </c>
      <c r="K151" s="1">
        <v>1</v>
      </c>
      <c r="L151" s="1">
        <v>77</v>
      </c>
      <c r="M151" s="1">
        <v>1868</v>
      </c>
      <c r="N151" s="1" t="s">
        <v>48</v>
      </c>
      <c r="O151" s="1">
        <v>194573</v>
      </c>
      <c r="P151" s="1">
        <v>93</v>
      </c>
      <c r="Q151" s="1" t="s">
        <v>111</v>
      </c>
      <c r="R151" s="1" t="s">
        <v>50</v>
      </c>
      <c r="S151" s="1">
        <v>0</v>
      </c>
      <c r="T151" s="1">
        <v>0</v>
      </c>
      <c r="U151" s="1">
        <v>165.15899999999999</v>
      </c>
      <c r="V151" s="1">
        <v>25.164000000000001</v>
      </c>
      <c r="W151" s="1">
        <v>0.53</v>
      </c>
      <c r="X151" s="1">
        <v>0.158</v>
      </c>
      <c r="Y151" s="1">
        <v>25.321999999999999</v>
      </c>
      <c r="Z151" s="1">
        <v>0.28199999999999997</v>
      </c>
      <c r="AA151" s="1">
        <v>1.3</v>
      </c>
      <c r="AB151" s="1">
        <v>1.8</v>
      </c>
      <c r="AC151" s="1">
        <v>1.8</v>
      </c>
      <c r="AD151" s="1">
        <v>0.158</v>
      </c>
      <c r="AE151" s="1">
        <v>0.25700000000000001</v>
      </c>
      <c r="AF151" s="1">
        <v>4.1000000000000002E-2</v>
      </c>
      <c r="AG151" s="1">
        <v>1.3</v>
      </c>
      <c r="AI151" s="1">
        <v>0</v>
      </c>
      <c r="AJ151" s="1">
        <v>0</v>
      </c>
      <c r="AK151" s="1">
        <v>0</v>
      </c>
      <c r="AL151" s="1">
        <v>1</v>
      </c>
      <c r="AM151" s="1">
        <v>50915</v>
      </c>
      <c r="AN151" s="1">
        <v>7402</v>
      </c>
      <c r="AO151" s="1">
        <v>43513</v>
      </c>
      <c r="AP151" s="1">
        <v>50288</v>
      </c>
      <c r="AQ151" s="1">
        <v>0.17497394775129299</v>
      </c>
    </row>
    <row r="152" spans="1:43" x14ac:dyDescent="0.45">
      <c r="A152" s="1">
        <v>151</v>
      </c>
      <c r="B152" s="1">
        <v>142</v>
      </c>
      <c r="C152" s="1">
        <v>78</v>
      </c>
      <c r="D152" s="1" t="s">
        <v>67</v>
      </c>
      <c r="E152" s="1" t="s">
        <v>68</v>
      </c>
      <c r="F152" s="1" t="s">
        <v>69</v>
      </c>
      <c r="G152" s="1" t="s">
        <v>46</v>
      </c>
      <c r="H152" s="1" t="s">
        <v>47</v>
      </c>
      <c r="I152" s="1">
        <v>1163</v>
      </c>
      <c r="J152" s="1">
        <v>33073</v>
      </c>
      <c r="K152" s="1">
        <v>1</v>
      </c>
      <c r="L152" s="1">
        <v>77</v>
      </c>
      <c r="M152" s="1">
        <v>1971</v>
      </c>
      <c r="N152" s="1" t="s">
        <v>48</v>
      </c>
      <c r="O152" s="1">
        <v>197553</v>
      </c>
      <c r="P152" s="1">
        <v>93</v>
      </c>
      <c r="Q152" s="1" t="s">
        <v>111</v>
      </c>
      <c r="R152" s="1" t="s">
        <v>50</v>
      </c>
      <c r="S152" s="1">
        <v>0</v>
      </c>
      <c r="T152" s="1">
        <v>0</v>
      </c>
      <c r="U152" s="1">
        <v>197.435</v>
      </c>
      <c r="V152" s="1">
        <v>25.481999999999999</v>
      </c>
      <c r="W152" s="1">
        <v>0.52</v>
      </c>
      <c r="X152" s="1">
        <v>0.1</v>
      </c>
      <c r="Y152" s="1">
        <v>25.582000000000001</v>
      </c>
      <c r="Z152" s="1">
        <v>4.7E-2</v>
      </c>
      <c r="AA152" s="1">
        <v>-0.4</v>
      </c>
      <c r="AB152" s="1">
        <v>-0.4</v>
      </c>
      <c r="AC152" s="1">
        <v>-0.4</v>
      </c>
      <c r="AD152" s="1">
        <v>0.1</v>
      </c>
      <c r="AE152" s="1">
        <v>4.7E-2</v>
      </c>
      <c r="AF152" s="1">
        <v>5.0000000000000001E-3</v>
      </c>
      <c r="AG152" s="1">
        <v>-0.4</v>
      </c>
      <c r="AI152" s="1">
        <v>0</v>
      </c>
      <c r="AJ152" s="1">
        <v>0</v>
      </c>
      <c r="AK152" s="1">
        <v>0</v>
      </c>
      <c r="AL152" s="1">
        <v>1</v>
      </c>
      <c r="AM152" s="1">
        <v>51181</v>
      </c>
      <c r="AN152" s="1">
        <v>7736</v>
      </c>
      <c r="AO152" s="1">
        <v>43445</v>
      </c>
      <c r="AP152" s="1">
        <v>47711</v>
      </c>
      <c r="AQ152" s="1">
        <v>10.312824526206111</v>
      </c>
    </row>
    <row r="153" spans="1:43" x14ac:dyDescent="0.45">
      <c r="A153" s="1">
        <v>152</v>
      </c>
      <c r="B153" s="1">
        <v>142</v>
      </c>
      <c r="C153" s="1">
        <v>78</v>
      </c>
      <c r="D153" s="1" t="s">
        <v>67</v>
      </c>
      <c r="E153" s="1" t="s">
        <v>68</v>
      </c>
      <c r="F153" s="1" t="s">
        <v>69</v>
      </c>
      <c r="G153" s="1" t="s">
        <v>46</v>
      </c>
      <c r="H153" s="1" t="s">
        <v>47</v>
      </c>
      <c r="I153" s="1">
        <v>1163</v>
      </c>
      <c r="J153" s="1">
        <v>33073</v>
      </c>
      <c r="K153" s="1">
        <v>1</v>
      </c>
      <c r="L153" s="1">
        <v>77</v>
      </c>
      <c r="M153" s="1">
        <v>1972</v>
      </c>
      <c r="N153" s="1" t="s">
        <v>48</v>
      </c>
      <c r="O153" s="1">
        <v>197554</v>
      </c>
      <c r="P153" s="1">
        <v>93</v>
      </c>
      <c r="Q153" s="1" t="s">
        <v>111</v>
      </c>
      <c r="R153" s="1" t="s">
        <v>50</v>
      </c>
      <c r="S153" s="1">
        <v>0</v>
      </c>
      <c r="T153" s="1">
        <v>0</v>
      </c>
      <c r="U153" s="1">
        <v>145.07400000000001</v>
      </c>
      <c r="V153" s="1">
        <v>25.436</v>
      </c>
      <c r="W153" s="1">
        <v>0.52</v>
      </c>
      <c r="X153" s="1">
        <v>0.14599999999999999</v>
      </c>
      <c r="Y153" s="1">
        <v>25.582000000000001</v>
      </c>
      <c r="Z153" s="1">
        <v>4.8000000000000001E-2</v>
      </c>
      <c r="AA153" s="1">
        <v>-0.3</v>
      </c>
      <c r="AB153" s="1">
        <v>-0.3</v>
      </c>
      <c r="AC153" s="1">
        <v>-0.3</v>
      </c>
      <c r="AD153" s="1">
        <v>0.14599999999999999</v>
      </c>
      <c r="AE153" s="1">
        <v>4.8000000000000001E-2</v>
      </c>
      <c r="AF153" s="1">
        <v>7.0000000000000001E-3</v>
      </c>
      <c r="AG153" s="1">
        <v>-0.3</v>
      </c>
      <c r="AI153" s="1">
        <v>0</v>
      </c>
      <c r="AJ153" s="1">
        <v>0</v>
      </c>
      <c r="AK153" s="1">
        <v>0</v>
      </c>
      <c r="AL153" s="1">
        <v>1</v>
      </c>
      <c r="AM153" s="1">
        <v>57661</v>
      </c>
      <c r="AN153" s="1">
        <v>17992</v>
      </c>
      <c r="AO153" s="1">
        <v>39669</v>
      </c>
      <c r="AP153" s="1">
        <v>47866</v>
      </c>
      <c r="AQ153" s="1">
        <v>0.29438601974343598</v>
      </c>
    </row>
    <row r="154" spans="1:43" x14ac:dyDescent="0.45">
      <c r="A154" s="1">
        <v>153</v>
      </c>
      <c r="B154" s="1">
        <v>142</v>
      </c>
      <c r="C154" s="1">
        <v>78</v>
      </c>
      <c r="D154" s="1" t="s">
        <v>67</v>
      </c>
      <c r="E154" s="1" t="s">
        <v>68</v>
      </c>
      <c r="F154" s="1" t="s">
        <v>69</v>
      </c>
      <c r="G154" s="1" t="s">
        <v>46</v>
      </c>
      <c r="H154" s="1" t="s">
        <v>47</v>
      </c>
      <c r="I154" s="1">
        <v>1163</v>
      </c>
      <c r="J154" s="1">
        <v>33073</v>
      </c>
      <c r="K154" s="1">
        <v>1</v>
      </c>
      <c r="L154" s="1">
        <v>77</v>
      </c>
      <c r="M154" s="1">
        <v>1974</v>
      </c>
      <c r="N154" s="1" t="s">
        <v>48</v>
      </c>
      <c r="O154" s="1">
        <v>197557</v>
      </c>
      <c r="P154" s="1">
        <v>93</v>
      </c>
      <c r="Q154" s="1" t="s">
        <v>111</v>
      </c>
      <c r="R154" s="1" t="s">
        <v>50</v>
      </c>
      <c r="S154" s="1">
        <v>0</v>
      </c>
      <c r="T154" s="1">
        <v>0</v>
      </c>
      <c r="U154" s="1">
        <v>142.69200000000001</v>
      </c>
      <c r="V154" s="1">
        <v>25.48</v>
      </c>
      <c r="W154" s="1">
        <v>0.52</v>
      </c>
      <c r="X154" s="1">
        <v>0.108</v>
      </c>
      <c r="Y154" s="1">
        <v>25.588000000000001</v>
      </c>
      <c r="Z154" s="1">
        <v>0.158</v>
      </c>
      <c r="AA154" s="1">
        <v>0.2</v>
      </c>
      <c r="AB154" s="1">
        <v>-0.2</v>
      </c>
      <c r="AC154" s="1">
        <v>-0.2</v>
      </c>
      <c r="AD154" s="1">
        <v>0.108</v>
      </c>
      <c r="AE154" s="1">
        <v>0.10199999999999999</v>
      </c>
      <c r="AF154" s="1">
        <v>1.2E-2</v>
      </c>
      <c r="AG154" s="1">
        <v>0.2</v>
      </c>
      <c r="AI154" s="1">
        <v>0</v>
      </c>
      <c r="AJ154" s="1">
        <v>0</v>
      </c>
      <c r="AK154" s="1">
        <v>0</v>
      </c>
      <c r="AL154" s="1">
        <v>1</v>
      </c>
      <c r="AM154" s="1">
        <v>65494</v>
      </c>
      <c r="AN154" s="1">
        <v>36637</v>
      </c>
      <c r="AO154" s="1">
        <v>28858</v>
      </c>
      <c r="AP154" s="1">
        <v>47169</v>
      </c>
      <c r="AQ154" s="1">
        <v>1.489470414585343</v>
      </c>
    </row>
    <row r="155" spans="1:43" x14ac:dyDescent="0.45">
      <c r="A155" s="1">
        <v>154</v>
      </c>
      <c r="B155" s="1">
        <v>143</v>
      </c>
      <c r="C155" s="1">
        <v>64</v>
      </c>
      <c r="D155" s="1" t="s">
        <v>99</v>
      </c>
      <c r="E155" s="1" t="s">
        <v>100</v>
      </c>
      <c r="F155" s="1" t="s">
        <v>101</v>
      </c>
      <c r="G155" s="1" t="s">
        <v>46</v>
      </c>
      <c r="H155" s="1" t="s">
        <v>47</v>
      </c>
      <c r="I155" s="1">
        <v>1411</v>
      </c>
      <c r="J155" s="1">
        <v>38055</v>
      </c>
      <c r="K155" s="1">
        <v>1</v>
      </c>
      <c r="L155" s="1">
        <v>63</v>
      </c>
      <c r="M155" s="1">
        <v>2087</v>
      </c>
      <c r="N155" s="1" t="s">
        <v>48</v>
      </c>
      <c r="O155" s="1">
        <v>198793</v>
      </c>
      <c r="P155" s="1">
        <v>93</v>
      </c>
      <c r="Q155" s="1" t="s">
        <v>111</v>
      </c>
      <c r="R155" s="1" t="s">
        <v>50</v>
      </c>
      <c r="S155" s="1">
        <v>0</v>
      </c>
      <c r="T155" s="1">
        <v>0</v>
      </c>
      <c r="U155" s="1">
        <v>734.44899999999996</v>
      </c>
      <c r="V155" s="1">
        <v>21.827999999999999</v>
      </c>
      <c r="W155" s="1">
        <v>1.61</v>
      </c>
      <c r="X155" s="1">
        <v>4.024</v>
      </c>
      <c r="Y155" s="1">
        <v>25.852</v>
      </c>
      <c r="Z155" s="1">
        <v>3.2000000000000001E-2</v>
      </c>
      <c r="AA155" s="1">
        <v>-0.6</v>
      </c>
      <c r="AB155" s="1">
        <v>-1.1000000000000001</v>
      </c>
      <c r="AC155" s="1">
        <v>-1.1000000000000001</v>
      </c>
      <c r="AD155" s="1">
        <v>4.024</v>
      </c>
      <c r="AE155" s="1">
        <v>1E-3</v>
      </c>
      <c r="AF155" s="1">
        <v>6.0000000000000001E-3</v>
      </c>
      <c r="AI155" s="1">
        <v>0</v>
      </c>
      <c r="AJ155" s="1">
        <v>0</v>
      </c>
      <c r="AK155" s="1">
        <v>0</v>
      </c>
      <c r="AL155" s="1">
        <v>1</v>
      </c>
      <c r="AM155" s="1">
        <v>86400</v>
      </c>
      <c r="AN155" s="1">
        <v>76749</v>
      </c>
      <c r="AO155" s="1">
        <v>9651</v>
      </c>
      <c r="AP155" s="1">
        <v>86179</v>
      </c>
      <c r="AQ155" s="1">
        <v>34.789345584757001</v>
      </c>
    </row>
    <row r="156" spans="1:43" x14ac:dyDescent="0.45">
      <c r="A156" s="1">
        <v>155</v>
      </c>
      <c r="B156" s="1">
        <v>143</v>
      </c>
      <c r="C156" s="1">
        <v>64</v>
      </c>
      <c r="D156" s="1" t="s">
        <v>99</v>
      </c>
      <c r="E156" s="1" t="s">
        <v>100</v>
      </c>
      <c r="F156" s="1" t="s">
        <v>101</v>
      </c>
      <c r="G156" s="1" t="s">
        <v>46</v>
      </c>
      <c r="H156" s="1" t="s">
        <v>47</v>
      </c>
      <c r="I156" s="1">
        <v>1411</v>
      </c>
      <c r="J156" s="1">
        <v>38055</v>
      </c>
      <c r="K156" s="1">
        <v>1</v>
      </c>
      <c r="L156" s="1">
        <v>63</v>
      </c>
      <c r="M156" s="1">
        <v>2090</v>
      </c>
      <c r="N156" s="1" t="s">
        <v>48</v>
      </c>
      <c r="O156" s="1">
        <v>198806</v>
      </c>
      <c r="P156" s="1">
        <v>93</v>
      </c>
      <c r="Q156" s="1" t="s">
        <v>111</v>
      </c>
      <c r="R156" s="1" t="s">
        <v>50</v>
      </c>
      <c r="S156" s="1">
        <v>0</v>
      </c>
      <c r="T156" s="1">
        <v>0</v>
      </c>
      <c r="U156" s="1">
        <v>365.387</v>
      </c>
      <c r="V156" s="1">
        <v>21.681000000000001</v>
      </c>
      <c r="W156" s="1">
        <v>1.64</v>
      </c>
      <c r="X156" s="1">
        <v>4.1710000000000003</v>
      </c>
      <c r="Y156" s="1">
        <v>25.852</v>
      </c>
      <c r="Z156" s="1">
        <v>8.5000000000000006E-2</v>
      </c>
      <c r="AA156" s="1">
        <v>-0.1</v>
      </c>
      <c r="AB156" s="1">
        <v>1.6</v>
      </c>
      <c r="AC156" s="1">
        <v>1.6</v>
      </c>
      <c r="AD156" s="1">
        <v>4.1710000000000003</v>
      </c>
      <c r="AE156" s="1">
        <v>0</v>
      </c>
      <c r="AF156" s="1">
        <v>6.0000000000000001E-3</v>
      </c>
      <c r="AI156" s="1">
        <v>0</v>
      </c>
      <c r="AJ156" s="1">
        <v>0</v>
      </c>
      <c r="AK156" s="1">
        <v>0</v>
      </c>
      <c r="AL156" s="1">
        <v>1</v>
      </c>
      <c r="AM156" s="1">
        <v>86400</v>
      </c>
      <c r="AN156" s="1">
        <v>81041</v>
      </c>
      <c r="AO156" s="1">
        <v>5359</v>
      </c>
      <c r="AP156" s="1">
        <v>86211</v>
      </c>
      <c r="AQ156" s="1">
        <v>3.6435071118563251</v>
      </c>
    </row>
    <row r="157" spans="1:43" x14ac:dyDescent="0.45">
      <c r="A157" s="1">
        <v>156</v>
      </c>
      <c r="B157" s="1">
        <v>143</v>
      </c>
      <c r="C157" s="1">
        <v>64</v>
      </c>
      <c r="D157" s="1" t="s">
        <v>99</v>
      </c>
      <c r="E157" s="1" t="s">
        <v>100</v>
      </c>
      <c r="F157" s="1" t="s">
        <v>101</v>
      </c>
      <c r="G157" s="1" t="s">
        <v>46</v>
      </c>
      <c r="H157" s="1" t="s">
        <v>47</v>
      </c>
      <c r="I157" s="1">
        <v>1411</v>
      </c>
      <c r="J157" s="1">
        <v>38055</v>
      </c>
      <c r="K157" s="1">
        <v>1</v>
      </c>
      <c r="L157" s="1">
        <v>63</v>
      </c>
      <c r="M157" s="1">
        <v>2091</v>
      </c>
      <c r="N157" s="1" t="s">
        <v>48</v>
      </c>
      <c r="O157" s="1">
        <v>198808</v>
      </c>
      <c r="P157" s="1">
        <v>93</v>
      </c>
      <c r="Q157" s="1" t="s">
        <v>111</v>
      </c>
      <c r="R157" s="1" t="s">
        <v>50</v>
      </c>
      <c r="S157" s="1">
        <v>0</v>
      </c>
      <c r="T157" s="1">
        <v>0</v>
      </c>
      <c r="U157" s="1">
        <v>222.95500000000001</v>
      </c>
      <c r="V157" s="1">
        <v>21.597000000000001</v>
      </c>
      <c r="W157" s="1">
        <v>1.65</v>
      </c>
      <c r="X157" s="1">
        <v>4.2549999999999999</v>
      </c>
      <c r="Y157" s="1">
        <v>25.852</v>
      </c>
      <c r="Z157" s="1">
        <v>0.104</v>
      </c>
      <c r="AA157" s="1">
        <v>-0.4</v>
      </c>
      <c r="AB157" s="1">
        <v>1.1000000000000001</v>
      </c>
      <c r="AC157" s="1">
        <v>1.1000000000000001</v>
      </c>
      <c r="AD157" s="1">
        <v>4.2549999999999999</v>
      </c>
      <c r="AE157" s="1">
        <v>4.0000000000000001E-3</v>
      </c>
      <c r="AF157" s="1">
        <v>0.11600000000000001</v>
      </c>
      <c r="AG157" s="1">
        <v>-0.4</v>
      </c>
      <c r="AI157" s="1">
        <v>0</v>
      </c>
      <c r="AJ157" s="1">
        <v>0</v>
      </c>
      <c r="AK157" s="1">
        <v>0</v>
      </c>
      <c r="AL157" s="1">
        <v>1</v>
      </c>
      <c r="AM157" s="1">
        <v>86400</v>
      </c>
      <c r="AN157" s="1">
        <v>81571</v>
      </c>
      <c r="AO157" s="1">
        <v>4829</v>
      </c>
      <c r="AP157" s="1">
        <v>86294</v>
      </c>
      <c r="AQ157" s="1">
        <v>11.654956863190669</v>
      </c>
    </row>
    <row r="158" spans="1:43" x14ac:dyDescent="0.45">
      <c r="A158" s="1">
        <v>157</v>
      </c>
      <c r="B158" s="1">
        <v>143</v>
      </c>
      <c r="C158" s="1">
        <v>64</v>
      </c>
      <c r="D158" s="1" t="s">
        <v>99</v>
      </c>
      <c r="E158" s="1" t="s">
        <v>100</v>
      </c>
      <c r="F158" s="1" t="s">
        <v>101</v>
      </c>
      <c r="G158" s="1" t="s">
        <v>46</v>
      </c>
      <c r="H158" s="1" t="s">
        <v>47</v>
      </c>
      <c r="I158" s="1">
        <v>1411</v>
      </c>
      <c r="J158" s="1">
        <v>38055</v>
      </c>
      <c r="K158" s="1">
        <v>1</v>
      </c>
      <c r="L158" s="1">
        <v>63</v>
      </c>
      <c r="M158" s="1">
        <v>2092</v>
      </c>
      <c r="N158" s="1" t="s">
        <v>48</v>
      </c>
      <c r="O158" s="1">
        <v>198816</v>
      </c>
      <c r="P158" s="1">
        <v>93</v>
      </c>
      <c r="Q158" s="1" t="s">
        <v>111</v>
      </c>
      <c r="R158" s="1" t="s">
        <v>50</v>
      </c>
      <c r="S158" s="1">
        <v>0</v>
      </c>
      <c r="T158" s="1">
        <v>0</v>
      </c>
      <c r="U158" s="1">
        <v>120.09</v>
      </c>
      <c r="V158" s="1">
        <v>21.809000000000001</v>
      </c>
      <c r="W158" s="1">
        <v>1.62</v>
      </c>
      <c r="X158" s="1">
        <v>4.0419999999999998</v>
      </c>
      <c r="Y158" s="1">
        <v>25.852</v>
      </c>
      <c r="Z158" s="1">
        <v>2.7E-2</v>
      </c>
      <c r="AA158" s="1">
        <v>-1.3</v>
      </c>
      <c r="AB158" s="1">
        <v>2.1</v>
      </c>
      <c r="AC158" s="1">
        <v>2.1</v>
      </c>
      <c r="AD158" s="1">
        <v>4.0419999999999998</v>
      </c>
      <c r="AE158" s="1">
        <v>0</v>
      </c>
      <c r="AF158" s="1">
        <v>6.0000000000000001E-3</v>
      </c>
      <c r="AI158" s="1">
        <v>0</v>
      </c>
      <c r="AJ158" s="1">
        <v>0</v>
      </c>
      <c r="AK158" s="1">
        <v>0</v>
      </c>
      <c r="AL158" s="1">
        <v>1</v>
      </c>
      <c r="AM158" s="1">
        <v>86400</v>
      </c>
      <c r="AN158" s="1">
        <v>77549</v>
      </c>
      <c r="AO158" s="1">
        <v>8851</v>
      </c>
      <c r="AP158" s="1">
        <v>86241</v>
      </c>
      <c r="AQ158" s="1">
        <v>12.706252394481499</v>
      </c>
    </row>
    <row r="159" spans="1:43" x14ac:dyDescent="0.45">
      <c r="A159" s="1">
        <v>158</v>
      </c>
      <c r="B159" s="1">
        <v>143</v>
      </c>
      <c r="C159" s="1">
        <v>64</v>
      </c>
      <c r="D159" s="1" t="s">
        <v>99</v>
      </c>
      <c r="E159" s="1" t="s">
        <v>100</v>
      </c>
      <c r="F159" s="1" t="s">
        <v>101</v>
      </c>
      <c r="G159" s="1" t="s">
        <v>46</v>
      </c>
      <c r="H159" s="1" t="s">
        <v>47</v>
      </c>
      <c r="I159" s="1">
        <v>1411</v>
      </c>
      <c r="J159" s="1">
        <v>38055</v>
      </c>
      <c r="K159" s="1">
        <v>1</v>
      </c>
      <c r="L159" s="1">
        <v>63</v>
      </c>
      <c r="M159" s="1">
        <v>2093</v>
      </c>
      <c r="N159" s="1" t="s">
        <v>48</v>
      </c>
      <c r="O159" s="1">
        <v>198817</v>
      </c>
      <c r="P159" s="1">
        <v>93</v>
      </c>
      <c r="Q159" s="1" t="s">
        <v>111</v>
      </c>
      <c r="R159" s="1" t="s">
        <v>50</v>
      </c>
      <c r="S159" s="1">
        <v>0</v>
      </c>
      <c r="T159" s="1">
        <v>0</v>
      </c>
      <c r="U159" s="1">
        <v>120.09</v>
      </c>
      <c r="V159" s="1">
        <v>21.742999999999999</v>
      </c>
      <c r="W159" s="1">
        <v>1.63</v>
      </c>
      <c r="X159" s="1">
        <v>4.109</v>
      </c>
      <c r="Y159" s="1">
        <v>25.852</v>
      </c>
      <c r="Z159" s="1">
        <v>2.9000000000000001E-2</v>
      </c>
      <c r="AA159" s="1">
        <v>-1.8</v>
      </c>
      <c r="AB159" s="1">
        <v>2.1</v>
      </c>
      <c r="AC159" s="1">
        <v>2.1</v>
      </c>
      <c r="AD159" s="1">
        <v>4.109</v>
      </c>
      <c r="AE159" s="1">
        <v>0</v>
      </c>
      <c r="AF159" s="1">
        <v>6.0000000000000001E-3</v>
      </c>
      <c r="AI159" s="1">
        <v>0</v>
      </c>
      <c r="AJ159" s="1">
        <v>0</v>
      </c>
      <c r="AK159" s="1">
        <v>0</v>
      </c>
      <c r="AL159" s="1">
        <v>1</v>
      </c>
      <c r="AM159" s="1">
        <v>86400</v>
      </c>
      <c r="AN159" s="1">
        <v>79725</v>
      </c>
      <c r="AO159" s="1">
        <v>6675</v>
      </c>
      <c r="AP159" s="1">
        <v>86200</v>
      </c>
      <c r="AQ159" s="1">
        <v>13.2008896502241</v>
      </c>
    </row>
    <row r="160" spans="1:43" x14ac:dyDescent="0.45">
      <c r="A160" s="1">
        <v>159</v>
      </c>
      <c r="B160" s="1">
        <v>143</v>
      </c>
      <c r="C160" s="1">
        <v>64</v>
      </c>
      <c r="D160" s="1" t="s">
        <v>99</v>
      </c>
      <c r="E160" s="1" t="s">
        <v>100</v>
      </c>
      <c r="F160" s="1" t="s">
        <v>101</v>
      </c>
      <c r="G160" s="1" t="s">
        <v>46</v>
      </c>
      <c r="H160" s="1" t="s">
        <v>47</v>
      </c>
      <c r="I160" s="1">
        <v>1411</v>
      </c>
      <c r="J160" s="1">
        <v>38055</v>
      </c>
      <c r="K160" s="1">
        <v>1</v>
      </c>
      <c r="L160" s="1">
        <v>63</v>
      </c>
      <c r="M160" s="1">
        <v>2094</v>
      </c>
      <c r="N160" s="1" t="s">
        <v>48</v>
      </c>
      <c r="O160" s="1">
        <v>198818</v>
      </c>
      <c r="P160" s="1">
        <v>93</v>
      </c>
      <c r="Q160" s="1" t="s">
        <v>111</v>
      </c>
      <c r="R160" s="1" t="s">
        <v>50</v>
      </c>
      <c r="S160" s="1">
        <v>0</v>
      </c>
      <c r="T160" s="1">
        <v>0</v>
      </c>
      <c r="U160" s="1">
        <v>217.74799999999999</v>
      </c>
      <c r="V160" s="1">
        <v>21.881</v>
      </c>
      <c r="W160" s="1">
        <v>1.61</v>
      </c>
      <c r="X160" s="1">
        <v>3.97</v>
      </c>
      <c r="Y160" s="1">
        <v>25.852</v>
      </c>
      <c r="Z160" s="1">
        <v>2.5999999999999999E-2</v>
      </c>
      <c r="AA160" s="1">
        <v>-2</v>
      </c>
      <c r="AB160" s="1">
        <v>1.7</v>
      </c>
      <c r="AC160" s="1">
        <v>1.7</v>
      </c>
      <c r="AD160" s="1">
        <v>3.97</v>
      </c>
      <c r="AE160" s="1">
        <v>0</v>
      </c>
      <c r="AF160" s="1">
        <v>6.0000000000000001E-3</v>
      </c>
      <c r="AI160" s="1">
        <v>0</v>
      </c>
      <c r="AJ160" s="1">
        <v>0</v>
      </c>
      <c r="AK160" s="1">
        <v>0</v>
      </c>
      <c r="AL160" s="1">
        <v>1</v>
      </c>
      <c r="AM160" s="1">
        <v>86400</v>
      </c>
      <c r="AN160" s="1">
        <v>74134</v>
      </c>
      <c r="AO160" s="1">
        <v>12266</v>
      </c>
      <c r="AP160" s="1">
        <v>86239</v>
      </c>
      <c r="AQ160" s="1">
        <v>2.1189163386238858</v>
      </c>
    </row>
    <row r="161" spans="1:43" x14ac:dyDescent="0.45">
      <c r="A161" s="1">
        <v>160</v>
      </c>
      <c r="B161" s="1">
        <v>143</v>
      </c>
      <c r="C161" s="1">
        <v>64</v>
      </c>
      <c r="D161" s="1" t="s">
        <v>99</v>
      </c>
      <c r="E161" s="1" t="s">
        <v>100</v>
      </c>
      <c r="F161" s="1" t="s">
        <v>101</v>
      </c>
      <c r="G161" s="1" t="s">
        <v>46</v>
      </c>
      <c r="H161" s="1" t="s">
        <v>47</v>
      </c>
      <c r="I161" s="1">
        <v>1411</v>
      </c>
      <c r="J161" s="1">
        <v>38055</v>
      </c>
      <c r="K161" s="1">
        <v>1</v>
      </c>
      <c r="L161" s="1">
        <v>63</v>
      </c>
      <c r="M161" s="1">
        <v>2095</v>
      </c>
      <c r="N161" s="1" t="s">
        <v>48</v>
      </c>
      <c r="O161" s="1">
        <v>198819</v>
      </c>
      <c r="P161" s="1">
        <v>93</v>
      </c>
      <c r="Q161" s="1" t="s">
        <v>111</v>
      </c>
      <c r="R161" s="1" t="s">
        <v>50</v>
      </c>
      <c r="S161" s="1">
        <v>0</v>
      </c>
      <c r="T161" s="1">
        <v>0</v>
      </c>
      <c r="U161" s="1">
        <v>726.38900000000001</v>
      </c>
      <c r="V161" s="1">
        <v>21.905000000000001</v>
      </c>
      <c r="W161" s="1">
        <v>1.6</v>
      </c>
      <c r="X161" s="1">
        <v>3.9460000000000002</v>
      </c>
      <c r="Y161" s="1">
        <v>25.852</v>
      </c>
      <c r="Z161" s="1">
        <v>1.2E-2</v>
      </c>
      <c r="AA161" s="1">
        <v>-1.2</v>
      </c>
      <c r="AB161" s="1">
        <v>-3</v>
      </c>
      <c r="AC161" s="1">
        <v>-3</v>
      </c>
      <c r="AD161" s="1">
        <v>3.9460000000000002</v>
      </c>
      <c r="AE161" s="1">
        <v>1E-3</v>
      </c>
      <c r="AF161" s="1">
        <v>6.0000000000000001E-3</v>
      </c>
      <c r="AI161" s="1">
        <v>0</v>
      </c>
      <c r="AJ161" s="1">
        <v>0</v>
      </c>
      <c r="AK161" s="1">
        <v>0</v>
      </c>
      <c r="AL161" s="1">
        <v>1</v>
      </c>
      <c r="AM161" s="1">
        <v>86400</v>
      </c>
      <c r="AN161" s="1">
        <v>72678</v>
      </c>
      <c r="AO161" s="1">
        <v>13722</v>
      </c>
      <c r="AP161" s="1">
        <v>86305</v>
      </c>
      <c r="AQ161" s="1">
        <v>15.517125055435439</v>
      </c>
    </row>
    <row r="162" spans="1:43" x14ac:dyDescent="0.45">
      <c r="A162" s="1">
        <v>161</v>
      </c>
      <c r="B162" s="1">
        <v>143</v>
      </c>
      <c r="C162" s="1">
        <v>64</v>
      </c>
      <c r="D162" s="1" t="s">
        <v>99</v>
      </c>
      <c r="E162" s="1" t="s">
        <v>100</v>
      </c>
      <c r="F162" s="1" t="s">
        <v>101</v>
      </c>
      <c r="G162" s="1" t="s">
        <v>46</v>
      </c>
      <c r="H162" s="1" t="s">
        <v>47</v>
      </c>
      <c r="I162" s="1">
        <v>1411</v>
      </c>
      <c r="J162" s="1">
        <v>38055</v>
      </c>
      <c r="K162" s="1">
        <v>1</v>
      </c>
      <c r="L162" s="1">
        <v>63</v>
      </c>
      <c r="M162" s="1">
        <v>2098</v>
      </c>
      <c r="N162" s="1" t="s">
        <v>48</v>
      </c>
      <c r="O162" s="1">
        <v>198822</v>
      </c>
      <c r="P162" s="1">
        <v>93</v>
      </c>
      <c r="Q162" s="1" t="s">
        <v>111</v>
      </c>
      <c r="R162" s="1" t="s">
        <v>50</v>
      </c>
      <c r="S162" s="1">
        <v>0</v>
      </c>
      <c r="T162" s="1">
        <v>0</v>
      </c>
      <c r="U162" s="1">
        <v>452.39499999999998</v>
      </c>
      <c r="V162" s="1">
        <v>21.888000000000002</v>
      </c>
      <c r="W162" s="1">
        <v>1.6</v>
      </c>
      <c r="X162" s="1">
        <v>3.964</v>
      </c>
      <c r="Y162" s="1">
        <v>25.852</v>
      </c>
      <c r="Z162" s="1">
        <v>3.4000000000000002E-2</v>
      </c>
      <c r="AA162" s="1">
        <v>-1.6</v>
      </c>
      <c r="AB162" s="1">
        <v>-1.7</v>
      </c>
      <c r="AC162" s="1">
        <v>-1.7</v>
      </c>
      <c r="AD162" s="1">
        <v>3.964</v>
      </c>
      <c r="AE162" s="1">
        <v>1E-3</v>
      </c>
      <c r="AF162" s="1">
        <v>1.2E-2</v>
      </c>
      <c r="AI162" s="1">
        <v>0</v>
      </c>
      <c r="AJ162" s="1">
        <v>0</v>
      </c>
      <c r="AK162" s="1">
        <v>0</v>
      </c>
      <c r="AL162" s="1">
        <v>1</v>
      </c>
      <c r="AM162" s="1">
        <v>86400</v>
      </c>
      <c r="AN162" s="1">
        <v>73748</v>
      </c>
      <c r="AO162" s="1">
        <v>12652</v>
      </c>
      <c r="AP162" s="1">
        <v>86223</v>
      </c>
      <c r="AQ162" s="1">
        <v>2.3511520457252209</v>
      </c>
    </row>
    <row r="163" spans="1:43" x14ac:dyDescent="0.45">
      <c r="A163" s="1">
        <v>162</v>
      </c>
      <c r="B163" s="1">
        <v>143</v>
      </c>
      <c r="C163" s="1">
        <v>64</v>
      </c>
      <c r="D163" s="1" t="s">
        <v>99</v>
      </c>
      <c r="E163" s="1" t="s">
        <v>100</v>
      </c>
      <c r="F163" s="1" t="s">
        <v>101</v>
      </c>
      <c r="G163" s="1" t="s">
        <v>46</v>
      </c>
      <c r="H163" s="1" t="s">
        <v>47</v>
      </c>
      <c r="I163" s="1">
        <v>1411</v>
      </c>
      <c r="J163" s="1">
        <v>38055</v>
      </c>
      <c r="K163" s="1">
        <v>1</v>
      </c>
      <c r="L163" s="1">
        <v>63</v>
      </c>
      <c r="M163" s="1">
        <v>2099</v>
      </c>
      <c r="N163" s="1" t="s">
        <v>48</v>
      </c>
      <c r="O163" s="1">
        <v>198823</v>
      </c>
      <c r="P163" s="1">
        <v>93</v>
      </c>
      <c r="Q163" s="1" t="s">
        <v>111</v>
      </c>
      <c r="R163" s="1" t="s">
        <v>50</v>
      </c>
      <c r="S163" s="1">
        <v>0</v>
      </c>
      <c r="T163" s="1">
        <v>0</v>
      </c>
      <c r="U163" s="1">
        <v>457.721</v>
      </c>
      <c r="V163" s="1">
        <v>21.972000000000001</v>
      </c>
      <c r="W163" s="1">
        <v>1.59</v>
      </c>
      <c r="X163" s="1">
        <v>3.88</v>
      </c>
      <c r="Y163" s="1">
        <v>25.852</v>
      </c>
      <c r="Z163" s="1">
        <v>1.7999999999999999E-2</v>
      </c>
      <c r="AA163" s="1">
        <v>0.5</v>
      </c>
      <c r="AB163" s="1">
        <v>-1</v>
      </c>
      <c r="AC163" s="1">
        <v>-1</v>
      </c>
      <c r="AD163" s="1">
        <v>3.88</v>
      </c>
      <c r="AE163" s="1">
        <v>0</v>
      </c>
      <c r="AF163" s="1">
        <v>7.0000000000000001E-3</v>
      </c>
      <c r="AI163" s="1">
        <v>0</v>
      </c>
      <c r="AJ163" s="1">
        <v>0</v>
      </c>
      <c r="AK163" s="1">
        <v>0</v>
      </c>
      <c r="AL163" s="1">
        <v>1</v>
      </c>
      <c r="AM163" s="1">
        <v>86400</v>
      </c>
      <c r="AN163" s="1">
        <v>68482</v>
      </c>
      <c r="AO163" s="1">
        <v>17918</v>
      </c>
      <c r="AP163" s="1">
        <v>86370</v>
      </c>
      <c r="AQ163" s="1">
        <v>35.312191187687972</v>
      </c>
    </row>
    <row r="164" spans="1:43" x14ac:dyDescent="0.45">
      <c r="A164" s="1">
        <v>163</v>
      </c>
      <c r="B164" s="1">
        <v>143</v>
      </c>
      <c r="C164" s="1">
        <v>64</v>
      </c>
      <c r="D164" s="1" t="s">
        <v>99</v>
      </c>
      <c r="E164" s="1" t="s">
        <v>100</v>
      </c>
      <c r="F164" s="1" t="s">
        <v>101</v>
      </c>
      <c r="G164" s="1" t="s">
        <v>46</v>
      </c>
      <c r="H164" s="1" t="s">
        <v>47</v>
      </c>
      <c r="I164" s="1">
        <v>1411</v>
      </c>
      <c r="J164" s="1">
        <v>38055</v>
      </c>
      <c r="K164" s="1">
        <v>1</v>
      </c>
      <c r="L164" s="1">
        <v>63</v>
      </c>
      <c r="M164" s="1">
        <v>2100</v>
      </c>
      <c r="N164" s="1" t="s">
        <v>48</v>
      </c>
      <c r="O164" s="1">
        <v>198824</v>
      </c>
      <c r="P164" s="1">
        <v>93</v>
      </c>
      <c r="Q164" s="1" t="s">
        <v>111</v>
      </c>
      <c r="R164" s="1" t="s">
        <v>50</v>
      </c>
      <c r="S164" s="1">
        <v>0</v>
      </c>
      <c r="T164" s="1">
        <v>0</v>
      </c>
      <c r="U164" s="1">
        <v>446.22899999999998</v>
      </c>
      <c r="V164" s="1">
        <v>21.9</v>
      </c>
      <c r="W164" s="1">
        <v>1.6</v>
      </c>
      <c r="X164" s="1">
        <v>3.9510000000000001</v>
      </c>
      <c r="Y164" s="1">
        <v>25.852</v>
      </c>
      <c r="Z164" s="1">
        <v>2.5000000000000001E-2</v>
      </c>
      <c r="AA164" s="1">
        <v>-1.7</v>
      </c>
      <c r="AB164" s="1">
        <v>-2.2999999999999998</v>
      </c>
      <c r="AC164" s="1">
        <v>-2.2999999999999998</v>
      </c>
      <c r="AD164" s="1">
        <v>3.9510000000000001</v>
      </c>
      <c r="AE164" s="1">
        <v>1E-3</v>
      </c>
      <c r="AF164" s="1">
        <v>1.4E-2</v>
      </c>
      <c r="AI164" s="1">
        <v>0</v>
      </c>
      <c r="AJ164" s="1">
        <v>0</v>
      </c>
      <c r="AK164" s="1">
        <v>0</v>
      </c>
      <c r="AL164" s="1">
        <v>1</v>
      </c>
      <c r="AM164" s="1">
        <v>86400</v>
      </c>
      <c r="AN164" s="1">
        <v>72976</v>
      </c>
      <c r="AO164" s="1">
        <v>13424</v>
      </c>
      <c r="AP164" s="1">
        <v>86180</v>
      </c>
      <c r="AQ164" s="1">
        <v>8.3137607800890159</v>
      </c>
    </row>
    <row r="165" spans="1:43" x14ac:dyDescent="0.45">
      <c r="A165" s="1">
        <v>164</v>
      </c>
      <c r="B165" s="1">
        <v>143</v>
      </c>
      <c r="C165" s="1">
        <v>64</v>
      </c>
      <c r="D165" s="1" t="s">
        <v>99</v>
      </c>
      <c r="E165" s="1" t="s">
        <v>100</v>
      </c>
      <c r="F165" s="1" t="s">
        <v>101</v>
      </c>
      <c r="G165" s="1" t="s">
        <v>46</v>
      </c>
      <c r="H165" s="1" t="s">
        <v>47</v>
      </c>
      <c r="I165" s="1">
        <v>1411</v>
      </c>
      <c r="J165" s="1">
        <v>38055</v>
      </c>
      <c r="K165" s="1">
        <v>1</v>
      </c>
      <c r="L165" s="1">
        <v>63</v>
      </c>
      <c r="M165" s="1">
        <v>2101</v>
      </c>
      <c r="N165" s="1" t="s">
        <v>48</v>
      </c>
      <c r="O165" s="1">
        <v>198825</v>
      </c>
      <c r="P165" s="1">
        <v>93</v>
      </c>
      <c r="Q165" s="1" t="s">
        <v>111</v>
      </c>
      <c r="R165" s="1" t="s">
        <v>50</v>
      </c>
      <c r="S165" s="1">
        <v>0</v>
      </c>
      <c r="T165" s="1">
        <v>0</v>
      </c>
      <c r="U165" s="1">
        <v>420.69600000000003</v>
      </c>
      <c r="V165" s="1">
        <v>21.959</v>
      </c>
      <c r="W165" s="1">
        <v>1.59</v>
      </c>
      <c r="X165" s="1">
        <v>3.8929999999999998</v>
      </c>
      <c r="Y165" s="1">
        <v>25.852</v>
      </c>
      <c r="Z165" s="1">
        <v>0.02</v>
      </c>
      <c r="AA165" s="1">
        <v>-0.4</v>
      </c>
      <c r="AB165" s="1">
        <v>-2.7</v>
      </c>
      <c r="AC165" s="1">
        <v>-2.7</v>
      </c>
      <c r="AD165" s="1">
        <v>3.8929999999999998</v>
      </c>
      <c r="AE165" s="1">
        <v>0</v>
      </c>
      <c r="AF165" s="1">
        <v>1.2E-2</v>
      </c>
      <c r="AI165" s="1">
        <v>0</v>
      </c>
      <c r="AJ165" s="1">
        <v>0</v>
      </c>
      <c r="AK165" s="1">
        <v>0</v>
      </c>
      <c r="AL165" s="1">
        <v>1</v>
      </c>
      <c r="AM165" s="1">
        <v>86400</v>
      </c>
      <c r="AN165" s="1">
        <v>69341</v>
      </c>
      <c r="AO165" s="1">
        <v>17059</v>
      </c>
      <c r="AP165" s="1">
        <v>86148</v>
      </c>
      <c r="AQ165" s="1">
        <v>29.450804754772161</v>
      </c>
    </row>
    <row r="166" spans="1:43" x14ac:dyDescent="0.45">
      <c r="A166" s="1">
        <v>165</v>
      </c>
      <c r="B166" s="1">
        <v>143</v>
      </c>
      <c r="C166" s="1">
        <v>64</v>
      </c>
      <c r="D166" s="1" t="s">
        <v>99</v>
      </c>
      <c r="E166" s="1" t="s">
        <v>100</v>
      </c>
      <c r="F166" s="1" t="s">
        <v>101</v>
      </c>
      <c r="G166" s="1" t="s">
        <v>46</v>
      </c>
      <c r="H166" s="1" t="s">
        <v>47</v>
      </c>
      <c r="I166" s="1">
        <v>1411</v>
      </c>
      <c r="J166" s="1">
        <v>38055</v>
      </c>
      <c r="K166" s="1">
        <v>1</v>
      </c>
      <c r="L166" s="1">
        <v>63</v>
      </c>
      <c r="M166" s="1">
        <v>2102</v>
      </c>
      <c r="N166" s="1" t="s">
        <v>48</v>
      </c>
      <c r="O166" s="1">
        <v>198827</v>
      </c>
      <c r="P166" s="1">
        <v>93</v>
      </c>
      <c r="Q166" s="1" t="s">
        <v>111</v>
      </c>
      <c r="R166" s="1" t="s">
        <v>50</v>
      </c>
      <c r="S166" s="1">
        <v>0</v>
      </c>
      <c r="T166" s="1">
        <v>0</v>
      </c>
      <c r="U166" s="1">
        <v>182.84700000000001</v>
      </c>
      <c r="V166" s="1">
        <v>21.972999999999999</v>
      </c>
      <c r="W166" s="1">
        <v>1.59</v>
      </c>
      <c r="X166" s="1">
        <v>3.8780000000000001</v>
      </c>
      <c r="Y166" s="1">
        <v>25.852</v>
      </c>
      <c r="Z166" s="1">
        <v>2.3E-2</v>
      </c>
      <c r="AA166" s="1">
        <v>-1.7</v>
      </c>
      <c r="AB166" s="1">
        <v>-2.7</v>
      </c>
      <c r="AC166" s="1">
        <v>-2.7</v>
      </c>
      <c r="AD166" s="1">
        <v>3.8780000000000001</v>
      </c>
      <c r="AE166" s="1">
        <v>0</v>
      </c>
      <c r="AF166" s="1">
        <v>2E-3</v>
      </c>
      <c r="AI166" s="1">
        <v>0</v>
      </c>
      <c r="AJ166" s="1">
        <v>0</v>
      </c>
      <c r="AK166" s="1">
        <v>0</v>
      </c>
      <c r="AL166" s="1">
        <v>1</v>
      </c>
      <c r="AM166" s="1">
        <v>86400</v>
      </c>
      <c r="AN166" s="1">
        <v>68377</v>
      </c>
      <c r="AO166" s="1">
        <v>18023</v>
      </c>
      <c r="AP166" s="1">
        <v>86243</v>
      </c>
      <c r="AQ166" s="1">
        <v>13.316750333865579</v>
      </c>
    </row>
    <row r="167" spans="1:43" x14ac:dyDescent="0.45">
      <c r="A167" s="1">
        <v>166</v>
      </c>
      <c r="B167" s="1">
        <v>143</v>
      </c>
      <c r="C167" s="1">
        <v>64</v>
      </c>
      <c r="D167" s="1" t="s">
        <v>99</v>
      </c>
      <c r="E167" s="1" t="s">
        <v>100</v>
      </c>
      <c r="F167" s="1" t="s">
        <v>101</v>
      </c>
      <c r="G167" s="1" t="s">
        <v>46</v>
      </c>
      <c r="H167" s="1" t="s">
        <v>47</v>
      </c>
      <c r="I167" s="1">
        <v>1411</v>
      </c>
      <c r="J167" s="1">
        <v>38055</v>
      </c>
      <c r="K167" s="1">
        <v>1</v>
      </c>
      <c r="L167" s="1">
        <v>63</v>
      </c>
      <c r="M167" s="1">
        <v>2103</v>
      </c>
      <c r="N167" s="1" t="s">
        <v>48</v>
      </c>
      <c r="O167" s="1">
        <v>198828</v>
      </c>
      <c r="P167" s="1">
        <v>93</v>
      </c>
      <c r="Q167" s="1" t="s">
        <v>111</v>
      </c>
      <c r="R167" s="1" t="s">
        <v>50</v>
      </c>
      <c r="S167" s="1">
        <v>0</v>
      </c>
      <c r="T167" s="1">
        <v>0</v>
      </c>
      <c r="U167" s="1">
        <v>91.424000000000007</v>
      </c>
      <c r="V167" s="1">
        <v>22.026</v>
      </c>
      <c r="W167" s="1">
        <v>1.58</v>
      </c>
      <c r="X167" s="1">
        <v>3.8260000000000001</v>
      </c>
      <c r="Y167" s="1">
        <v>25.852</v>
      </c>
      <c r="Z167" s="1">
        <v>2.1000000000000001E-2</v>
      </c>
      <c r="AA167" s="1">
        <v>-2.2000000000000002</v>
      </c>
      <c r="AB167" s="1">
        <v>-2.7</v>
      </c>
      <c r="AC167" s="1">
        <v>-2.7</v>
      </c>
      <c r="AD167" s="1">
        <v>3.8260000000000001</v>
      </c>
      <c r="AE167" s="1">
        <v>0</v>
      </c>
      <c r="AF167" s="1">
        <v>2E-3</v>
      </c>
      <c r="AI167" s="1">
        <v>0</v>
      </c>
      <c r="AJ167" s="1">
        <v>0</v>
      </c>
      <c r="AK167" s="1">
        <v>0</v>
      </c>
      <c r="AL167" s="1">
        <v>1</v>
      </c>
      <c r="AM167" s="1">
        <v>86400</v>
      </c>
      <c r="AN167" s="1">
        <v>65272</v>
      </c>
      <c r="AO167" s="1">
        <v>21128</v>
      </c>
      <c r="AP167" s="1">
        <v>86248</v>
      </c>
      <c r="AQ167" s="1">
        <v>6.674381404519357</v>
      </c>
    </row>
    <row r="168" spans="1:43" x14ac:dyDescent="0.45">
      <c r="A168" s="1">
        <v>167</v>
      </c>
      <c r="B168" s="1">
        <v>143</v>
      </c>
      <c r="C168" s="1">
        <v>64</v>
      </c>
      <c r="D168" s="1" t="s">
        <v>99</v>
      </c>
      <c r="E168" s="1" t="s">
        <v>100</v>
      </c>
      <c r="F168" s="1" t="s">
        <v>101</v>
      </c>
      <c r="G168" s="1" t="s">
        <v>46</v>
      </c>
      <c r="H168" s="1" t="s">
        <v>47</v>
      </c>
      <c r="I168" s="1">
        <v>1411</v>
      </c>
      <c r="J168" s="1">
        <v>38055</v>
      </c>
      <c r="K168" s="1">
        <v>1</v>
      </c>
      <c r="L168" s="1">
        <v>63</v>
      </c>
      <c r="M168" s="1">
        <v>2105</v>
      </c>
      <c r="N168" s="1" t="s">
        <v>48</v>
      </c>
      <c r="O168" s="1">
        <v>198830</v>
      </c>
      <c r="P168" s="1">
        <v>93</v>
      </c>
      <c r="Q168" s="1" t="s">
        <v>111</v>
      </c>
      <c r="R168" s="1" t="s">
        <v>50</v>
      </c>
      <c r="S168" s="1">
        <v>0</v>
      </c>
      <c r="T168" s="1">
        <v>0</v>
      </c>
      <c r="U168" s="1">
        <v>91.95</v>
      </c>
      <c r="V168" s="1">
        <v>22.048999999999999</v>
      </c>
      <c r="W168" s="1">
        <v>1.58</v>
      </c>
      <c r="X168" s="1">
        <v>3.8029999999999999</v>
      </c>
      <c r="Y168" s="1">
        <v>25.852</v>
      </c>
      <c r="Z168" s="1">
        <v>1.7999999999999999E-2</v>
      </c>
      <c r="AA168" s="1">
        <v>-3.1</v>
      </c>
      <c r="AB168" s="1">
        <v>-1.9</v>
      </c>
      <c r="AC168" s="1">
        <v>-1.9</v>
      </c>
      <c r="AD168" s="1">
        <v>3.8029999999999999</v>
      </c>
      <c r="AE168" s="1">
        <v>1E-3</v>
      </c>
      <c r="AF168" s="1">
        <v>1.6E-2</v>
      </c>
      <c r="AI168" s="1">
        <v>0</v>
      </c>
      <c r="AJ168" s="1">
        <v>0</v>
      </c>
      <c r="AK168" s="1">
        <v>0</v>
      </c>
      <c r="AL168" s="1">
        <v>1</v>
      </c>
      <c r="AM168" s="1">
        <v>86400</v>
      </c>
      <c r="AN168" s="1">
        <v>63939</v>
      </c>
      <c r="AO168" s="1">
        <v>22461</v>
      </c>
      <c r="AP168" s="1">
        <v>86266</v>
      </c>
      <c r="AQ168" s="1">
        <v>9.6539209687867764</v>
      </c>
    </row>
    <row r="169" spans="1:43" x14ac:dyDescent="0.45">
      <c r="A169" s="1">
        <v>168</v>
      </c>
      <c r="B169" s="1">
        <v>143</v>
      </c>
      <c r="C169" s="1">
        <v>64</v>
      </c>
      <c r="D169" s="1" t="s">
        <v>99</v>
      </c>
      <c r="E169" s="1" t="s">
        <v>100</v>
      </c>
      <c r="F169" s="1" t="s">
        <v>101</v>
      </c>
      <c r="G169" s="1" t="s">
        <v>46</v>
      </c>
      <c r="H169" s="1" t="s">
        <v>47</v>
      </c>
      <c r="I169" s="1">
        <v>1411</v>
      </c>
      <c r="J169" s="1">
        <v>38055</v>
      </c>
      <c r="K169" s="1">
        <v>1</v>
      </c>
      <c r="L169" s="1">
        <v>63</v>
      </c>
      <c r="M169" s="1">
        <v>2106</v>
      </c>
      <c r="N169" s="1" t="s">
        <v>48</v>
      </c>
      <c r="O169" s="1">
        <v>198831</v>
      </c>
      <c r="P169" s="1">
        <v>93</v>
      </c>
      <c r="Q169" s="1" t="s">
        <v>111</v>
      </c>
      <c r="R169" s="1" t="s">
        <v>50</v>
      </c>
      <c r="S169" s="1">
        <v>0</v>
      </c>
      <c r="T169" s="1">
        <v>0</v>
      </c>
      <c r="U169" s="1">
        <v>52.819000000000003</v>
      </c>
      <c r="V169" s="1">
        <v>22.129000000000001</v>
      </c>
      <c r="W169" s="1">
        <v>1.57</v>
      </c>
      <c r="X169" s="1">
        <v>3.7229999999999999</v>
      </c>
      <c r="Y169" s="1">
        <v>25.852</v>
      </c>
      <c r="Z169" s="1">
        <v>3.6999999999999998E-2</v>
      </c>
      <c r="AA169" s="1">
        <v>-2.2000000000000002</v>
      </c>
      <c r="AB169" s="1">
        <v>-2.7</v>
      </c>
      <c r="AC169" s="1">
        <v>-2.7</v>
      </c>
      <c r="AD169" s="1">
        <v>3.7229999999999999</v>
      </c>
      <c r="AE169" s="1">
        <v>1E-3</v>
      </c>
      <c r="AF169" s="1">
        <v>2.1000000000000001E-2</v>
      </c>
      <c r="AI169" s="1">
        <v>0</v>
      </c>
      <c r="AJ169" s="1">
        <v>0</v>
      </c>
      <c r="AK169" s="1">
        <v>0</v>
      </c>
      <c r="AL169" s="1">
        <v>1</v>
      </c>
      <c r="AM169" s="1">
        <v>86400</v>
      </c>
      <c r="AN169" s="1">
        <v>59784</v>
      </c>
      <c r="AO169" s="1">
        <v>26616</v>
      </c>
      <c r="AP169" s="1">
        <v>86362</v>
      </c>
      <c r="AQ169" s="1">
        <v>2.634079656688562</v>
      </c>
    </row>
    <row r="170" spans="1:43" x14ac:dyDescent="0.45">
      <c r="A170" s="1">
        <v>169</v>
      </c>
      <c r="B170" s="1">
        <v>143</v>
      </c>
      <c r="C170" s="1">
        <v>64</v>
      </c>
      <c r="D170" s="1" t="s">
        <v>99</v>
      </c>
      <c r="E170" s="1" t="s">
        <v>100</v>
      </c>
      <c r="F170" s="1" t="s">
        <v>101</v>
      </c>
      <c r="G170" s="1" t="s">
        <v>46</v>
      </c>
      <c r="H170" s="1" t="s">
        <v>47</v>
      </c>
      <c r="I170" s="1">
        <v>1411</v>
      </c>
      <c r="J170" s="1">
        <v>38055</v>
      </c>
      <c r="K170" s="1">
        <v>1</v>
      </c>
      <c r="L170" s="1">
        <v>63</v>
      </c>
      <c r="M170" s="1">
        <v>2107</v>
      </c>
      <c r="N170" s="1" t="s">
        <v>48</v>
      </c>
      <c r="O170" s="1">
        <v>198878</v>
      </c>
      <c r="P170" s="1">
        <v>93</v>
      </c>
      <c r="Q170" s="1" t="s">
        <v>111</v>
      </c>
      <c r="R170" s="1" t="s">
        <v>50</v>
      </c>
      <c r="S170" s="1">
        <v>0</v>
      </c>
      <c r="T170" s="1">
        <v>0</v>
      </c>
      <c r="U170" s="1">
        <v>73.399000000000001</v>
      </c>
      <c r="V170" s="1">
        <v>22.128</v>
      </c>
      <c r="W170" s="1">
        <v>1.57</v>
      </c>
      <c r="X170" s="1">
        <v>3.7240000000000002</v>
      </c>
      <c r="Y170" s="1">
        <v>25.852</v>
      </c>
      <c r="Z170" s="1">
        <v>5.5E-2</v>
      </c>
      <c r="AA170" s="1">
        <v>-2.9</v>
      </c>
      <c r="AB170" s="1">
        <v>1.9</v>
      </c>
      <c r="AC170" s="1">
        <v>1.9</v>
      </c>
      <c r="AD170" s="1">
        <v>3.7240000000000002</v>
      </c>
      <c r="AE170" s="1">
        <v>6.0000000000000001E-3</v>
      </c>
      <c r="AF170" s="1">
        <v>7.0999999999999994E-2</v>
      </c>
      <c r="AI170" s="1">
        <v>0</v>
      </c>
      <c r="AJ170" s="1">
        <v>0</v>
      </c>
      <c r="AK170" s="1">
        <v>0</v>
      </c>
      <c r="AL170" s="1">
        <v>1</v>
      </c>
      <c r="AM170" s="1">
        <v>86400</v>
      </c>
      <c r="AN170" s="1">
        <v>59843</v>
      </c>
      <c r="AO170" s="1">
        <v>26557</v>
      </c>
      <c r="AP170" s="1">
        <v>86258</v>
      </c>
      <c r="AQ170" s="1">
        <v>7.1279075815975794</v>
      </c>
    </row>
    <row r="171" spans="1:43" x14ac:dyDescent="0.45">
      <c r="A171" s="1">
        <v>170</v>
      </c>
      <c r="B171" s="1">
        <v>143</v>
      </c>
      <c r="C171" s="1">
        <v>64</v>
      </c>
      <c r="D171" s="1" t="s">
        <v>99</v>
      </c>
      <c r="E171" s="1" t="s">
        <v>100</v>
      </c>
      <c r="F171" s="1" t="s">
        <v>101</v>
      </c>
      <c r="G171" s="1" t="s">
        <v>46</v>
      </c>
      <c r="H171" s="1" t="s">
        <v>47</v>
      </c>
      <c r="I171" s="1">
        <v>1411</v>
      </c>
      <c r="J171" s="1">
        <v>38055</v>
      </c>
      <c r="K171" s="1">
        <v>1</v>
      </c>
      <c r="L171" s="1">
        <v>63</v>
      </c>
      <c r="M171" s="1">
        <v>2108</v>
      </c>
      <c r="N171" s="1" t="s">
        <v>48</v>
      </c>
      <c r="O171" s="1">
        <v>198880</v>
      </c>
      <c r="P171" s="1">
        <v>93</v>
      </c>
      <c r="Q171" s="1" t="s">
        <v>111</v>
      </c>
      <c r="R171" s="1" t="s">
        <v>50</v>
      </c>
      <c r="S171" s="1">
        <v>0</v>
      </c>
      <c r="T171" s="1">
        <v>0</v>
      </c>
      <c r="U171" s="1">
        <v>136.09700000000001</v>
      </c>
      <c r="V171" s="1">
        <v>21.954999999999998</v>
      </c>
      <c r="W171" s="1">
        <v>1.59</v>
      </c>
      <c r="X171" s="1">
        <v>3.8969999999999998</v>
      </c>
      <c r="Y171" s="1">
        <v>25.852</v>
      </c>
      <c r="Z171" s="1">
        <v>3.7999999999999999E-2</v>
      </c>
      <c r="AA171" s="1">
        <v>-1.8</v>
      </c>
      <c r="AB171" s="1">
        <v>1.9</v>
      </c>
      <c r="AC171" s="1">
        <v>1.9</v>
      </c>
      <c r="AD171" s="1">
        <v>3.8969999999999998</v>
      </c>
      <c r="AE171" s="1">
        <v>0</v>
      </c>
      <c r="AF171" s="1">
        <v>4.0000000000000001E-3</v>
      </c>
      <c r="AI171" s="1">
        <v>0</v>
      </c>
      <c r="AJ171" s="1">
        <v>0</v>
      </c>
      <c r="AK171" s="1">
        <v>0</v>
      </c>
      <c r="AL171" s="1">
        <v>1</v>
      </c>
      <c r="AM171" s="1">
        <v>86400</v>
      </c>
      <c r="AN171" s="1">
        <v>69646</v>
      </c>
      <c r="AO171" s="1">
        <v>16754</v>
      </c>
      <c r="AP171" s="1">
        <v>86310</v>
      </c>
      <c r="AQ171" s="1">
        <v>7.2449964355107257</v>
      </c>
    </row>
    <row r="172" spans="1:43" x14ac:dyDescent="0.45">
      <c r="A172" s="1">
        <v>171</v>
      </c>
      <c r="B172" s="1">
        <v>168</v>
      </c>
      <c r="C172" s="1">
        <v>76</v>
      </c>
      <c r="D172" s="1" t="s">
        <v>118</v>
      </c>
      <c r="E172" s="1" t="s">
        <v>119</v>
      </c>
      <c r="F172" s="1" t="s">
        <v>120</v>
      </c>
      <c r="G172" s="1" t="s">
        <v>46</v>
      </c>
      <c r="H172" s="1" t="s">
        <v>47</v>
      </c>
      <c r="I172" s="1">
        <v>679</v>
      </c>
      <c r="J172" s="1">
        <v>24380</v>
      </c>
      <c r="K172" s="1">
        <v>1</v>
      </c>
      <c r="L172" s="1">
        <v>75</v>
      </c>
      <c r="M172" s="1">
        <v>1758</v>
      </c>
      <c r="N172" s="1" t="s">
        <v>48</v>
      </c>
      <c r="O172" s="1">
        <v>194050</v>
      </c>
      <c r="P172" s="1">
        <v>93</v>
      </c>
      <c r="Q172" s="1" t="s">
        <v>111</v>
      </c>
      <c r="R172" s="1" t="s">
        <v>50</v>
      </c>
      <c r="S172" s="1">
        <v>0</v>
      </c>
      <c r="T172" s="1">
        <v>0</v>
      </c>
      <c r="U172" s="1">
        <v>681.69200000000001</v>
      </c>
      <c r="V172" s="1">
        <v>25.199000000000002</v>
      </c>
      <c r="W172" s="1">
        <v>0.52</v>
      </c>
      <c r="X172" s="1">
        <v>0.13500000000000001</v>
      </c>
      <c r="Y172" s="1">
        <v>25.335000000000001</v>
      </c>
      <c r="Z172" s="1">
        <v>6.4000000000000001E-2</v>
      </c>
      <c r="AA172" s="1">
        <v>-0.8</v>
      </c>
      <c r="AB172" s="1">
        <v>-0.9</v>
      </c>
      <c r="AC172" s="1">
        <v>-0.9</v>
      </c>
      <c r="AD172" s="1">
        <v>0.13500000000000001</v>
      </c>
      <c r="AE172" s="1">
        <v>5.2999999999999999E-2</v>
      </c>
      <c r="AF172" s="1">
        <v>7.0000000000000001E-3</v>
      </c>
      <c r="AG172" s="1">
        <v>-0.8</v>
      </c>
      <c r="AI172" s="1">
        <v>0</v>
      </c>
      <c r="AJ172" s="1">
        <v>0</v>
      </c>
      <c r="AK172" s="1">
        <v>0</v>
      </c>
      <c r="AL172" s="1">
        <v>1</v>
      </c>
      <c r="AM172" s="1">
        <v>54429</v>
      </c>
      <c r="AN172" s="1">
        <v>14276</v>
      </c>
      <c r="AO172" s="1">
        <v>40153</v>
      </c>
      <c r="AP172" s="1">
        <v>49409</v>
      </c>
      <c r="AQ172" s="1">
        <v>0.28784801782867719</v>
      </c>
    </row>
    <row r="173" spans="1:43" x14ac:dyDescent="0.45">
      <c r="A173" s="1">
        <v>172</v>
      </c>
      <c r="B173" s="1">
        <v>170</v>
      </c>
      <c r="C173" s="1">
        <v>89</v>
      </c>
      <c r="D173" s="1" t="s">
        <v>121</v>
      </c>
      <c r="E173" s="1" t="s">
        <v>122</v>
      </c>
      <c r="F173" s="1" t="s">
        <v>123</v>
      </c>
      <c r="G173" s="1" t="s">
        <v>54</v>
      </c>
      <c r="H173" s="1" t="s">
        <v>47</v>
      </c>
      <c r="I173" s="1">
        <v>766</v>
      </c>
      <c r="J173" s="1">
        <v>21382</v>
      </c>
      <c r="K173" s="1">
        <v>1</v>
      </c>
      <c r="L173" s="1">
        <v>88</v>
      </c>
      <c r="M173" s="1">
        <v>1871</v>
      </c>
      <c r="N173" s="1" t="s">
        <v>48</v>
      </c>
      <c r="O173" s="1">
        <v>195155</v>
      </c>
      <c r="P173" s="1">
        <v>93</v>
      </c>
      <c r="Q173" s="1" t="s">
        <v>111</v>
      </c>
      <c r="R173" s="1" t="s">
        <v>50</v>
      </c>
      <c r="S173" s="1">
        <v>0</v>
      </c>
      <c r="T173" s="1">
        <v>0</v>
      </c>
      <c r="U173" s="1">
        <v>53.843000000000004</v>
      </c>
      <c r="V173" s="1">
        <v>20.477</v>
      </c>
      <c r="W173" s="1">
        <v>1.75</v>
      </c>
      <c r="X173" s="1">
        <v>4.2889999999999997</v>
      </c>
      <c r="Y173" s="1">
        <v>24.765999999999998</v>
      </c>
      <c r="Z173" s="1">
        <v>0.23400000000000001</v>
      </c>
      <c r="AA173" s="1">
        <v>0.6</v>
      </c>
      <c r="AB173" s="1">
        <v>0.6</v>
      </c>
      <c r="AC173" s="1">
        <v>0.6</v>
      </c>
      <c r="AD173" s="1">
        <v>4.2869999999999999</v>
      </c>
      <c r="AE173" s="1">
        <v>0.23200000000000001</v>
      </c>
      <c r="AF173" s="1">
        <v>0.999</v>
      </c>
      <c r="AG173" s="1">
        <v>0.6</v>
      </c>
      <c r="AI173" s="1">
        <v>0</v>
      </c>
      <c r="AJ173" s="1">
        <v>0</v>
      </c>
      <c r="AK173" s="1">
        <v>0</v>
      </c>
      <c r="AL173" s="1">
        <v>1</v>
      </c>
      <c r="AM173" s="1">
        <v>86400</v>
      </c>
      <c r="AN173" s="1">
        <v>77669</v>
      </c>
      <c r="AO173" s="1">
        <v>8731</v>
      </c>
      <c r="AP173" s="1">
        <v>50575</v>
      </c>
      <c r="AQ173" s="1">
        <v>5.6937170470055518</v>
      </c>
    </row>
    <row r="174" spans="1:43" x14ac:dyDescent="0.45">
      <c r="A174" s="1">
        <v>173</v>
      </c>
      <c r="B174" s="1">
        <v>170</v>
      </c>
      <c r="C174" s="1">
        <v>89</v>
      </c>
      <c r="D174" s="1" t="s">
        <v>121</v>
      </c>
      <c r="E174" s="1" t="s">
        <v>122</v>
      </c>
      <c r="F174" s="1" t="s">
        <v>123</v>
      </c>
      <c r="G174" s="1" t="s">
        <v>54</v>
      </c>
      <c r="H174" s="1" t="s">
        <v>47</v>
      </c>
      <c r="I174" s="1">
        <v>766</v>
      </c>
      <c r="J174" s="1">
        <v>21382</v>
      </c>
      <c r="K174" s="1">
        <v>1</v>
      </c>
      <c r="L174" s="1">
        <v>88</v>
      </c>
      <c r="M174" s="1">
        <v>1879</v>
      </c>
      <c r="N174" s="1" t="s">
        <v>48</v>
      </c>
      <c r="O174" s="1">
        <v>195163</v>
      </c>
      <c r="P174" s="1">
        <v>93</v>
      </c>
      <c r="Q174" s="1" t="s">
        <v>111</v>
      </c>
      <c r="R174" s="1" t="s">
        <v>50</v>
      </c>
      <c r="S174" s="1">
        <v>0</v>
      </c>
      <c r="T174" s="1">
        <v>0</v>
      </c>
      <c r="U174" s="1">
        <v>77.653000000000006</v>
      </c>
      <c r="V174" s="1">
        <v>21.117000000000001</v>
      </c>
      <c r="W174" s="1">
        <v>1.56</v>
      </c>
      <c r="X174" s="1">
        <v>3.653</v>
      </c>
      <c r="Y174" s="1">
        <v>24.771000000000001</v>
      </c>
      <c r="Z174" s="1">
        <v>0.54100000000000004</v>
      </c>
      <c r="AA174" s="1">
        <v>1.7</v>
      </c>
      <c r="AB174" s="1">
        <v>2</v>
      </c>
      <c r="AC174" s="1">
        <v>1.4</v>
      </c>
      <c r="AD174" s="1">
        <v>3.6419999999999999</v>
      </c>
      <c r="AE174" s="1">
        <v>2.5000000000000001E-2</v>
      </c>
      <c r="AF174" s="1">
        <v>0.11700000000000001</v>
      </c>
      <c r="AG174" s="1">
        <v>1.7</v>
      </c>
      <c r="AI174" s="1">
        <v>0</v>
      </c>
      <c r="AJ174" s="1">
        <v>0</v>
      </c>
      <c r="AK174" s="1">
        <v>0</v>
      </c>
      <c r="AL174" s="1">
        <v>1</v>
      </c>
      <c r="AM174" s="1">
        <v>76582</v>
      </c>
      <c r="AN174" s="1">
        <v>50606</v>
      </c>
      <c r="AO174" s="1">
        <v>25942</v>
      </c>
      <c r="AP174" s="1">
        <v>50632</v>
      </c>
      <c r="AQ174" s="1">
        <v>7.1683937504640411</v>
      </c>
    </row>
    <row r="175" spans="1:43" x14ac:dyDescent="0.45">
      <c r="A175" s="1">
        <v>174</v>
      </c>
      <c r="B175" s="1">
        <v>170</v>
      </c>
      <c r="C175" s="1">
        <v>89</v>
      </c>
      <c r="D175" s="1" t="s">
        <v>121</v>
      </c>
      <c r="E175" s="1" t="s">
        <v>122</v>
      </c>
      <c r="F175" s="1" t="s">
        <v>123</v>
      </c>
      <c r="G175" s="1" t="s">
        <v>54</v>
      </c>
      <c r="H175" s="1" t="s">
        <v>47</v>
      </c>
      <c r="I175" s="1">
        <v>766</v>
      </c>
      <c r="J175" s="1">
        <v>21382</v>
      </c>
      <c r="K175" s="1">
        <v>1</v>
      </c>
      <c r="L175" s="1">
        <v>88</v>
      </c>
      <c r="M175" s="1">
        <v>1881</v>
      </c>
      <c r="N175" s="1" t="s">
        <v>48</v>
      </c>
      <c r="O175" s="1">
        <v>195165</v>
      </c>
      <c r="P175" s="1">
        <v>93</v>
      </c>
      <c r="Q175" s="1" t="s">
        <v>111</v>
      </c>
      <c r="R175" s="1" t="s">
        <v>50</v>
      </c>
      <c r="S175" s="1">
        <v>0</v>
      </c>
      <c r="T175" s="1">
        <v>0</v>
      </c>
      <c r="U175" s="1">
        <v>82.712999999999994</v>
      </c>
      <c r="V175" s="1">
        <v>21.097999999999999</v>
      </c>
      <c r="W175" s="1">
        <v>1.58</v>
      </c>
      <c r="X175" s="1">
        <v>3.6739999999999999</v>
      </c>
      <c r="Y175" s="1">
        <v>24.773</v>
      </c>
      <c r="Z175" s="1">
        <v>0.72699999999999998</v>
      </c>
      <c r="AA175" s="1">
        <v>1.4</v>
      </c>
      <c r="AB175" s="1">
        <v>2.1</v>
      </c>
      <c r="AC175" s="1">
        <v>2.1</v>
      </c>
      <c r="AD175" s="1">
        <v>3.665</v>
      </c>
      <c r="AE175" s="1">
        <v>5.8000000000000003E-2</v>
      </c>
      <c r="AF175" s="1">
        <v>0.21199999999999999</v>
      </c>
      <c r="AG175" s="1">
        <v>1.4</v>
      </c>
      <c r="AI175" s="1">
        <v>0</v>
      </c>
      <c r="AJ175" s="1">
        <v>0</v>
      </c>
      <c r="AK175" s="1">
        <v>0</v>
      </c>
      <c r="AL175" s="1">
        <v>1</v>
      </c>
      <c r="AM175" s="1">
        <v>77915</v>
      </c>
      <c r="AN175" s="1">
        <v>59295</v>
      </c>
      <c r="AO175" s="1">
        <v>18552</v>
      </c>
      <c r="AP175" s="1">
        <v>50617</v>
      </c>
      <c r="AQ175" s="1">
        <v>6.6330805374352551</v>
      </c>
    </row>
    <row r="176" spans="1:43" x14ac:dyDescent="0.45">
      <c r="A176" s="1">
        <v>175</v>
      </c>
      <c r="B176" s="1">
        <v>170</v>
      </c>
      <c r="C176" s="1">
        <v>89</v>
      </c>
      <c r="D176" s="1" t="s">
        <v>121</v>
      </c>
      <c r="E176" s="1" t="s">
        <v>122</v>
      </c>
      <c r="F176" s="1" t="s">
        <v>123</v>
      </c>
      <c r="G176" s="1" t="s">
        <v>54</v>
      </c>
      <c r="H176" s="1" t="s">
        <v>47</v>
      </c>
      <c r="I176" s="1">
        <v>766</v>
      </c>
      <c r="J176" s="1">
        <v>21382</v>
      </c>
      <c r="K176" s="1">
        <v>1</v>
      </c>
      <c r="L176" s="1">
        <v>88</v>
      </c>
      <c r="M176" s="1">
        <v>1882</v>
      </c>
      <c r="N176" s="1" t="s">
        <v>48</v>
      </c>
      <c r="O176" s="1">
        <v>195168</v>
      </c>
      <c r="P176" s="1">
        <v>93</v>
      </c>
      <c r="Q176" s="1" t="s">
        <v>111</v>
      </c>
      <c r="R176" s="1" t="s">
        <v>50</v>
      </c>
      <c r="S176" s="1">
        <v>0</v>
      </c>
      <c r="T176" s="1">
        <v>0</v>
      </c>
      <c r="U176" s="1">
        <v>136.03899999999999</v>
      </c>
      <c r="V176" s="1">
        <v>21.044</v>
      </c>
      <c r="W176" s="1">
        <v>1.59</v>
      </c>
      <c r="X176" s="1">
        <v>3.7229999999999999</v>
      </c>
      <c r="Y176" s="1">
        <v>24.768000000000001</v>
      </c>
      <c r="Z176" s="1">
        <v>0.42399999999999999</v>
      </c>
      <c r="AA176" s="1">
        <v>0.4</v>
      </c>
      <c r="AB176" s="1">
        <v>0.4</v>
      </c>
      <c r="AC176" s="1">
        <v>0.4</v>
      </c>
      <c r="AD176" s="1">
        <v>3.7189999999999999</v>
      </c>
      <c r="AE176" s="1">
        <v>5.3999999999999999E-2</v>
      </c>
      <c r="AF176" s="1">
        <v>0.20599999999999999</v>
      </c>
      <c r="AG176" s="1">
        <v>0.4</v>
      </c>
      <c r="AI176" s="1">
        <v>0</v>
      </c>
      <c r="AJ176" s="1">
        <v>0</v>
      </c>
      <c r="AK176" s="1">
        <v>0</v>
      </c>
      <c r="AL176" s="1">
        <v>1</v>
      </c>
      <c r="AM176" s="1">
        <v>86400</v>
      </c>
      <c r="AN176" s="1">
        <v>73500</v>
      </c>
      <c r="AO176" s="1">
        <v>12900</v>
      </c>
      <c r="AP176" s="1">
        <v>50629</v>
      </c>
      <c r="AQ176" s="1">
        <v>21.579620393168941</v>
      </c>
    </row>
    <row r="177" spans="1:43" x14ac:dyDescent="0.45">
      <c r="A177" s="1">
        <v>176</v>
      </c>
      <c r="B177" s="1">
        <v>170</v>
      </c>
      <c r="C177" s="1">
        <v>89</v>
      </c>
      <c r="D177" s="1" t="s">
        <v>121</v>
      </c>
      <c r="E177" s="1" t="s">
        <v>122</v>
      </c>
      <c r="F177" s="1" t="s">
        <v>123</v>
      </c>
      <c r="G177" s="1" t="s">
        <v>54</v>
      </c>
      <c r="H177" s="1" t="s">
        <v>47</v>
      </c>
      <c r="I177" s="1">
        <v>766</v>
      </c>
      <c r="J177" s="1">
        <v>21382</v>
      </c>
      <c r="K177" s="1">
        <v>1</v>
      </c>
      <c r="L177" s="1">
        <v>88</v>
      </c>
      <c r="M177" s="1">
        <v>1883</v>
      </c>
      <c r="N177" s="1" t="s">
        <v>48</v>
      </c>
      <c r="O177" s="1">
        <v>195169</v>
      </c>
      <c r="P177" s="1">
        <v>93</v>
      </c>
      <c r="Q177" s="1" t="s">
        <v>111</v>
      </c>
      <c r="R177" s="1" t="s">
        <v>50</v>
      </c>
      <c r="S177" s="1">
        <v>0</v>
      </c>
      <c r="T177" s="1">
        <v>0</v>
      </c>
      <c r="U177" s="1">
        <v>82.075999999999993</v>
      </c>
      <c r="V177" s="1">
        <v>20.9</v>
      </c>
      <c r="W177" s="1">
        <v>1.61</v>
      </c>
      <c r="X177" s="1">
        <v>3.867</v>
      </c>
      <c r="Y177" s="1">
        <v>24.768000000000001</v>
      </c>
      <c r="Z177" s="1">
        <v>0.33400000000000002</v>
      </c>
      <c r="AA177" s="1">
        <v>0.7</v>
      </c>
      <c r="AB177" s="1">
        <v>0.5</v>
      </c>
      <c r="AC177" s="1">
        <v>0.6</v>
      </c>
      <c r="AD177" s="1">
        <v>3.8639999999999999</v>
      </c>
      <c r="AE177" s="1">
        <v>5.1999999999999998E-2</v>
      </c>
      <c r="AF177" s="1">
        <v>0.20200000000000001</v>
      </c>
      <c r="AG177" s="1">
        <v>0.7</v>
      </c>
      <c r="AI177" s="1">
        <v>0</v>
      </c>
      <c r="AJ177" s="1">
        <v>0</v>
      </c>
      <c r="AK177" s="1">
        <v>0</v>
      </c>
      <c r="AL177" s="1">
        <v>1</v>
      </c>
      <c r="AM177" s="1">
        <v>86400</v>
      </c>
      <c r="AN177" s="1">
        <v>81342</v>
      </c>
      <c r="AO177" s="1">
        <v>5058</v>
      </c>
      <c r="AP177" s="1">
        <v>50640</v>
      </c>
      <c r="AQ177" s="1">
        <v>0.18602093680121329</v>
      </c>
    </row>
    <row r="178" spans="1:43" x14ac:dyDescent="0.45">
      <c r="A178" s="1">
        <v>177</v>
      </c>
      <c r="B178" s="1">
        <v>170</v>
      </c>
      <c r="C178" s="1">
        <v>89</v>
      </c>
      <c r="D178" s="1" t="s">
        <v>121</v>
      </c>
      <c r="E178" s="1" t="s">
        <v>122</v>
      </c>
      <c r="F178" s="1" t="s">
        <v>123</v>
      </c>
      <c r="G178" s="1" t="s">
        <v>54</v>
      </c>
      <c r="H178" s="1" t="s">
        <v>47</v>
      </c>
      <c r="I178" s="1">
        <v>766</v>
      </c>
      <c r="J178" s="1">
        <v>21382</v>
      </c>
      <c r="K178" s="1">
        <v>1</v>
      </c>
      <c r="L178" s="1">
        <v>88</v>
      </c>
      <c r="M178" s="1">
        <v>1884</v>
      </c>
      <c r="N178" s="1" t="s">
        <v>48</v>
      </c>
      <c r="O178" s="1">
        <v>195170</v>
      </c>
      <c r="P178" s="1">
        <v>93</v>
      </c>
      <c r="Q178" s="1" t="s">
        <v>111</v>
      </c>
      <c r="R178" s="1" t="s">
        <v>50</v>
      </c>
      <c r="S178" s="1">
        <v>0</v>
      </c>
      <c r="T178" s="1">
        <v>0</v>
      </c>
      <c r="U178" s="1">
        <v>66.691999999999993</v>
      </c>
      <c r="V178" s="1">
        <v>21.17</v>
      </c>
      <c r="W178" s="1">
        <v>1.56</v>
      </c>
      <c r="X178" s="1">
        <v>3.5990000000000002</v>
      </c>
      <c r="Y178" s="1">
        <v>24.768999999999998</v>
      </c>
      <c r="Z178" s="1">
        <v>0.28999999999999998</v>
      </c>
      <c r="AA178" s="1">
        <v>0.5</v>
      </c>
      <c r="AB178" s="1">
        <v>0.5</v>
      </c>
      <c r="AC178" s="1">
        <v>0.4</v>
      </c>
      <c r="AD178" s="1">
        <v>3.597</v>
      </c>
      <c r="AE178" s="1">
        <v>4.5999999999999999E-2</v>
      </c>
      <c r="AF178" s="1">
        <v>0.16400000000000001</v>
      </c>
      <c r="AG178" s="1">
        <v>0.5</v>
      </c>
      <c r="AI178" s="1">
        <v>0</v>
      </c>
      <c r="AJ178" s="1">
        <v>0</v>
      </c>
      <c r="AK178" s="1">
        <v>0</v>
      </c>
      <c r="AL178" s="1">
        <v>1</v>
      </c>
      <c r="AM178" s="1">
        <v>75869</v>
      </c>
      <c r="AN178" s="1">
        <v>39543</v>
      </c>
      <c r="AO178" s="1">
        <v>36313</v>
      </c>
      <c r="AP178" s="1">
        <v>50617</v>
      </c>
      <c r="AQ178" s="1">
        <v>13.34484878906739</v>
      </c>
    </row>
    <row r="179" spans="1:43" x14ac:dyDescent="0.45">
      <c r="A179" s="1">
        <v>178</v>
      </c>
      <c r="B179" s="1">
        <v>170</v>
      </c>
      <c r="C179" s="1">
        <v>89</v>
      </c>
      <c r="D179" s="1" t="s">
        <v>121</v>
      </c>
      <c r="E179" s="1" t="s">
        <v>122</v>
      </c>
      <c r="F179" s="1" t="s">
        <v>123</v>
      </c>
      <c r="G179" s="1" t="s">
        <v>54</v>
      </c>
      <c r="H179" s="1" t="s">
        <v>47</v>
      </c>
      <c r="I179" s="1">
        <v>766</v>
      </c>
      <c r="J179" s="1">
        <v>21382</v>
      </c>
      <c r="K179" s="1">
        <v>1</v>
      </c>
      <c r="L179" s="1">
        <v>88</v>
      </c>
      <c r="M179" s="1">
        <v>1887</v>
      </c>
      <c r="N179" s="1" t="s">
        <v>48</v>
      </c>
      <c r="O179" s="1">
        <v>195173</v>
      </c>
      <c r="P179" s="1">
        <v>93</v>
      </c>
      <c r="Q179" s="1" t="s">
        <v>111</v>
      </c>
      <c r="R179" s="1" t="s">
        <v>50</v>
      </c>
      <c r="S179" s="1">
        <v>0</v>
      </c>
      <c r="T179" s="1">
        <v>0</v>
      </c>
      <c r="U179" s="1">
        <v>154.75700000000001</v>
      </c>
      <c r="V179" s="1">
        <v>21.016999999999999</v>
      </c>
      <c r="W179" s="1">
        <v>1.59</v>
      </c>
      <c r="X179" s="1">
        <v>3.7519999999999998</v>
      </c>
      <c r="Y179" s="1">
        <v>24.768999999999998</v>
      </c>
      <c r="Z179" s="1">
        <v>0.34100000000000003</v>
      </c>
      <c r="AA179" s="1">
        <v>-1.3</v>
      </c>
      <c r="AB179" s="1">
        <v>-1.2</v>
      </c>
      <c r="AC179" s="1">
        <v>-1.2</v>
      </c>
      <c r="AD179" s="1">
        <v>3.75</v>
      </c>
      <c r="AE179" s="1">
        <v>4.7E-2</v>
      </c>
      <c r="AF179" s="1">
        <v>0.184</v>
      </c>
      <c r="AG179" s="1">
        <v>-1.3</v>
      </c>
      <c r="AI179" s="1">
        <v>0</v>
      </c>
      <c r="AJ179" s="1">
        <v>0</v>
      </c>
      <c r="AK179" s="1">
        <v>0</v>
      </c>
      <c r="AL179" s="1">
        <v>1</v>
      </c>
      <c r="AM179" s="1">
        <v>86400</v>
      </c>
      <c r="AN179" s="1">
        <v>80945</v>
      </c>
      <c r="AO179" s="1">
        <v>5296</v>
      </c>
      <c r="AP179" s="1">
        <v>50629</v>
      </c>
      <c r="AQ179" s="1">
        <v>9.1612240139907583E-2</v>
      </c>
    </row>
    <row r="180" spans="1:43" x14ac:dyDescent="0.45">
      <c r="A180" s="1">
        <v>179</v>
      </c>
      <c r="B180" s="1">
        <v>170</v>
      </c>
      <c r="C180" s="1">
        <v>89</v>
      </c>
      <c r="D180" s="1" t="s">
        <v>121</v>
      </c>
      <c r="E180" s="1" t="s">
        <v>122</v>
      </c>
      <c r="F180" s="1" t="s">
        <v>123</v>
      </c>
      <c r="G180" s="1" t="s">
        <v>54</v>
      </c>
      <c r="H180" s="1" t="s">
        <v>47</v>
      </c>
      <c r="I180" s="1">
        <v>766</v>
      </c>
      <c r="J180" s="1">
        <v>21382</v>
      </c>
      <c r="K180" s="1">
        <v>1</v>
      </c>
      <c r="L180" s="1">
        <v>88</v>
      </c>
      <c r="M180" s="1">
        <v>1888</v>
      </c>
      <c r="N180" s="1" t="s">
        <v>48</v>
      </c>
      <c r="O180" s="1">
        <v>195174</v>
      </c>
      <c r="P180" s="1">
        <v>93</v>
      </c>
      <c r="Q180" s="1" t="s">
        <v>111</v>
      </c>
      <c r="R180" s="1" t="s">
        <v>50</v>
      </c>
      <c r="S180" s="1">
        <v>0</v>
      </c>
      <c r="T180" s="1">
        <v>0</v>
      </c>
      <c r="U180" s="1">
        <v>202.34399999999999</v>
      </c>
      <c r="V180" s="1">
        <v>21.012</v>
      </c>
      <c r="W180" s="1">
        <v>1.58</v>
      </c>
      <c r="X180" s="1">
        <v>3.7559999999999998</v>
      </c>
      <c r="Y180" s="1">
        <v>24.766999999999999</v>
      </c>
      <c r="Z180" s="1">
        <v>0.63200000000000001</v>
      </c>
      <c r="AA180" s="1">
        <v>2.6</v>
      </c>
      <c r="AB180" s="1">
        <v>-2.8</v>
      </c>
      <c r="AC180" s="1">
        <v>-2.7</v>
      </c>
      <c r="AD180" s="1">
        <v>3.7519999999999998</v>
      </c>
      <c r="AE180" s="1">
        <v>2.8000000000000001E-2</v>
      </c>
      <c r="AF180" s="1">
        <v>0.25900000000000001</v>
      </c>
      <c r="AG180" s="1">
        <v>2.6</v>
      </c>
      <c r="AI180" s="1">
        <v>0</v>
      </c>
      <c r="AJ180" s="1">
        <v>0</v>
      </c>
      <c r="AK180" s="1">
        <v>0</v>
      </c>
      <c r="AL180" s="1">
        <v>1</v>
      </c>
      <c r="AM180" s="1">
        <v>86400</v>
      </c>
      <c r="AN180" s="1">
        <v>81368</v>
      </c>
      <c r="AO180" s="1">
        <v>5032</v>
      </c>
      <c r="AP180" s="1">
        <v>50630</v>
      </c>
      <c r="AQ180" s="1">
        <v>21.728686360130141</v>
      </c>
    </row>
    <row r="181" spans="1:43" x14ac:dyDescent="0.45">
      <c r="A181" s="1">
        <v>180</v>
      </c>
      <c r="B181" s="1">
        <v>181</v>
      </c>
      <c r="C181" s="1">
        <v>75</v>
      </c>
      <c r="D181" s="1" t="s">
        <v>64</v>
      </c>
      <c r="E181" s="1" t="s">
        <v>65</v>
      </c>
      <c r="F181" s="1" t="s">
        <v>66</v>
      </c>
      <c r="G181" s="1" t="s">
        <v>46</v>
      </c>
      <c r="H181" s="1" t="s">
        <v>47</v>
      </c>
      <c r="I181" s="1">
        <v>1170</v>
      </c>
      <c r="J181" s="1">
        <v>33499</v>
      </c>
      <c r="K181" s="1">
        <v>1</v>
      </c>
      <c r="L181" s="1">
        <v>74</v>
      </c>
      <c r="M181" s="1">
        <v>1738</v>
      </c>
      <c r="N181" s="1" t="s">
        <v>48</v>
      </c>
      <c r="O181" s="1">
        <v>193959</v>
      </c>
      <c r="P181" s="1">
        <v>93</v>
      </c>
      <c r="Q181" s="1" t="s">
        <v>111</v>
      </c>
      <c r="R181" s="1" t="s">
        <v>50</v>
      </c>
      <c r="S181" s="1">
        <v>0</v>
      </c>
      <c r="T181" s="1">
        <v>0</v>
      </c>
      <c r="U181" s="1">
        <v>510.173</v>
      </c>
      <c r="V181" s="1">
        <v>24.927</v>
      </c>
      <c r="W181" s="1">
        <v>0.56999999999999995</v>
      </c>
      <c r="X181" s="1">
        <v>0.42799999999999999</v>
      </c>
      <c r="Y181" s="1">
        <v>25.355</v>
      </c>
      <c r="Z181" s="1">
        <v>0.23200000000000001</v>
      </c>
      <c r="AA181" s="1">
        <v>-2.6</v>
      </c>
      <c r="AB181" s="1">
        <v>-2.5</v>
      </c>
      <c r="AC181" s="1">
        <v>-2.5</v>
      </c>
      <c r="AD181" s="1">
        <v>0.42799999999999999</v>
      </c>
      <c r="AE181" s="1">
        <v>0.112</v>
      </c>
      <c r="AF181" s="1">
        <v>5.7000000000000002E-2</v>
      </c>
      <c r="AG181" s="1">
        <v>-2.6</v>
      </c>
      <c r="AI181" s="1">
        <v>0</v>
      </c>
      <c r="AJ181" s="1">
        <v>0</v>
      </c>
      <c r="AK181" s="1">
        <v>0</v>
      </c>
      <c r="AL181" s="1">
        <v>1</v>
      </c>
      <c r="AM181" s="1">
        <v>86400</v>
      </c>
      <c r="AN181" s="1">
        <v>79845</v>
      </c>
      <c r="AO181" s="1">
        <v>6555</v>
      </c>
      <c r="AP181" s="1">
        <v>49552</v>
      </c>
      <c r="AQ181" s="1">
        <v>39.084261990656927</v>
      </c>
    </row>
    <row r="182" spans="1:43" x14ac:dyDescent="0.45">
      <c r="A182" s="1">
        <v>181</v>
      </c>
      <c r="B182" s="1">
        <v>181</v>
      </c>
      <c r="C182" s="1">
        <v>75</v>
      </c>
      <c r="D182" s="1" t="s">
        <v>64</v>
      </c>
      <c r="E182" s="1" t="s">
        <v>65</v>
      </c>
      <c r="F182" s="1" t="s">
        <v>66</v>
      </c>
      <c r="G182" s="1" t="s">
        <v>46</v>
      </c>
      <c r="H182" s="1" t="s">
        <v>47</v>
      </c>
      <c r="I182" s="1">
        <v>1170</v>
      </c>
      <c r="J182" s="1">
        <v>33499</v>
      </c>
      <c r="K182" s="1">
        <v>1</v>
      </c>
      <c r="L182" s="1">
        <v>74</v>
      </c>
      <c r="M182" s="1">
        <v>1739</v>
      </c>
      <c r="N182" s="1" t="s">
        <v>48</v>
      </c>
      <c r="O182" s="1">
        <v>193961</v>
      </c>
      <c r="P182" s="1">
        <v>93</v>
      </c>
      <c r="Q182" s="1" t="s">
        <v>111</v>
      </c>
      <c r="R182" s="1" t="s">
        <v>50</v>
      </c>
      <c r="S182" s="1">
        <v>0</v>
      </c>
      <c r="T182" s="1">
        <v>0</v>
      </c>
      <c r="U182" s="1">
        <v>510.173</v>
      </c>
      <c r="V182" s="1">
        <v>24.913</v>
      </c>
      <c r="W182" s="1">
        <v>0.56999999999999995</v>
      </c>
      <c r="X182" s="1">
        <v>0.442</v>
      </c>
      <c r="Y182" s="1">
        <v>25.355</v>
      </c>
      <c r="Z182" s="1">
        <v>0.253</v>
      </c>
      <c r="AA182" s="1">
        <v>2.2000000000000002</v>
      </c>
      <c r="AB182" s="1">
        <v>2.2000000000000002</v>
      </c>
      <c r="AC182" s="1">
        <v>2.2000000000000002</v>
      </c>
      <c r="AD182" s="1">
        <v>0.442</v>
      </c>
      <c r="AE182" s="1">
        <v>0.106</v>
      </c>
      <c r="AF182" s="1">
        <v>6.6000000000000003E-2</v>
      </c>
      <c r="AG182" s="1">
        <v>2.2000000000000002</v>
      </c>
      <c r="AI182" s="1">
        <v>0</v>
      </c>
      <c r="AJ182" s="1">
        <v>0</v>
      </c>
      <c r="AK182" s="1">
        <v>0</v>
      </c>
      <c r="AL182" s="1">
        <v>1</v>
      </c>
      <c r="AM182" s="1">
        <v>86400</v>
      </c>
      <c r="AN182" s="1">
        <v>80382</v>
      </c>
      <c r="AO182" s="1">
        <v>6018</v>
      </c>
      <c r="AP182" s="1">
        <v>50258</v>
      </c>
      <c r="AQ182" s="1">
        <v>47.839602141328243</v>
      </c>
    </row>
    <row r="183" spans="1:43" x14ac:dyDescent="0.45">
      <c r="A183" s="1">
        <v>182</v>
      </c>
      <c r="B183" s="1">
        <v>181</v>
      </c>
      <c r="C183" s="1">
        <v>75</v>
      </c>
      <c r="D183" s="1" t="s">
        <v>64</v>
      </c>
      <c r="E183" s="1" t="s">
        <v>65</v>
      </c>
      <c r="F183" s="1" t="s">
        <v>66</v>
      </c>
      <c r="G183" s="1" t="s">
        <v>46</v>
      </c>
      <c r="H183" s="1" t="s">
        <v>47</v>
      </c>
      <c r="I183" s="1">
        <v>1170</v>
      </c>
      <c r="J183" s="1">
        <v>33499</v>
      </c>
      <c r="K183" s="1">
        <v>1</v>
      </c>
      <c r="L183" s="1">
        <v>74</v>
      </c>
      <c r="M183" s="1">
        <v>1740</v>
      </c>
      <c r="N183" s="1" t="s">
        <v>48</v>
      </c>
      <c r="O183" s="1">
        <v>194009</v>
      </c>
      <c r="P183" s="1">
        <v>93</v>
      </c>
      <c r="Q183" s="1" t="s">
        <v>111</v>
      </c>
      <c r="R183" s="1" t="s">
        <v>50</v>
      </c>
      <c r="S183" s="1">
        <v>0</v>
      </c>
      <c r="T183" s="1">
        <v>0</v>
      </c>
      <c r="U183" s="1">
        <v>279.00900000000001</v>
      </c>
      <c r="V183" s="1">
        <v>25.175999999999998</v>
      </c>
      <c r="W183" s="1">
        <v>0.53</v>
      </c>
      <c r="X183" s="1">
        <v>0.17899999999999999</v>
      </c>
      <c r="Y183" s="1">
        <v>25.355</v>
      </c>
      <c r="Z183" s="1">
        <v>0.189</v>
      </c>
      <c r="AA183" s="1">
        <v>3</v>
      </c>
      <c r="AB183" s="1">
        <v>-1.9</v>
      </c>
      <c r="AC183" s="1">
        <v>-1.9</v>
      </c>
      <c r="AD183" s="1">
        <v>0.17899999999999999</v>
      </c>
      <c r="AE183" s="1">
        <v>2.7E-2</v>
      </c>
      <c r="AF183" s="1">
        <v>7.0000000000000001E-3</v>
      </c>
      <c r="AG183" s="1">
        <v>3</v>
      </c>
      <c r="AI183" s="1">
        <v>0</v>
      </c>
      <c r="AJ183" s="1">
        <v>0</v>
      </c>
      <c r="AK183" s="1">
        <v>0</v>
      </c>
      <c r="AL183" s="1">
        <v>1</v>
      </c>
      <c r="AM183" s="1">
        <v>51834</v>
      </c>
      <c r="AN183" s="1">
        <v>8367</v>
      </c>
      <c r="AO183" s="1">
        <v>43468</v>
      </c>
      <c r="AP183" s="1">
        <v>50270</v>
      </c>
      <c r="AQ183" s="1">
        <v>19.91914324497959</v>
      </c>
    </row>
    <row r="184" spans="1:43" x14ac:dyDescent="0.45">
      <c r="A184" s="1">
        <v>183</v>
      </c>
      <c r="B184" s="1">
        <v>181</v>
      </c>
      <c r="C184" s="1">
        <v>75</v>
      </c>
      <c r="D184" s="1" t="s">
        <v>64</v>
      </c>
      <c r="E184" s="1" t="s">
        <v>65</v>
      </c>
      <c r="F184" s="1" t="s">
        <v>66</v>
      </c>
      <c r="G184" s="1" t="s">
        <v>46</v>
      </c>
      <c r="H184" s="1" t="s">
        <v>47</v>
      </c>
      <c r="I184" s="1">
        <v>1170</v>
      </c>
      <c r="J184" s="1">
        <v>33499</v>
      </c>
      <c r="K184" s="1">
        <v>1</v>
      </c>
      <c r="L184" s="1">
        <v>74</v>
      </c>
      <c r="M184" s="1">
        <v>1743</v>
      </c>
      <c r="N184" s="1" t="s">
        <v>48</v>
      </c>
      <c r="O184" s="1">
        <v>194014</v>
      </c>
      <c r="P184" s="1">
        <v>93</v>
      </c>
      <c r="Q184" s="1" t="s">
        <v>111</v>
      </c>
      <c r="R184" s="1" t="s">
        <v>50</v>
      </c>
      <c r="S184" s="1">
        <v>0</v>
      </c>
      <c r="T184" s="1">
        <v>0</v>
      </c>
      <c r="U184" s="1">
        <v>551.16899999999998</v>
      </c>
      <c r="V184" s="1">
        <v>24.986999999999998</v>
      </c>
      <c r="W184" s="1">
        <v>0.56000000000000005</v>
      </c>
      <c r="X184" s="1">
        <v>0.36899999999999999</v>
      </c>
      <c r="Y184" s="1">
        <v>25.356000000000002</v>
      </c>
      <c r="Z184" s="1">
        <v>0.12</v>
      </c>
      <c r="AA184" s="1">
        <v>2.2000000000000002</v>
      </c>
      <c r="AB184" s="1">
        <v>1.1000000000000001</v>
      </c>
      <c r="AC184" s="1">
        <v>1.1000000000000001</v>
      </c>
      <c r="AD184" s="1">
        <v>0.36899999999999999</v>
      </c>
      <c r="AE184" s="1">
        <v>3.3000000000000002E-2</v>
      </c>
      <c r="AF184" s="1">
        <v>2.7E-2</v>
      </c>
      <c r="AG184" s="1">
        <v>2.2000000000000002</v>
      </c>
      <c r="AI184" s="1">
        <v>0</v>
      </c>
      <c r="AJ184" s="1">
        <v>0</v>
      </c>
      <c r="AK184" s="1">
        <v>0</v>
      </c>
      <c r="AL184" s="1">
        <v>1</v>
      </c>
      <c r="AM184" s="1">
        <v>86400</v>
      </c>
      <c r="AN184" s="1">
        <v>80132</v>
      </c>
      <c r="AO184" s="1">
        <v>6268</v>
      </c>
      <c r="AP184" s="1">
        <v>50272</v>
      </c>
      <c r="AQ184" s="1">
        <v>1.590368793303959</v>
      </c>
    </row>
    <row r="185" spans="1:43" x14ac:dyDescent="0.45">
      <c r="A185" s="1">
        <v>184</v>
      </c>
      <c r="B185" s="1">
        <v>181</v>
      </c>
      <c r="C185" s="1">
        <v>75</v>
      </c>
      <c r="D185" s="1" t="s">
        <v>64</v>
      </c>
      <c r="E185" s="1" t="s">
        <v>65</v>
      </c>
      <c r="F185" s="1" t="s">
        <v>66</v>
      </c>
      <c r="G185" s="1" t="s">
        <v>46</v>
      </c>
      <c r="H185" s="1" t="s">
        <v>47</v>
      </c>
      <c r="I185" s="1">
        <v>1170</v>
      </c>
      <c r="J185" s="1">
        <v>33499</v>
      </c>
      <c r="K185" s="1">
        <v>1</v>
      </c>
      <c r="L185" s="1">
        <v>74</v>
      </c>
      <c r="M185" s="1">
        <v>1744</v>
      </c>
      <c r="N185" s="1" t="s">
        <v>48</v>
      </c>
      <c r="O185" s="1">
        <v>194015</v>
      </c>
      <c r="P185" s="1">
        <v>93</v>
      </c>
      <c r="Q185" s="1" t="s">
        <v>111</v>
      </c>
      <c r="R185" s="1" t="s">
        <v>50</v>
      </c>
      <c r="S185" s="1">
        <v>0</v>
      </c>
      <c r="T185" s="1">
        <v>0</v>
      </c>
      <c r="U185" s="1">
        <v>864.10699999999997</v>
      </c>
      <c r="V185" s="1">
        <v>25.154</v>
      </c>
      <c r="W185" s="1">
        <v>0.53</v>
      </c>
      <c r="X185" s="1">
        <v>0.20200000000000001</v>
      </c>
      <c r="Y185" s="1">
        <v>25.356000000000002</v>
      </c>
      <c r="Z185" s="1">
        <v>0.107</v>
      </c>
      <c r="AA185" s="1">
        <v>1.6</v>
      </c>
      <c r="AB185" s="1">
        <v>1.1000000000000001</v>
      </c>
      <c r="AC185" s="1">
        <v>1.1000000000000001</v>
      </c>
      <c r="AD185" s="1">
        <v>0.20200000000000001</v>
      </c>
      <c r="AE185" s="1">
        <v>4.3999999999999997E-2</v>
      </c>
      <c r="AF185" s="1">
        <v>8.9999999999999993E-3</v>
      </c>
      <c r="AG185" s="1">
        <v>1.6</v>
      </c>
      <c r="AI185" s="1">
        <v>0</v>
      </c>
      <c r="AJ185" s="1">
        <v>0</v>
      </c>
      <c r="AK185" s="1">
        <v>0</v>
      </c>
      <c r="AL185" s="1">
        <v>1</v>
      </c>
      <c r="AM185" s="1">
        <v>52079</v>
      </c>
      <c r="AN185" s="1">
        <v>8753</v>
      </c>
      <c r="AO185" s="1">
        <v>43326</v>
      </c>
      <c r="AP185" s="1">
        <v>50389</v>
      </c>
      <c r="AQ185" s="1">
        <v>1.6721516986454721</v>
      </c>
    </row>
    <row r="186" spans="1:43" x14ac:dyDescent="0.45">
      <c r="A186" s="1">
        <v>185</v>
      </c>
      <c r="B186" s="1">
        <v>181</v>
      </c>
      <c r="C186" s="1">
        <v>75</v>
      </c>
      <c r="D186" s="1" t="s">
        <v>64</v>
      </c>
      <c r="E186" s="1" t="s">
        <v>65</v>
      </c>
      <c r="F186" s="1" t="s">
        <v>66</v>
      </c>
      <c r="G186" s="1" t="s">
        <v>46</v>
      </c>
      <c r="H186" s="1" t="s">
        <v>47</v>
      </c>
      <c r="I186" s="1">
        <v>1170</v>
      </c>
      <c r="J186" s="1">
        <v>33499</v>
      </c>
      <c r="K186" s="1">
        <v>1</v>
      </c>
      <c r="L186" s="1">
        <v>74</v>
      </c>
      <c r="M186" s="1">
        <v>1746</v>
      </c>
      <c r="N186" s="1" t="s">
        <v>48</v>
      </c>
      <c r="O186" s="1">
        <v>194017</v>
      </c>
      <c r="P186" s="1">
        <v>93</v>
      </c>
      <c r="Q186" s="1" t="s">
        <v>111</v>
      </c>
      <c r="R186" s="1" t="s">
        <v>50</v>
      </c>
      <c r="S186" s="1">
        <v>0</v>
      </c>
      <c r="T186" s="1">
        <v>0</v>
      </c>
      <c r="U186" s="1">
        <v>727.47</v>
      </c>
      <c r="V186" s="1">
        <v>25.146000000000001</v>
      </c>
      <c r="W186" s="1">
        <v>0.53</v>
      </c>
      <c r="X186" s="1">
        <v>0.20899999999999999</v>
      </c>
      <c r="Y186" s="1">
        <v>25.355</v>
      </c>
      <c r="Z186" s="1">
        <v>0.313</v>
      </c>
      <c r="AA186" s="1">
        <v>2</v>
      </c>
      <c r="AB186" s="1">
        <v>2.5</v>
      </c>
      <c r="AC186" s="1">
        <v>2.5</v>
      </c>
      <c r="AD186" s="1">
        <v>0.20899999999999999</v>
      </c>
      <c r="AE186" s="1">
        <v>0.105</v>
      </c>
      <c r="AF186" s="1">
        <v>2.1999999999999999E-2</v>
      </c>
      <c r="AG186" s="1">
        <v>2</v>
      </c>
      <c r="AI186" s="1">
        <v>0</v>
      </c>
      <c r="AJ186" s="1">
        <v>0</v>
      </c>
      <c r="AK186" s="1">
        <v>0</v>
      </c>
      <c r="AL186" s="1">
        <v>1</v>
      </c>
      <c r="AM186" s="1">
        <v>52066</v>
      </c>
      <c r="AN186" s="1">
        <v>8685</v>
      </c>
      <c r="AO186" s="1">
        <v>43381</v>
      </c>
      <c r="AP186" s="1">
        <v>50084</v>
      </c>
      <c r="AQ186" s="1">
        <v>35.644168290790113</v>
      </c>
    </row>
    <row r="187" spans="1:43" x14ac:dyDescent="0.45">
      <c r="A187" s="1">
        <v>186</v>
      </c>
      <c r="B187" s="1">
        <v>181</v>
      </c>
      <c r="C187" s="1">
        <v>75</v>
      </c>
      <c r="D187" s="1" t="s">
        <v>64</v>
      </c>
      <c r="E187" s="1" t="s">
        <v>65</v>
      </c>
      <c r="F187" s="1" t="s">
        <v>66</v>
      </c>
      <c r="G187" s="1" t="s">
        <v>46</v>
      </c>
      <c r="H187" s="1" t="s">
        <v>47</v>
      </c>
      <c r="I187" s="1">
        <v>1170</v>
      </c>
      <c r="J187" s="1">
        <v>33499</v>
      </c>
      <c r="K187" s="1">
        <v>1</v>
      </c>
      <c r="L187" s="1">
        <v>74</v>
      </c>
      <c r="M187" s="1">
        <v>1747</v>
      </c>
      <c r="N187" s="1" t="s">
        <v>48</v>
      </c>
      <c r="O187" s="1">
        <v>194021</v>
      </c>
      <c r="P187" s="1">
        <v>93</v>
      </c>
      <c r="Q187" s="1" t="s">
        <v>111</v>
      </c>
      <c r="R187" s="1" t="s">
        <v>50</v>
      </c>
      <c r="S187" s="1">
        <v>0</v>
      </c>
      <c r="T187" s="1">
        <v>0</v>
      </c>
      <c r="U187" s="1">
        <v>595.303</v>
      </c>
      <c r="V187" s="1">
        <v>24.879000000000001</v>
      </c>
      <c r="W187" s="1">
        <v>0.57999999999999996</v>
      </c>
      <c r="X187" s="1">
        <v>0.47599999999999998</v>
      </c>
      <c r="Y187" s="1">
        <v>25.355</v>
      </c>
      <c r="Z187" s="1">
        <v>0.45</v>
      </c>
      <c r="AA187" s="1">
        <v>2.2999999999999998</v>
      </c>
      <c r="AB187" s="1">
        <v>2.1</v>
      </c>
      <c r="AC187" s="1">
        <v>2.1</v>
      </c>
      <c r="AD187" s="1">
        <v>0.47599999999999998</v>
      </c>
      <c r="AE187" s="1">
        <v>9.2999999999999999E-2</v>
      </c>
      <c r="AF187" s="1">
        <v>0.13200000000000001</v>
      </c>
      <c r="AG187" s="1">
        <v>2.2999999999999998</v>
      </c>
      <c r="AI187" s="1">
        <v>0</v>
      </c>
      <c r="AJ187" s="1">
        <v>0</v>
      </c>
      <c r="AK187" s="1">
        <v>0</v>
      </c>
      <c r="AL187" s="1">
        <v>1</v>
      </c>
      <c r="AM187" s="1">
        <v>86400</v>
      </c>
      <c r="AN187" s="1">
        <v>81448</v>
      </c>
      <c r="AO187" s="1">
        <v>4952</v>
      </c>
      <c r="AP187" s="1">
        <v>49733</v>
      </c>
      <c r="AQ187" s="1">
        <v>2.7063584476982121</v>
      </c>
    </row>
    <row r="188" spans="1:43" x14ac:dyDescent="0.45">
      <c r="A188" s="1">
        <v>187</v>
      </c>
      <c r="B188" s="1">
        <v>181</v>
      </c>
      <c r="C188" s="1">
        <v>75</v>
      </c>
      <c r="D188" s="1" t="s">
        <v>64</v>
      </c>
      <c r="E188" s="1" t="s">
        <v>65</v>
      </c>
      <c r="F188" s="1" t="s">
        <v>66</v>
      </c>
      <c r="G188" s="1" t="s">
        <v>46</v>
      </c>
      <c r="H188" s="1" t="s">
        <v>47</v>
      </c>
      <c r="I188" s="1">
        <v>1170</v>
      </c>
      <c r="J188" s="1">
        <v>33499</v>
      </c>
      <c r="K188" s="1">
        <v>1</v>
      </c>
      <c r="L188" s="1">
        <v>74</v>
      </c>
      <c r="M188" s="1">
        <v>1748</v>
      </c>
      <c r="N188" s="1" t="s">
        <v>48</v>
      </c>
      <c r="O188" s="1">
        <v>194022</v>
      </c>
      <c r="P188" s="1">
        <v>93</v>
      </c>
      <c r="Q188" s="1" t="s">
        <v>111</v>
      </c>
      <c r="R188" s="1" t="s">
        <v>50</v>
      </c>
      <c r="S188" s="1">
        <v>0</v>
      </c>
      <c r="T188" s="1">
        <v>0</v>
      </c>
      <c r="U188" s="1">
        <v>889.76199999999994</v>
      </c>
      <c r="V188" s="1">
        <v>24.957000000000001</v>
      </c>
      <c r="W188" s="1">
        <v>0.56000000000000005</v>
      </c>
      <c r="X188" s="1">
        <v>0.39700000000000002</v>
      </c>
      <c r="Y188" s="1">
        <v>25.353999999999999</v>
      </c>
      <c r="Z188" s="1">
        <v>0.245</v>
      </c>
      <c r="AA188" s="1">
        <v>-2.6</v>
      </c>
      <c r="AB188" s="1">
        <v>-2.7</v>
      </c>
      <c r="AC188" s="1">
        <v>-2.7</v>
      </c>
      <c r="AD188" s="1">
        <v>0.39700000000000002</v>
      </c>
      <c r="AE188" s="1">
        <v>0.122</v>
      </c>
      <c r="AF188" s="1">
        <v>5.1999999999999998E-2</v>
      </c>
      <c r="AG188" s="1">
        <v>-2.6</v>
      </c>
      <c r="AI188" s="1">
        <v>0</v>
      </c>
      <c r="AJ188" s="1">
        <v>0</v>
      </c>
      <c r="AK188" s="1">
        <v>0</v>
      </c>
      <c r="AL188" s="1">
        <v>1</v>
      </c>
      <c r="AM188" s="1">
        <v>86400</v>
      </c>
      <c r="AN188" s="1">
        <v>78013</v>
      </c>
      <c r="AO188" s="1">
        <v>8387</v>
      </c>
      <c r="AP188" s="1">
        <v>49926</v>
      </c>
      <c r="AQ188" s="1">
        <v>0.32259802925756131</v>
      </c>
    </row>
    <row r="189" spans="1:43" x14ac:dyDescent="0.45">
      <c r="A189" s="1">
        <v>188</v>
      </c>
      <c r="B189" s="1">
        <v>181</v>
      </c>
      <c r="C189" s="1">
        <v>75</v>
      </c>
      <c r="D189" s="1" t="s">
        <v>64</v>
      </c>
      <c r="E189" s="1" t="s">
        <v>65</v>
      </c>
      <c r="F189" s="1" t="s">
        <v>66</v>
      </c>
      <c r="G189" s="1" t="s">
        <v>46</v>
      </c>
      <c r="H189" s="1" t="s">
        <v>47</v>
      </c>
      <c r="I189" s="1">
        <v>1170</v>
      </c>
      <c r="J189" s="1">
        <v>33499</v>
      </c>
      <c r="K189" s="1">
        <v>1</v>
      </c>
      <c r="L189" s="1">
        <v>74</v>
      </c>
      <c r="M189" s="1">
        <v>1749</v>
      </c>
      <c r="N189" s="1" t="s">
        <v>48</v>
      </c>
      <c r="O189" s="1">
        <v>194023</v>
      </c>
      <c r="P189" s="1">
        <v>93</v>
      </c>
      <c r="Q189" s="1" t="s">
        <v>111</v>
      </c>
      <c r="R189" s="1" t="s">
        <v>50</v>
      </c>
      <c r="S189" s="1">
        <v>0</v>
      </c>
      <c r="T189" s="1">
        <v>0</v>
      </c>
      <c r="U189" s="1">
        <v>495.976</v>
      </c>
      <c r="V189" s="1">
        <v>24.9</v>
      </c>
      <c r="W189" s="1">
        <v>0.56999999999999995</v>
      </c>
      <c r="X189" s="1">
        <v>0.45400000000000001</v>
      </c>
      <c r="Y189" s="1">
        <v>25.353999999999999</v>
      </c>
      <c r="Z189" s="1">
        <v>0.21199999999999999</v>
      </c>
      <c r="AA189" s="1">
        <v>-2.7</v>
      </c>
      <c r="AB189" s="1">
        <v>-2.6</v>
      </c>
      <c r="AC189" s="1">
        <v>-2.7</v>
      </c>
      <c r="AD189" s="1">
        <v>0.45400000000000001</v>
      </c>
      <c r="AE189" s="1">
        <v>0.122</v>
      </c>
      <c r="AF189" s="1">
        <v>5.7000000000000002E-2</v>
      </c>
      <c r="AG189" s="1">
        <v>-2.7</v>
      </c>
      <c r="AI189" s="1">
        <v>0</v>
      </c>
      <c r="AJ189" s="1">
        <v>0</v>
      </c>
      <c r="AK189" s="1">
        <v>0</v>
      </c>
      <c r="AL189" s="1">
        <v>1</v>
      </c>
      <c r="AM189" s="1">
        <v>86400</v>
      </c>
      <c r="AN189" s="1">
        <v>80715</v>
      </c>
      <c r="AO189" s="1">
        <v>5685</v>
      </c>
      <c r="AP189" s="1">
        <v>49681</v>
      </c>
      <c r="AQ189" s="1">
        <v>26.101421947845822</v>
      </c>
    </row>
    <row r="190" spans="1:43" x14ac:dyDescent="0.45">
      <c r="A190" s="1">
        <v>189</v>
      </c>
      <c r="B190" s="1">
        <v>181</v>
      </c>
      <c r="C190" s="1">
        <v>75</v>
      </c>
      <c r="D190" s="1" t="s">
        <v>64</v>
      </c>
      <c r="E190" s="1" t="s">
        <v>65</v>
      </c>
      <c r="F190" s="1" t="s">
        <v>66</v>
      </c>
      <c r="G190" s="1" t="s">
        <v>46</v>
      </c>
      <c r="H190" s="1" t="s">
        <v>47</v>
      </c>
      <c r="I190" s="1">
        <v>1170</v>
      </c>
      <c r="J190" s="1">
        <v>33499</v>
      </c>
      <c r="K190" s="1">
        <v>1</v>
      </c>
      <c r="L190" s="1">
        <v>74</v>
      </c>
      <c r="M190" s="1">
        <v>1750</v>
      </c>
      <c r="N190" s="1" t="s">
        <v>48</v>
      </c>
      <c r="O190" s="1">
        <v>194024</v>
      </c>
      <c r="P190" s="1">
        <v>93</v>
      </c>
      <c r="Q190" s="1" t="s">
        <v>111</v>
      </c>
      <c r="R190" s="1" t="s">
        <v>50</v>
      </c>
      <c r="S190" s="1">
        <v>0</v>
      </c>
      <c r="T190" s="1">
        <v>0</v>
      </c>
      <c r="U190" s="1">
        <v>236.39</v>
      </c>
      <c r="V190" s="1">
        <v>24.927</v>
      </c>
      <c r="W190" s="1">
        <v>0.56999999999999995</v>
      </c>
      <c r="X190" s="1">
        <v>0.42799999999999999</v>
      </c>
      <c r="Y190" s="1">
        <v>25.355</v>
      </c>
      <c r="Z190" s="1">
        <v>0.2</v>
      </c>
      <c r="AA190" s="1">
        <v>-2.2999999999999998</v>
      </c>
      <c r="AB190" s="1">
        <v>-2.2999999999999998</v>
      </c>
      <c r="AC190" s="1">
        <v>-2.2999999999999998</v>
      </c>
      <c r="AD190" s="1">
        <v>0.42799999999999999</v>
      </c>
      <c r="AE190" s="1">
        <v>0.1</v>
      </c>
      <c r="AF190" s="1">
        <v>5.1999999999999998E-2</v>
      </c>
      <c r="AG190" s="1">
        <v>-2.2999999999999998</v>
      </c>
      <c r="AI190" s="1">
        <v>0</v>
      </c>
      <c r="AJ190" s="1">
        <v>0</v>
      </c>
      <c r="AK190" s="1">
        <v>0</v>
      </c>
      <c r="AL190" s="1">
        <v>1</v>
      </c>
      <c r="AM190" s="1">
        <v>86400</v>
      </c>
      <c r="AN190" s="1">
        <v>79625</v>
      </c>
      <c r="AO190" s="1">
        <v>6775</v>
      </c>
      <c r="AP190" s="1">
        <v>50411</v>
      </c>
      <c r="AQ190" s="1">
        <v>0.1408123542554123</v>
      </c>
    </row>
    <row r="191" spans="1:43" x14ac:dyDescent="0.45">
      <c r="A191" s="1">
        <v>190</v>
      </c>
      <c r="B191" s="1">
        <v>181</v>
      </c>
      <c r="C191" s="1">
        <v>75</v>
      </c>
      <c r="D191" s="1" t="s">
        <v>64</v>
      </c>
      <c r="E191" s="1" t="s">
        <v>65</v>
      </c>
      <c r="F191" s="1" t="s">
        <v>66</v>
      </c>
      <c r="G191" s="1" t="s">
        <v>46</v>
      </c>
      <c r="H191" s="1" t="s">
        <v>47</v>
      </c>
      <c r="I191" s="1">
        <v>1170</v>
      </c>
      <c r="J191" s="1">
        <v>33499</v>
      </c>
      <c r="K191" s="1">
        <v>1</v>
      </c>
      <c r="L191" s="1">
        <v>74</v>
      </c>
      <c r="M191" s="1">
        <v>1755</v>
      </c>
      <c r="N191" s="1" t="s">
        <v>48</v>
      </c>
      <c r="O191" s="1">
        <v>194036</v>
      </c>
      <c r="P191" s="1">
        <v>93</v>
      </c>
      <c r="Q191" s="1" t="s">
        <v>111</v>
      </c>
      <c r="R191" s="1" t="s">
        <v>50</v>
      </c>
      <c r="S191" s="1">
        <v>0</v>
      </c>
      <c r="T191" s="1">
        <v>0</v>
      </c>
      <c r="U191" s="1">
        <v>97.998000000000005</v>
      </c>
      <c r="V191" s="1">
        <v>25.119</v>
      </c>
      <c r="W191" s="1">
        <v>0.54</v>
      </c>
      <c r="X191" s="1">
        <v>0.23499999999999999</v>
      </c>
      <c r="Y191" s="1">
        <v>25.353999999999999</v>
      </c>
      <c r="Z191" s="1">
        <v>0.20499999999999999</v>
      </c>
      <c r="AA191" s="1">
        <v>-0.2</v>
      </c>
      <c r="AB191" s="1">
        <v>-0.9</v>
      </c>
      <c r="AC191" s="1">
        <v>-0.7</v>
      </c>
      <c r="AD191" s="1">
        <v>0.23499999999999999</v>
      </c>
      <c r="AE191" s="1">
        <v>0.06</v>
      </c>
      <c r="AF191" s="1">
        <v>2.5000000000000001E-2</v>
      </c>
      <c r="AI191" s="1">
        <v>0</v>
      </c>
      <c r="AJ191" s="1">
        <v>0</v>
      </c>
      <c r="AK191" s="1">
        <v>0</v>
      </c>
      <c r="AL191" s="1">
        <v>1</v>
      </c>
      <c r="AM191" s="1">
        <v>52139</v>
      </c>
      <c r="AN191" s="1">
        <v>8632</v>
      </c>
      <c r="AO191" s="1">
        <v>43507</v>
      </c>
      <c r="AP191" s="1">
        <v>50223</v>
      </c>
      <c r="AQ191" s="1">
        <v>18.226786881918109</v>
      </c>
    </row>
    <row r="192" spans="1:43" x14ac:dyDescent="0.45">
      <c r="A192" s="1">
        <v>191</v>
      </c>
      <c r="B192" s="1">
        <v>181</v>
      </c>
      <c r="C192" s="1">
        <v>75</v>
      </c>
      <c r="D192" s="1" t="s">
        <v>64</v>
      </c>
      <c r="E192" s="1" t="s">
        <v>65</v>
      </c>
      <c r="F192" s="1" t="s">
        <v>66</v>
      </c>
      <c r="G192" s="1" t="s">
        <v>46</v>
      </c>
      <c r="H192" s="1" t="s">
        <v>47</v>
      </c>
      <c r="I192" s="1">
        <v>1170</v>
      </c>
      <c r="J192" s="1">
        <v>33499</v>
      </c>
      <c r="K192" s="1">
        <v>1</v>
      </c>
      <c r="L192" s="1">
        <v>74</v>
      </c>
      <c r="M192" s="1">
        <v>1756</v>
      </c>
      <c r="N192" s="1" t="s">
        <v>48</v>
      </c>
      <c r="O192" s="1">
        <v>194037</v>
      </c>
      <c r="P192" s="1">
        <v>93</v>
      </c>
      <c r="Q192" s="1" t="s">
        <v>111</v>
      </c>
      <c r="R192" s="1" t="s">
        <v>50</v>
      </c>
      <c r="S192" s="1">
        <v>0</v>
      </c>
      <c r="T192" s="1">
        <v>0</v>
      </c>
      <c r="U192" s="1">
        <v>71.201999999999998</v>
      </c>
      <c r="V192" s="1">
        <v>24.815999999999999</v>
      </c>
      <c r="W192" s="1">
        <v>0.57999999999999996</v>
      </c>
      <c r="X192" s="1">
        <v>0.54</v>
      </c>
      <c r="Y192" s="1">
        <v>25.356000000000002</v>
      </c>
      <c r="Z192" s="1">
        <v>0.127</v>
      </c>
      <c r="AA192" s="1">
        <v>0.6</v>
      </c>
      <c r="AB192" s="1">
        <v>0.7</v>
      </c>
      <c r="AC192" s="1">
        <v>0.3</v>
      </c>
      <c r="AD192" s="1">
        <v>0.53800000000000003</v>
      </c>
      <c r="AE192" s="1">
        <v>3.2000000000000001E-2</v>
      </c>
      <c r="AF192" s="1">
        <v>4.2000000000000003E-2</v>
      </c>
      <c r="AG192" s="1">
        <v>0.6</v>
      </c>
      <c r="AI192" s="1">
        <v>0</v>
      </c>
      <c r="AJ192" s="1">
        <v>0</v>
      </c>
      <c r="AK192" s="1">
        <v>0</v>
      </c>
      <c r="AL192" s="1">
        <v>1</v>
      </c>
      <c r="AM192" s="1">
        <v>86400</v>
      </c>
      <c r="AN192" s="1">
        <v>81703</v>
      </c>
      <c r="AO192" s="1">
        <v>4697</v>
      </c>
      <c r="AP192" s="1">
        <v>50412</v>
      </c>
      <c r="AQ192" s="1">
        <v>12.96701355991765</v>
      </c>
    </row>
    <row r="193" spans="1:43" x14ac:dyDescent="0.45">
      <c r="A193" s="1">
        <v>192</v>
      </c>
      <c r="B193" s="1">
        <v>181</v>
      </c>
      <c r="C193" s="1">
        <v>75</v>
      </c>
      <c r="D193" s="1" t="s">
        <v>64</v>
      </c>
      <c r="E193" s="1" t="s">
        <v>65</v>
      </c>
      <c r="F193" s="1" t="s">
        <v>66</v>
      </c>
      <c r="G193" s="1" t="s">
        <v>46</v>
      </c>
      <c r="H193" s="1" t="s">
        <v>47</v>
      </c>
      <c r="I193" s="1">
        <v>1170</v>
      </c>
      <c r="J193" s="1">
        <v>33499</v>
      </c>
      <c r="K193" s="1">
        <v>1</v>
      </c>
      <c r="L193" s="1">
        <v>74</v>
      </c>
      <c r="M193" s="1">
        <v>1782</v>
      </c>
      <c r="N193" s="1" t="s">
        <v>48</v>
      </c>
      <c r="O193" s="1">
        <v>194098</v>
      </c>
      <c r="P193" s="1">
        <v>93</v>
      </c>
      <c r="Q193" s="1" t="s">
        <v>111</v>
      </c>
      <c r="R193" s="1" t="s">
        <v>50</v>
      </c>
      <c r="S193" s="1">
        <v>0</v>
      </c>
      <c r="T193" s="1">
        <v>0</v>
      </c>
      <c r="U193" s="1">
        <v>590.79899999999998</v>
      </c>
      <c r="V193" s="1">
        <v>25.291</v>
      </c>
      <c r="W193" s="1">
        <v>0.53</v>
      </c>
      <c r="X193" s="1">
        <v>0.20799999999999999</v>
      </c>
      <c r="Y193" s="1">
        <v>25.498000000000001</v>
      </c>
      <c r="Z193" s="1">
        <v>7.4999999999999997E-2</v>
      </c>
      <c r="AA193" s="1">
        <v>-3</v>
      </c>
      <c r="AB193" s="1">
        <v>-3</v>
      </c>
      <c r="AC193" s="1">
        <v>-3</v>
      </c>
      <c r="AD193" s="1">
        <v>0.20799999999999999</v>
      </c>
      <c r="AE193" s="1">
        <v>7.4999999999999997E-2</v>
      </c>
      <c r="AF193" s="1">
        <v>1.6E-2</v>
      </c>
      <c r="AG193" s="1">
        <v>-3</v>
      </c>
      <c r="AI193" s="1">
        <v>0</v>
      </c>
      <c r="AJ193" s="1">
        <v>0</v>
      </c>
      <c r="AK193" s="1">
        <v>0</v>
      </c>
      <c r="AL193" s="1">
        <v>1</v>
      </c>
      <c r="AM193" s="1">
        <v>86400</v>
      </c>
      <c r="AN193" s="1">
        <v>78310</v>
      </c>
      <c r="AO193" s="1">
        <v>8090</v>
      </c>
      <c r="AP193" s="1">
        <v>43455</v>
      </c>
      <c r="AQ193" s="1">
        <v>2.1861732595933532</v>
      </c>
    </row>
    <row r="194" spans="1:43" x14ac:dyDescent="0.45">
      <c r="A194" s="1">
        <v>193</v>
      </c>
      <c r="B194" s="1">
        <v>181</v>
      </c>
      <c r="C194" s="1">
        <v>75</v>
      </c>
      <c r="D194" s="1" t="s">
        <v>64</v>
      </c>
      <c r="E194" s="1" t="s">
        <v>65</v>
      </c>
      <c r="F194" s="1" t="s">
        <v>66</v>
      </c>
      <c r="G194" s="1" t="s">
        <v>46</v>
      </c>
      <c r="H194" s="1" t="s">
        <v>47</v>
      </c>
      <c r="I194" s="1">
        <v>1170</v>
      </c>
      <c r="J194" s="1">
        <v>33499</v>
      </c>
      <c r="K194" s="1">
        <v>1</v>
      </c>
      <c r="L194" s="1">
        <v>74</v>
      </c>
      <c r="M194" s="1">
        <v>1783</v>
      </c>
      <c r="N194" s="1" t="s">
        <v>48</v>
      </c>
      <c r="O194" s="1">
        <v>194101</v>
      </c>
      <c r="P194" s="1">
        <v>93</v>
      </c>
      <c r="Q194" s="1" t="s">
        <v>111</v>
      </c>
      <c r="R194" s="1" t="s">
        <v>50</v>
      </c>
      <c r="S194" s="1">
        <v>0</v>
      </c>
      <c r="T194" s="1">
        <v>0</v>
      </c>
      <c r="U194" s="1">
        <v>715.21299999999997</v>
      </c>
      <c r="V194" s="1">
        <v>25.327000000000002</v>
      </c>
      <c r="W194" s="1">
        <v>0.53</v>
      </c>
      <c r="X194" s="1">
        <v>0.182</v>
      </c>
      <c r="Y194" s="1">
        <v>25.51</v>
      </c>
      <c r="Z194" s="1">
        <v>0.122</v>
      </c>
      <c r="AA194" s="1">
        <v>3</v>
      </c>
      <c r="AB194" s="1">
        <v>3</v>
      </c>
      <c r="AC194" s="1">
        <v>3</v>
      </c>
      <c r="AD194" s="1">
        <v>0.182</v>
      </c>
      <c r="AE194" s="1">
        <v>0.122</v>
      </c>
      <c r="AF194" s="1">
        <v>2.1999999999999999E-2</v>
      </c>
      <c r="AG194" s="1">
        <v>3</v>
      </c>
      <c r="AI194" s="1">
        <v>0</v>
      </c>
      <c r="AJ194" s="1">
        <v>0</v>
      </c>
      <c r="AK194" s="1">
        <v>0</v>
      </c>
      <c r="AL194" s="1">
        <v>1</v>
      </c>
      <c r="AM194" s="1">
        <v>86400</v>
      </c>
      <c r="AN194" s="1">
        <v>79300</v>
      </c>
      <c r="AO194" s="1">
        <v>7100</v>
      </c>
      <c r="AP194" s="1">
        <v>47165</v>
      </c>
      <c r="AQ194" s="1">
        <v>1.705766435611443</v>
      </c>
    </row>
    <row r="195" spans="1:43" x14ac:dyDescent="0.45">
      <c r="A195" s="1">
        <v>194</v>
      </c>
      <c r="B195" s="1">
        <v>181</v>
      </c>
      <c r="C195" s="1">
        <v>75</v>
      </c>
      <c r="D195" s="1" t="s">
        <v>64</v>
      </c>
      <c r="E195" s="1" t="s">
        <v>65</v>
      </c>
      <c r="F195" s="1" t="s">
        <v>66</v>
      </c>
      <c r="G195" s="1" t="s">
        <v>46</v>
      </c>
      <c r="H195" s="1" t="s">
        <v>47</v>
      </c>
      <c r="I195" s="1">
        <v>1170</v>
      </c>
      <c r="J195" s="1">
        <v>33499</v>
      </c>
      <c r="K195" s="1">
        <v>1</v>
      </c>
      <c r="L195" s="1">
        <v>74</v>
      </c>
      <c r="M195" s="1">
        <v>2080</v>
      </c>
      <c r="N195" s="1" t="s">
        <v>48</v>
      </c>
      <c r="O195" s="1">
        <v>198606</v>
      </c>
      <c r="P195" s="1">
        <v>93</v>
      </c>
      <c r="Q195" s="1" t="s">
        <v>111</v>
      </c>
      <c r="R195" s="1" t="s">
        <v>50</v>
      </c>
      <c r="S195" s="1">
        <v>0</v>
      </c>
      <c r="T195" s="1">
        <v>0</v>
      </c>
      <c r="U195" s="1">
        <v>92.590999999999994</v>
      </c>
      <c r="V195" s="1">
        <v>25.254000000000001</v>
      </c>
      <c r="W195" s="1">
        <v>0.54</v>
      </c>
      <c r="X195" s="1">
        <v>0.28100000000000003</v>
      </c>
      <c r="Y195" s="1">
        <v>25.535</v>
      </c>
      <c r="Z195" s="1">
        <v>0.11</v>
      </c>
      <c r="AA195" s="1">
        <v>0.7</v>
      </c>
      <c r="AB195" s="1">
        <v>-1.8</v>
      </c>
      <c r="AC195" s="1">
        <v>-1.8</v>
      </c>
      <c r="AD195" s="1">
        <v>0.28100000000000003</v>
      </c>
      <c r="AE195" s="1">
        <v>6.3E-2</v>
      </c>
      <c r="AF195" s="1">
        <v>2.5000000000000001E-2</v>
      </c>
      <c r="AG195" s="1">
        <v>0.7</v>
      </c>
      <c r="AI195" s="1">
        <v>0</v>
      </c>
      <c r="AJ195" s="1">
        <v>0</v>
      </c>
      <c r="AK195" s="1">
        <v>0</v>
      </c>
      <c r="AL195" s="1">
        <v>1</v>
      </c>
      <c r="AM195" s="1">
        <v>86400</v>
      </c>
      <c r="AN195" s="1">
        <v>80966</v>
      </c>
      <c r="AO195" s="1">
        <v>5434</v>
      </c>
      <c r="AP195" s="1">
        <v>50341</v>
      </c>
      <c r="AQ195" s="1">
        <v>16.327837453438821</v>
      </c>
    </row>
    <row r="196" spans="1:43" x14ac:dyDescent="0.45">
      <c r="A196" s="1">
        <v>195</v>
      </c>
      <c r="B196" s="1">
        <v>181</v>
      </c>
      <c r="C196" s="1">
        <v>75</v>
      </c>
      <c r="D196" s="1" t="s">
        <v>64</v>
      </c>
      <c r="E196" s="1" t="s">
        <v>65</v>
      </c>
      <c r="F196" s="1" t="s">
        <v>66</v>
      </c>
      <c r="G196" s="1" t="s">
        <v>46</v>
      </c>
      <c r="H196" s="1" t="s">
        <v>47</v>
      </c>
      <c r="I196" s="1">
        <v>1170</v>
      </c>
      <c r="J196" s="1">
        <v>33499</v>
      </c>
      <c r="K196" s="1">
        <v>1</v>
      </c>
      <c r="L196" s="1">
        <v>74</v>
      </c>
      <c r="M196" s="1">
        <v>2081</v>
      </c>
      <c r="N196" s="1" t="s">
        <v>48</v>
      </c>
      <c r="O196" s="1">
        <v>198607</v>
      </c>
      <c r="P196" s="1">
        <v>93</v>
      </c>
      <c r="Q196" s="1" t="s">
        <v>111</v>
      </c>
      <c r="R196" s="1" t="s">
        <v>50</v>
      </c>
      <c r="S196" s="1">
        <v>0</v>
      </c>
      <c r="T196" s="1">
        <v>0</v>
      </c>
      <c r="U196" s="1">
        <v>71.430000000000007</v>
      </c>
      <c r="V196" s="1">
        <v>25.236000000000001</v>
      </c>
      <c r="W196" s="1">
        <v>0.55000000000000004</v>
      </c>
      <c r="X196" s="1">
        <v>0.29899999999999999</v>
      </c>
      <c r="Y196" s="1">
        <v>25.535</v>
      </c>
      <c r="Z196" s="1">
        <v>0.11799999999999999</v>
      </c>
      <c r="AA196" s="1">
        <v>-0.6</v>
      </c>
      <c r="AB196" s="1">
        <v>-2.1</v>
      </c>
      <c r="AC196" s="1">
        <v>-2.1</v>
      </c>
      <c r="AD196" s="1">
        <v>0.29899999999999999</v>
      </c>
      <c r="AE196" s="1">
        <v>4.9000000000000002E-2</v>
      </c>
      <c r="AF196" s="1">
        <v>0.02</v>
      </c>
      <c r="AG196" s="1">
        <v>-0.6</v>
      </c>
      <c r="AI196" s="1">
        <v>0</v>
      </c>
      <c r="AJ196" s="1">
        <v>0</v>
      </c>
      <c r="AK196" s="1">
        <v>0</v>
      </c>
      <c r="AL196" s="1">
        <v>1</v>
      </c>
      <c r="AM196" s="1">
        <v>86400</v>
      </c>
      <c r="AN196" s="1">
        <v>81431</v>
      </c>
      <c r="AO196" s="1">
        <v>4969</v>
      </c>
      <c r="AP196" s="1">
        <v>50212</v>
      </c>
      <c r="AQ196" s="1">
        <v>1.7753314003685849</v>
      </c>
    </row>
    <row r="197" spans="1:43" x14ac:dyDescent="0.45">
      <c r="A197" s="1">
        <v>196</v>
      </c>
      <c r="B197" s="1">
        <v>181</v>
      </c>
      <c r="C197" s="1">
        <v>75</v>
      </c>
      <c r="D197" s="1" t="s">
        <v>64</v>
      </c>
      <c r="E197" s="1" t="s">
        <v>65</v>
      </c>
      <c r="F197" s="1" t="s">
        <v>66</v>
      </c>
      <c r="G197" s="1" t="s">
        <v>46</v>
      </c>
      <c r="H197" s="1" t="s">
        <v>47</v>
      </c>
      <c r="I197" s="1">
        <v>1170</v>
      </c>
      <c r="J197" s="1">
        <v>33499</v>
      </c>
      <c r="K197" s="1">
        <v>1</v>
      </c>
      <c r="L197" s="1">
        <v>74</v>
      </c>
      <c r="M197" s="1">
        <v>2082</v>
      </c>
      <c r="N197" s="1" t="s">
        <v>48</v>
      </c>
      <c r="O197" s="1">
        <v>198608</v>
      </c>
      <c r="P197" s="1">
        <v>93</v>
      </c>
      <c r="Q197" s="1" t="s">
        <v>111</v>
      </c>
      <c r="R197" s="1" t="s">
        <v>50</v>
      </c>
      <c r="S197" s="1">
        <v>0</v>
      </c>
      <c r="T197" s="1">
        <v>0</v>
      </c>
      <c r="U197" s="1">
        <v>185.518</v>
      </c>
      <c r="V197" s="1">
        <v>25.303000000000001</v>
      </c>
      <c r="W197" s="1">
        <v>0.54</v>
      </c>
      <c r="X197" s="1">
        <v>0.23100000000000001</v>
      </c>
      <c r="Y197" s="1">
        <v>25.535</v>
      </c>
      <c r="Z197" s="1">
        <v>9.5000000000000001E-2</v>
      </c>
      <c r="AA197" s="1">
        <v>-2.7</v>
      </c>
      <c r="AB197" s="1">
        <v>-2.7</v>
      </c>
      <c r="AC197" s="1">
        <v>-2.7</v>
      </c>
      <c r="AD197" s="1">
        <v>0.23100000000000001</v>
      </c>
      <c r="AE197" s="1">
        <v>9.5000000000000001E-2</v>
      </c>
      <c r="AF197" s="1">
        <v>2.1999999999999999E-2</v>
      </c>
      <c r="AG197" s="1">
        <v>-2.7</v>
      </c>
      <c r="AI197" s="1">
        <v>0</v>
      </c>
      <c r="AJ197" s="1">
        <v>0</v>
      </c>
      <c r="AK197" s="1">
        <v>0</v>
      </c>
      <c r="AL197" s="1">
        <v>1</v>
      </c>
      <c r="AM197" s="1">
        <v>59393</v>
      </c>
      <c r="AN197" s="1">
        <v>16130</v>
      </c>
      <c r="AO197" s="1">
        <v>43262</v>
      </c>
      <c r="AP197" s="1">
        <v>50097</v>
      </c>
      <c r="AQ197" s="1">
        <v>0.55796808436506862</v>
      </c>
    </row>
    <row r="198" spans="1:43" x14ac:dyDescent="0.45">
      <c r="A198" s="1">
        <v>197</v>
      </c>
      <c r="B198" s="1">
        <v>181</v>
      </c>
      <c r="C198" s="1">
        <v>75</v>
      </c>
      <c r="D198" s="1" t="s">
        <v>64</v>
      </c>
      <c r="E198" s="1" t="s">
        <v>65</v>
      </c>
      <c r="F198" s="1" t="s">
        <v>66</v>
      </c>
      <c r="G198" s="1" t="s">
        <v>46</v>
      </c>
      <c r="H198" s="1" t="s">
        <v>47</v>
      </c>
      <c r="I198" s="1">
        <v>1170</v>
      </c>
      <c r="J198" s="1">
        <v>33499</v>
      </c>
      <c r="K198" s="1">
        <v>1</v>
      </c>
      <c r="L198" s="1">
        <v>74</v>
      </c>
      <c r="M198" s="1">
        <v>2085</v>
      </c>
      <c r="N198" s="1" t="s">
        <v>48</v>
      </c>
      <c r="O198" s="1">
        <v>198613</v>
      </c>
      <c r="P198" s="1">
        <v>93</v>
      </c>
      <c r="Q198" s="1" t="s">
        <v>111</v>
      </c>
      <c r="R198" s="1" t="s">
        <v>50</v>
      </c>
      <c r="S198" s="1">
        <v>0</v>
      </c>
      <c r="T198" s="1">
        <v>0</v>
      </c>
      <c r="U198" s="1">
        <v>131.41399999999999</v>
      </c>
      <c r="V198" s="1">
        <v>25.213000000000001</v>
      </c>
      <c r="W198" s="1">
        <v>0.53</v>
      </c>
      <c r="X198" s="1">
        <v>0.14599999999999999</v>
      </c>
      <c r="Y198" s="1">
        <v>25.359000000000002</v>
      </c>
      <c r="Z198" s="1">
        <v>0.23899999999999999</v>
      </c>
      <c r="AA198" s="1">
        <v>2.7</v>
      </c>
      <c r="AB198" s="1">
        <v>2.8</v>
      </c>
      <c r="AC198" s="1">
        <v>2.8</v>
      </c>
      <c r="AD198" s="1">
        <v>0.14599999999999999</v>
      </c>
      <c r="AE198" s="1">
        <v>0.223</v>
      </c>
      <c r="AF198" s="1">
        <v>3.3000000000000002E-2</v>
      </c>
      <c r="AG198" s="1">
        <v>2.7</v>
      </c>
      <c r="AI198" s="1">
        <v>0</v>
      </c>
      <c r="AJ198" s="1">
        <v>0</v>
      </c>
      <c r="AK198" s="1">
        <v>0</v>
      </c>
      <c r="AL198" s="1">
        <v>1</v>
      </c>
      <c r="AM198" s="1">
        <v>86400</v>
      </c>
      <c r="AN198" s="1">
        <v>80168</v>
      </c>
      <c r="AO198" s="1">
        <v>6232</v>
      </c>
      <c r="AP198" s="1">
        <v>50361</v>
      </c>
      <c r="AQ198" s="1">
        <v>0.4638677209018659</v>
      </c>
    </row>
    <row r="199" spans="1:43" x14ac:dyDescent="0.45">
      <c r="A199" s="1">
        <v>198</v>
      </c>
      <c r="B199" s="1">
        <v>181</v>
      </c>
      <c r="C199" s="1">
        <v>75</v>
      </c>
      <c r="D199" s="1" t="s">
        <v>64</v>
      </c>
      <c r="E199" s="1" t="s">
        <v>65</v>
      </c>
      <c r="F199" s="1" t="s">
        <v>66</v>
      </c>
      <c r="G199" s="1" t="s">
        <v>46</v>
      </c>
      <c r="H199" s="1" t="s">
        <v>47</v>
      </c>
      <c r="I199" s="1">
        <v>1170</v>
      </c>
      <c r="J199" s="1">
        <v>33499</v>
      </c>
      <c r="K199" s="1">
        <v>1</v>
      </c>
      <c r="L199" s="1">
        <v>74</v>
      </c>
      <c r="M199" s="1">
        <v>2086</v>
      </c>
      <c r="N199" s="1" t="s">
        <v>48</v>
      </c>
      <c r="O199" s="1">
        <v>198616</v>
      </c>
      <c r="P199" s="1">
        <v>93</v>
      </c>
      <c r="Q199" s="1" t="s">
        <v>111</v>
      </c>
      <c r="R199" s="1" t="s">
        <v>50</v>
      </c>
      <c r="S199" s="1">
        <v>0</v>
      </c>
      <c r="T199" s="1">
        <v>0</v>
      </c>
      <c r="U199" s="1">
        <v>155.554</v>
      </c>
      <c r="V199" s="1">
        <v>25.196999999999999</v>
      </c>
      <c r="W199" s="1">
        <v>0.54</v>
      </c>
      <c r="X199" s="1">
        <v>0.23799999999999999</v>
      </c>
      <c r="Y199" s="1">
        <v>25.434000000000001</v>
      </c>
      <c r="Z199" s="1">
        <v>0.04</v>
      </c>
      <c r="AA199" s="1">
        <v>-0.6</v>
      </c>
      <c r="AB199" s="1">
        <v>-0.6</v>
      </c>
      <c r="AC199" s="1">
        <v>-0.6</v>
      </c>
      <c r="AD199" s="1">
        <v>0.23799999999999999</v>
      </c>
      <c r="AE199" s="1">
        <v>0.04</v>
      </c>
      <c r="AF199" s="1">
        <v>0.01</v>
      </c>
      <c r="AG199" s="1">
        <v>-0.6</v>
      </c>
      <c r="AI199" s="1">
        <v>0</v>
      </c>
      <c r="AJ199" s="1">
        <v>0</v>
      </c>
      <c r="AK199" s="1">
        <v>0</v>
      </c>
      <c r="AL199" s="1">
        <v>1</v>
      </c>
      <c r="AM199" s="1">
        <v>86400</v>
      </c>
      <c r="AN199" s="1">
        <v>78120</v>
      </c>
      <c r="AO199" s="1">
        <v>8280</v>
      </c>
      <c r="AP199" s="1">
        <v>46817</v>
      </c>
      <c r="AQ199" s="1">
        <v>0.49721296494119721</v>
      </c>
    </row>
    <row r="200" spans="1:43" x14ac:dyDescent="0.45">
      <c r="A200" s="1">
        <v>199</v>
      </c>
      <c r="B200" s="1">
        <v>332</v>
      </c>
      <c r="C200" s="1">
        <v>25</v>
      </c>
      <c r="D200" s="1" t="s">
        <v>70</v>
      </c>
      <c r="E200" s="1" t="s">
        <v>71</v>
      </c>
      <c r="F200" s="1" t="s">
        <v>72</v>
      </c>
      <c r="G200" s="1" t="s">
        <v>46</v>
      </c>
      <c r="H200" s="1" t="s">
        <v>47</v>
      </c>
      <c r="I200" s="1">
        <v>664</v>
      </c>
      <c r="J200" s="1">
        <v>19970</v>
      </c>
      <c r="K200" s="1">
        <v>1</v>
      </c>
      <c r="L200" s="1">
        <v>24</v>
      </c>
      <c r="M200" s="1">
        <v>1696</v>
      </c>
      <c r="N200" s="1" t="s">
        <v>48</v>
      </c>
      <c r="O200" s="1">
        <v>183770</v>
      </c>
      <c r="P200" s="1">
        <v>93</v>
      </c>
      <c r="Q200" s="1" t="s">
        <v>111</v>
      </c>
      <c r="R200" s="1" t="s">
        <v>50</v>
      </c>
      <c r="S200" s="1">
        <v>0</v>
      </c>
      <c r="T200" s="1">
        <v>0</v>
      </c>
      <c r="U200" s="1">
        <v>134.53299999999999</v>
      </c>
      <c r="V200" s="1">
        <v>25.527000000000001</v>
      </c>
      <c r="W200" s="1">
        <v>1.3</v>
      </c>
      <c r="X200" s="1">
        <v>1.76</v>
      </c>
      <c r="Y200" s="1">
        <v>27.286999999999999</v>
      </c>
      <c r="Z200" s="1">
        <v>0.17100000000000001</v>
      </c>
      <c r="AA200" s="1">
        <v>2.7</v>
      </c>
      <c r="AB200" s="1">
        <v>2.7</v>
      </c>
      <c r="AC200" s="1">
        <v>2.7</v>
      </c>
      <c r="AD200" s="1">
        <v>1.76</v>
      </c>
      <c r="AE200" s="1">
        <v>0.17100000000000001</v>
      </c>
      <c r="AF200" s="1">
        <v>0.30199999999999999</v>
      </c>
      <c r="AG200" s="1">
        <v>2.7</v>
      </c>
      <c r="AI200" s="1">
        <v>0</v>
      </c>
      <c r="AJ200" s="1">
        <v>0</v>
      </c>
      <c r="AK200" s="1">
        <v>0</v>
      </c>
      <c r="AL200" s="1">
        <v>1</v>
      </c>
      <c r="AM200" s="1">
        <v>86400</v>
      </c>
      <c r="AN200" s="1">
        <v>80689</v>
      </c>
      <c r="AO200" s="1">
        <v>5711</v>
      </c>
      <c r="AP200" s="1">
        <v>43385</v>
      </c>
      <c r="AQ200" s="1">
        <v>14.97557869697212</v>
      </c>
    </row>
    <row r="201" spans="1:43" x14ac:dyDescent="0.45">
      <c r="A201" s="1">
        <v>200</v>
      </c>
      <c r="B201" s="1">
        <v>332</v>
      </c>
      <c r="C201" s="1">
        <v>25</v>
      </c>
      <c r="D201" s="1" t="s">
        <v>70</v>
      </c>
      <c r="E201" s="1" t="s">
        <v>71</v>
      </c>
      <c r="F201" s="1" t="s">
        <v>72</v>
      </c>
      <c r="G201" s="1" t="s">
        <v>46</v>
      </c>
      <c r="H201" s="1" t="s">
        <v>47</v>
      </c>
      <c r="I201" s="1">
        <v>664</v>
      </c>
      <c r="J201" s="1">
        <v>19970</v>
      </c>
      <c r="K201" s="1">
        <v>1</v>
      </c>
      <c r="L201" s="1">
        <v>24</v>
      </c>
      <c r="M201" s="1">
        <v>1698</v>
      </c>
      <c r="N201" s="1" t="s">
        <v>48</v>
      </c>
      <c r="O201" s="1">
        <v>183857</v>
      </c>
      <c r="P201" s="1">
        <v>93</v>
      </c>
      <c r="Q201" s="1" t="s">
        <v>111</v>
      </c>
      <c r="R201" s="1" t="s">
        <v>50</v>
      </c>
      <c r="S201" s="1">
        <v>0</v>
      </c>
      <c r="T201" s="1">
        <v>0</v>
      </c>
      <c r="U201" s="1">
        <v>97.05</v>
      </c>
      <c r="V201" s="1">
        <v>27.024000000000001</v>
      </c>
      <c r="W201" s="1">
        <v>0.54</v>
      </c>
      <c r="X201" s="1">
        <v>0.22</v>
      </c>
      <c r="Y201" s="1">
        <v>27.244</v>
      </c>
      <c r="Z201" s="1">
        <v>0.252</v>
      </c>
      <c r="AA201" s="1">
        <v>-1.6</v>
      </c>
      <c r="AB201" s="1">
        <v>-1.6</v>
      </c>
      <c r="AC201" s="1">
        <v>-1.6</v>
      </c>
      <c r="AD201" s="1">
        <v>0.22</v>
      </c>
      <c r="AE201" s="1">
        <v>0.251</v>
      </c>
      <c r="AF201" s="1">
        <v>5.5E-2</v>
      </c>
      <c r="AG201" s="1">
        <v>-1.6</v>
      </c>
      <c r="AI201" s="1">
        <v>0</v>
      </c>
      <c r="AJ201" s="1">
        <v>0</v>
      </c>
      <c r="AK201" s="1">
        <v>0</v>
      </c>
      <c r="AL201" s="1">
        <v>1</v>
      </c>
      <c r="AM201" s="1">
        <v>86400</v>
      </c>
      <c r="AN201" s="1">
        <v>76507</v>
      </c>
      <c r="AO201" s="1">
        <v>9893</v>
      </c>
      <c r="AP201" s="1">
        <v>46957</v>
      </c>
      <c r="AQ201" s="1">
        <v>12.13985088347876</v>
      </c>
    </row>
    <row r="202" spans="1:43" x14ac:dyDescent="0.45">
      <c r="A202" s="1">
        <v>201</v>
      </c>
      <c r="B202" s="1">
        <v>333</v>
      </c>
      <c r="C202" s="1">
        <v>24</v>
      </c>
      <c r="D202" s="1" t="s">
        <v>73</v>
      </c>
      <c r="E202" s="1" t="s">
        <v>74</v>
      </c>
      <c r="F202" s="1" t="s">
        <v>75</v>
      </c>
      <c r="G202" s="1" t="s">
        <v>46</v>
      </c>
      <c r="H202" s="1" t="s">
        <v>47</v>
      </c>
      <c r="I202" s="1">
        <v>586</v>
      </c>
      <c r="J202" s="1">
        <v>18129</v>
      </c>
      <c r="K202" s="1">
        <v>1</v>
      </c>
      <c r="L202" s="1">
        <v>23</v>
      </c>
      <c r="M202" s="1">
        <v>1696</v>
      </c>
      <c r="N202" s="1" t="s">
        <v>48</v>
      </c>
      <c r="O202" s="1">
        <v>183770</v>
      </c>
      <c r="P202" s="1">
        <v>93</v>
      </c>
      <c r="Q202" s="1" t="s">
        <v>111</v>
      </c>
      <c r="R202" s="1" t="s">
        <v>50</v>
      </c>
      <c r="S202" s="1">
        <v>0</v>
      </c>
      <c r="T202" s="1">
        <v>0</v>
      </c>
      <c r="U202" s="1">
        <v>134.53299999999999</v>
      </c>
      <c r="V202" s="1">
        <v>25.527000000000001</v>
      </c>
      <c r="W202" s="1">
        <v>1.3</v>
      </c>
      <c r="X202" s="1">
        <v>1.76</v>
      </c>
      <c r="Y202" s="1">
        <v>27.286999999999999</v>
      </c>
      <c r="Z202" s="1">
        <v>0.17100000000000001</v>
      </c>
      <c r="AA202" s="1">
        <v>2.7</v>
      </c>
      <c r="AB202" s="1">
        <v>2.7</v>
      </c>
      <c r="AC202" s="1">
        <v>2.7</v>
      </c>
      <c r="AD202" s="1">
        <v>1.76</v>
      </c>
      <c r="AE202" s="1">
        <v>0.17100000000000001</v>
      </c>
      <c r="AF202" s="1">
        <v>0.30199999999999999</v>
      </c>
      <c r="AG202" s="1">
        <v>2.7</v>
      </c>
      <c r="AI202" s="1">
        <v>0</v>
      </c>
      <c r="AJ202" s="1">
        <v>0</v>
      </c>
      <c r="AK202" s="1">
        <v>0</v>
      </c>
      <c r="AL202" s="1">
        <v>1</v>
      </c>
      <c r="AM202" s="1">
        <v>86400</v>
      </c>
      <c r="AN202" s="1">
        <v>80689</v>
      </c>
      <c r="AO202" s="1">
        <v>5711</v>
      </c>
      <c r="AP202" s="1">
        <v>43385</v>
      </c>
      <c r="AQ202" s="1">
        <v>1.107249760698368</v>
      </c>
    </row>
    <row r="203" spans="1:43" x14ac:dyDescent="0.45">
      <c r="A203" s="1">
        <v>202</v>
      </c>
      <c r="B203" s="1">
        <v>334</v>
      </c>
      <c r="C203" s="1">
        <v>25</v>
      </c>
      <c r="D203" s="1" t="s">
        <v>70</v>
      </c>
      <c r="E203" s="1" t="s">
        <v>71</v>
      </c>
      <c r="F203" s="1" t="s">
        <v>72</v>
      </c>
      <c r="G203" s="1" t="s">
        <v>46</v>
      </c>
      <c r="H203" s="1" t="s">
        <v>47</v>
      </c>
      <c r="I203" s="1">
        <v>664</v>
      </c>
      <c r="J203" s="1">
        <v>19970</v>
      </c>
      <c r="K203" s="1">
        <v>1</v>
      </c>
      <c r="L203" s="1">
        <v>24</v>
      </c>
      <c r="M203" s="1">
        <v>1696</v>
      </c>
      <c r="N203" s="1" t="s">
        <v>48</v>
      </c>
      <c r="O203" s="1">
        <v>183770</v>
      </c>
      <c r="P203" s="1">
        <v>93</v>
      </c>
      <c r="Q203" s="1" t="s">
        <v>111</v>
      </c>
      <c r="R203" s="1" t="s">
        <v>50</v>
      </c>
      <c r="S203" s="1">
        <v>0</v>
      </c>
      <c r="T203" s="1">
        <v>0</v>
      </c>
      <c r="U203" s="1">
        <v>134.53299999999999</v>
      </c>
      <c r="V203" s="1">
        <v>25.527000000000001</v>
      </c>
      <c r="W203" s="1">
        <v>1.3</v>
      </c>
      <c r="X203" s="1">
        <v>1.76</v>
      </c>
      <c r="Y203" s="1">
        <v>27.286999999999999</v>
      </c>
      <c r="Z203" s="1">
        <v>0.17100000000000001</v>
      </c>
      <c r="AA203" s="1">
        <v>2.7</v>
      </c>
      <c r="AB203" s="1">
        <v>2.7</v>
      </c>
      <c r="AC203" s="1">
        <v>2.7</v>
      </c>
      <c r="AD203" s="1">
        <v>1.76</v>
      </c>
      <c r="AE203" s="1">
        <v>0.17100000000000001</v>
      </c>
      <c r="AF203" s="1">
        <v>0.30199999999999999</v>
      </c>
      <c r="AG203" s="1">
        <v>2.7</v>
      </c>
      <c r="AI203" s="1">
        <v>0</v>
      </c>
      <c r="AJ203" s="1">
        <v>0</v>
      </c>
      <c r="AK203" s="1">
        <v>0</v>
      </c>
      <c r="AL203" s="1">
        <v>1</v>
      </c>
      <c r="AM203" s="1">
        <v>86400</v>
      </c>
      <c r="AN203" s="1">
        <v>80689</v>
      </c>
      <c r="AO203" s="1">
        <v>5711</v>
      </c>
      <c r="AP203" s="1">
        <v>43385</v>
      </c>
      <c r="AQ203" s="1">
        <v>1.092180301669939</v>
      </c>
    </row>
    <row r="204" spans="1:43" x14ac:dyDescent="0.45">
      <c r="A204" s="1">
        <v>203</v>
      </c>
      <c r="B204" s="1">
        <v>351</v>
      </c>
      <c r="C204" s="1">
        <v>63</v>
      </c>
      <c r="D204" s="1" t="s">
        <v>76</v>
      </c>
      <c r="E204" s="1" t="s">
        <v>77</v>
      </c>
      <c r="F204" s="1" t="s">
        <v>78</v>
      </c>
      <c r="G204" s="1" t="s">
        <v>46</v>
      </c>
      <c r="H204" s="1" t="s">
        <v>47</v>
      </c>
      <c r="I204" s="1">
        <v>1247</v>
      </c>
      <c r="J204" s="1">
        <v>27398</v>
      </c>
      <c r="K204" s="1">
        <v>1</v>
      </c>
      <c r="L204" s="1">
        <v>62</v>
      </c>
      <c r="M204" s="1">
        <v>1688</v>
      </c>
      <c r="N204" s="1" t="s">
        <v>48</v>
      </c>
      <c r="O204" s="1">
        <v>181313</v>
      </c>
      <c r="P204" s="1">
        <v>93</v>
      </c>
      <c r="Q204" s="1" t="s">
        <v>111</v>
      </c>
      <c r="R204" s="1" t="s">
        <v>50</v>
      </c>
      <c r="S204" s="1">
        <v>0</v>
      </c>
      <c r="T204" s="1">
        <v>0</v>
      </c>
      <c r="U204" s="1">
        <v>283.084</v>
      </c>
      <c r="V204" s="1">
        <v>25.13</v>
      </c>
      <c r="W204" s="1">
        <v>0.52</v>
      </c>
      <c r="X204" s="1">
        <v>0.10299999999999999</v>
      </c>
      <c r="Y204" s="1">
        <v>25.233000000000001</v>
      </c>
      <c r="Z204" s="1">
        <v>0.249</v>
      </c>
      <c r="AA204" s="1">
        <v>2.2000000000000002</v>
      </c>
      <c r="AB204" s="1">
        <v>2.2000000000000002</v>
      </c>
      <c r="AC204" s="1">
        <v>2.2000000000000002</v>
      </c>
      <c r="AD204" s="1">
        <v>0.10299999999999999</v>
      </c>
      <c r="AE204" s="1">
        <v>0.248</v>
      </c>
      <c r="AF204" s="1">
        <v>2.5999999999999999E-2</v>
      </c>
      <c r="AG204" s="1">
        <v>2.2000000000000002</v>
      </c>
      <c r="AI204" s="1">
        <v>0</v>
      </c>
      <c r="AJ204" s="1">
        <v>0</v>
      </c>
      <c r="AK204" s="1">
        <v>0</v>
      </c>
      <c r="AL204" s="1">
        <v>1</v>
      </c>
      <c r="AM204" s="1">
        <v>86400</v>
      </c>
      <c r="AN204" s="1">
        <v>80034</v>
      </c>
      <c r="AO204" s="1">
        <v>6366</v>
      </c>
      <c r="AP204" s="1">
        <v>43684</v>
      </c>
      <c r="AQ204" s="1">
        <v>3.0373744553695579</v>
      </c>
    </row>
    <row r="205" spans="1:43" x14ac:dyDescent="0.45">
      <c r="A205" s="1">
        <v>204</v>
      </c>
      <c r="B205" s="1">
        <v>351</v>
      </c>
      <c r="C205" s="1">
        <v>63</v>
      </c>
      <c r="D205" s="1" t="s">
        <v>76</v>
      </c>
      <c r="E205" s="1" t="s">
        <v>77</v>
      </c>
      <c r="F205" s="1" t="s">
        <v>78</v>
      </c>
      <c r="G205" s="1" t="s">
        <v>46</v>
      </c>
      <c r="H205" s="1" t="s">
        <v>47</v>
      </c>
      <c r="I205" s="1">
        <v>1247</v>
      </c>
      <c r="J205" s="1">
        <v>27398</v>
      </c>
      <c r="K205" s="1">
        <v>1</v>
      </c>
      <c r="L205" s="1">
        <v>62</v>
      </c>
      <c r="M205" s="1">
        <v>1689</v>
      </c>
      <c r="N205" s="1" t="s">
        <v>48</v>
      </c>
      <c r="O205" s="1">
        <v>181314</v>
      </c>
      <c r="P205" s="1">
        <v>93</v>
      </c>
      <c r="Q205" s="1" t="s">
        <v>111</v>
      </c>
      <c r="R205" s="1" t="s">
        <v>50</v>
      </c>
      <c r="S205" s="1">
        <v>0</v>
      </c>
      <c r="T205" s="1">
        <v>0</v>
      </c>
      <c r="U205" s="1">
        <v>407.74700000000001</v>
      </c>
      <c r="V205" s="1">
        <v>25.128</v>
      </c>
      <c r="W205" s="1">
        <v>0.52</v>
      </c>
      <c r="X205" s="1">
        <v>0.107</v>
      </c>
      <c r="Y205" s="1">
        <v>25.234999999999999</v>
      </c>
      <c r="Z205" s="1">
        <v>0.24</v>
      </c>
      <c r="AA205" s="1">
        <v>2.1</v>
      </c>
      <c r="AB205" s="1">
        <v>2.1</v>
      </c>
      <c r="AC205" s="1">
        <v>2.1</v>
      </c>
      <c r="AD205" s="1">
        <v>0.107</v>
      </c>
      <c r="AE205" s="1">
        <v>0.23899999999999999</v>
      </c>
      <c r="AF205" s="1">
        <v>2.5999999999999999E-2</v>
      </c>
      <c r="AG205" s="1">
        <v>2.1</v>
      </c>
      <c r="AI205" s="1">
        <v>0</v>
      </c>
      <c r="AJ205" s="1">
        <v>0</v>
      </c>
      <c r="AK205" s="1">
        <v>0</v>
      </c>
      <c r="AL205" s="1">
        <v>1</v>
      </c>
      <c r="AM205" s="1">
        <v>86400</v>
      </c>
      <c r="AN205" s="1">
        <v>80163</v>
      </c>
      <c r="AO205" s="1">
        <v>6237</v>
      </c>
      <c r="AP205" s="1">
        <v>47092</v>
      </c>
      <c r="AQ205" s="1">
        <v>28.371147376937831</v>
      </c>
    </row>
    <row r="206" spans="1:43" x14ac:dyDescent="0.45">
      <c r="A206" s="1">
        <v>205</v>
      </c>
      <c r="B206" s="1">
        <v>351</v>
      </c>
      <c r="C206" s="1">
        <v>63</v>
      </c>
      <c r="D206" s="1" t="s">
        <v>76</v>
      </c>
      <c r="E206" s="1" t="s">
        <v>77</v>
      </c>
      <c r="F206" s="1" t="s">
        <v>78</v>
      </c>
      <c r="G206" s="1" t="s">
        <v>46</v>
      </c>
      <c r="H206" s="1" t="s">
        <v>47</v>
      </c>
      <c r="I206" s="1">
        <v>1247</v>
      </c>
      <c r="J206" s="1">
        <v>27398</v>
      </c>
      <c r="K206" s="1">
        <v>1</v>
      </c>
      <c r="L206" s="1">
        <v>62</v>
      </c>
      <c r="M206" s="1">
        <v>1690</v>
      </c>
      <c r="N206" s="1" t="s">
        <v>48</v>
      </c>
      <c r="O206" s="1">
        <v>181344</v>
      </c>
      <c r="P206" s="1">
        <v>93</v>
      </c>
      <c r="Q206" s="1" t="s">
        <v>111</v>
      </c>
      <c r="R206" s="1" t="s">
        <v>50</v>
      </c>
      <c r="S206" s="1">
        <v>0</v>
      </c>
      <c r="T206" s="1">
        <v>0</v>
      </c>
      <c r="U206" s="1">
        <v>509.673</v>
      </c>
      <c r="V206" s="1">
        <v>23.771999999999998</v>
      </c>
      <c r="W206" s="1">
        <v>0.63</v>
      </c>
      <c r="X206" s="1">
        <v>0.77500000000000002</v>
      </c>
      <c r="Y206" s="1">
        <v>24.547000000000001</v>
      </c>
      <c r="Z206" s="1">
        <v>0.16300000000000001</v>
      </c>
      <c r="AA206" s="1">
        <v>-3</v>
      </c>
      <c r="AB206" s="1">
        <v>-3</v>
      </c>
      <c r="AC206" s="1">
        <v>-3</v>
      </c>
      <c r="AD206" s="1">
        <v>0.77500000000000002</v>
      </c>
      <c r="AE206" s="1">
        <v>0.16300000000000001</v>
      </c>
      <c r="AF206" s="1">
        <v>0.127</v>
      </c>
      <c r="AG206" s="1">
        <v>-3</v>
      </c>
      <c r="AI206" s="1">
        <v>0</v>
      </c>
      <c r="AJ206" s="1">
        <v>0</v>
      </c>
      <c r="AK206" s="1">
        <v>0</v>
      </c>
      <c r="AL206" s="1">
        <v>1</v>
      </c>
      <c r="AM206" s="1">
        <v>86400</v>
      </c>
      <c r="AN206" s="1">
        <v>80355</v>
      </c>
      <c r="AO206" s="1">
        <v>6045</v>
      </c>
      <c r="AP206" s="1">
        <v>43367</v>
      </c>
      <c r="AQ206" s="1">
        <v>25.565098127340359</v>
      </c>
    </row>
    <row r="207" spans="1:43" x14ac:dyDescent="0.45">
      <c r="A207" s="1">
        <v>206</v>
      </c>
      <c r="B207" s="1">
        <v>351</v>
      </c>
      <c r="C207" s="1">
        <v>63</v>
      </c>
      <c r="D207" s="1" t="s">
        <v>76</v>
      </c>
      <c r="E207" s="1" t="s">
        <v>77</v>
      </c>
      <c r="F207" s="1" t="s">
        <v>78</v>
      </c>
      <c r="G207" s="1" t="s">
        <v>46</v>
      </c>
      <c r="H207" s="1" t="s">
        <v>47</v>
      </c>
      <c r="I207" s="1">
        <v>1247</v>
      </c>
      <c r="J207" s="1">
        <v>27398</v>
      </c>
      <c r="K207" s="1">
        <v>1</v>
      </c>
      <c r="L207" s="1">
        <v>62</v>
      </c>
      <c r="M207" s="1">
        <v>1700</v>
      </c>
      <c r="N207" s="1" t="s">
        <v>48</v>
      </c>
      <c r="O207" s="1">
        <v>184182</v>
      </c>
      <c r="P207" s="1">
        <v>93</v>
      </c>
      <c r="Q207" s="1" t="s">
        <v>111</v>
      </c>
      <c r="R207" s="1" t="s">
        <v>50</v>
      </c>
      <c r="S207" s="1">
        <v>0</v>
      </c>
      <c r="T207" s="1">
        <v>0</v>
      </c>
      <c r="U207" s="1">
        <v>51.722999999999999</v>
      </c>
      <c r="V207" s="1">
        <v>24.972999999999999</v>
      </c>
      <c r="W207" s="1">
        <v>0.54</v>
      </c>
      <c r="X207" s="1">
        <v>0.24199999999999999</v>
      </c>
      <c r="Y207" s="1">
        <v>25.216000000000001</v>
      </c>
      <c r="Z207" s="1">
        <v>0.14199999999999999</v>
      </c>
      <c r="AA207" s="1">
        <v>-2.9</v>
      </c>
      <c r="AB207" s="1">
        <v>-2.9</v>
      </c>
      <c r="AC207" s="1">
        <v>-2.9</v>
      </c>
      <c r="AD207" s="1">
        <v>0.24199999999999999</v>
      </c>
      <c r="AE207" s="1">
        <v>0.14199999999999999</v>
      </c>
      <c r="AF207" s="1">
        <v>3.4000000000000002E-2</v>
      </c>
      <c r="AG207" s="1">
        <v>-2.9</v>
      </c>
      <c r="AI207" s="1">
        <v>0</v>
      </c>
      <c r="AJ207" s="1">
        <v>0</v>
      </c>
      <c r="AK207" s="1">
        <v>0</v>
      </c>
      <c r="AL207" s="1">
        <v>1</v>
      </c>
      <c r="AM207" s="1">
        <v>86400</v>
      </c>
      <c r="AN207" s="1">
        <v>81623</v>
      </c>
      <c r="AO207" s="1">
        <v>4777</v>
      </c>
      <c r="AP207" s="1">
        <v>46882</v>
      </c>
      <c r="AQ207" s="1">
        <v>12.851985611736319</v>
      </c>
    </row>
    <row r="208" spans="1:43" x14ac:dyDescent="0.45">
      <c r="A208" s="1">
        <v>207</v>
      </c>
      <c r="B208" s="1">
        <v>351</v>
      </c>
      <c r="C208" s="1">
        <v>63</v>
      </c>
      <c r="D208" s="1" t="s">
        <v>76</v>
      </c>
      <c r="E208" s="1" t="s">
        <v>77</v>
      </c>
      <c r="F208" s="1" t="s">
        <v>78</v>
      </c>
      <c r="G208" s="1" t="s">
        <v>46</v>
      </c>
      <c r="H208" s="1" t="s">
        <v>47</v>
      </c>
      <c r="I208" s="1">
        <v>1247</v>
      </c>
      <c r="J208" s="1">
        <v>27398</v>
      </c>
      <c r="K208" s="1">
        <v>1</v>
      </c>
      <c r="L208" s="1">
        <v>62</v>
      </c>
      <c r="M208" s="1">
        <v>1701</v>
      </c>
      <c r="N208" s="1" t="s">
        <v>48</v>
      </c>
      <c r="O208" s="1">
        <v>184186</v>
      </c>
      <c r="P208" s="1">
        <v>93</v>
      </c>
      <c r="Q208" s="1" t="s">
        <v>111</v>
      </c>
      <c r="R208" s="1" t="s">
        <v>50</v>
      </c>
      <c r="S208" s="1">
        <v>0</v>
      </c>
      <c r="T208" s="1">
        <v>0</v>
      </c>
      <c r="U208" s="1">
        <v>192.679</v>
      </c>
      <c r="V208" s="1">
        <v>25.120999999999999</v>
      </c>
      <c r="W208" s="1">
        <v>0.52</v>
      </c>
      <c r="X208" s="1">
        <v>0.11</v>
      </c>
      <c r="Y208" s="1">
        <v>25.231000000000002</v>
      </c>
      <c r="Z208" s="1">
        <v>0.23699999999999999</v>
      </c>
      <c r="AA208" s="1">
        <v>2.2000000000000002</v>
      </c>
      <c r="AB208" s="1">
        <v>2.2000000000000002</v>
      </c>
      <c r="AC208" s="1">
        <v>2.2000000000000002</v>
      </c>
      <c r="AD208" s="1">
        <v>0.11</v>
      </c>
      <c r="AE208" s="1">
        <v>0.23599999999999999</v>
      </c>
      <c r="AF208" s="1">
        <v>2.5999999999999999E-2</v>
      </c>
      <c r="AG208" s="1">
        <v>2.2000000000000002</v>
      </c>
      <c r="AI208" s="1">
        <v>0</v>
      </c>
      <c r="AJ208" s="1">
        <v>0</v>
      </c>
      <c r="AK208" s="1">
        <v>0</v>
      </c>
      <c r="AL208" s="1">
        <v>1</v>
      </c>
      <c r="AM208" s="1">
        <v>86400</v>
      </c>
      <c r="AN208" s="1">
        <v>80486</v>
      </c>
      <c r="AO208" s="1">
        <v>5914</v>
      </c>
      <c r="AP208" s="1">
        <v>43637</v>
      </c>
      <c r="AQ208" s="1">
        <v>22.488583066255799</v>
      </c>
    </row>
    <row r="209" spans="1:43" x14ac:dyDescent="0.45">
      <c r="A209" s="1">
        <v>208</v>
      </c>
      <c r="B209" s="1">
        <v>351</v>
      </c>
      <c r="C209" s="1">
        <v>63</v>
      </c>
      <c r="D209" s="1" t="s">
        <v>76</v>
      </c>
      <c r="E209" s="1" t="s">
        <v>77</v>
      </c>
      <c r="F209" s="1" t="s">
        <v>78</v>
      </c>
      <c r="G209" s="1" t="s">
        <v>46</v>
      </c>
      <c r="H209" s="1" t="s">
        <v>47</v>
      </c>
      <c r="I209" s="1">
        <v>1247</v>
      </c>
      <c r="J209" s="1">
        <v>27398</v>
      </c>
      <c r="K209" s="1">
        <v>1</v>
      </c>
      <c r="L209" s="1">
        <v>62</v>
      </c>
      <c r="M209" s="1">
        <v>1702</v>
      </c>
      <c r="N209" s="1" t="s">
        <v>48</v>
      </c>
      <c r="O209" s="1">
        <v>184187</v>
      </c>
      <c r="P209" s="1">
        <v>93</v>
      </c>
      <c r="Q209" s="1" t="s">
        <v>111</v>
      </c>
      <c r="R209" s="1" t="s">
        <v>50</v>
      </c>
      <c r="S209" s="1">
        <v>0</v>
      </c>
      <c r="T209" s="1">
        <v>0</v>
      </c>
      <c r="U209" s="1">
        <v>148.02699999999999</v>
      </c>
      <c r="V209" s="1">
        <v>25.082999999999998</v>
      </c>
      <c r="W209" s="1">
        <v>0.53</v>
      </c>
      <c r="X209" s="1">
        <v>0.14799999999999999</v>
      </c>
      <c r="Y209" s="1">
        <v>25.231000000000002</v>
      </c>
      <c r="Z209" s="1">
        <v>0.315</v>
      </c>
      <c r="AA209" s="1">
        <v>1.9</v>
      </c>
      <c r="AB209" s="1">
        <v>1.9</v>
      </c>
      <c r="AC209" s="1">
        <v>1.9</v>
      </c>
      <c r="AD209" s="1">
        <v>0.14799999999999999</v>
      </c>
      <c r="AE209" s="1">
        <v>0.314</v>
      </c>
      <c r="AF209" s="1">
        <v>4.7E-2</v>
      </c>
      <c r="AG209" s="1">
        <v>1.9</v>
      </c>
      <c r="AI209" s="1">
        <v>0</v>
      </c>
      <c r="AJ209" s="1">
        <v>0</v>
      </c>
      <c r="AK209" s="1">
        <v>0</v>
      </c>
      <c r="AL209" s="1">
        <v>1</v>
      </c>
      <c r="AM209" s="1">
        <v>86400</v>
      </c>
      <c r="AN209" s="1">
        <v>81668</v>
      </c>
      <c r="AO209" s="1">
        <v>4732</v>
      </c>
      <c r="AP209" s="1">
        <v>43725</v>
      </c>
      <c r="AQ209" s="1">
        <v>2.804081138854984</v>
      </c>
    </row>
    <row r="210" spans="1:43" x14ac:dyDescent="0.45">
      <c r="A210" s="1">
        <v>209</v>
      </c>
      <c r="B210" s="1">
        <v>384</v>
      </c>
      <c r="C210" s="1">
        <v>19</v>
      </c>
      <c r="D210" s="1" t="s">
        <v>102</v>
      </c>
      <c r="E210" s="1" t="s">
        <v>103</v>
      </c>
      <c r="F210" s="1" t="s">
        <v>104</v>
      </c>
      <c r="G210" s="1" t="s">
        <v>46</v>
      </c>
      <c r="H210" s="1" t="s">
        <v>47</v>
      </c>
      <c r="I210" s="1">
        <v>806</v>
      </c>
      <c r="J210" s="1">
        <v>27768</v>
      </c>
      <c r="K210" s="1">
        <v>1</v>
      </c>
      <c r="L210" s="1">
        <v>18</v>
      </c>
      <c r="M210" s="1">
        <v>1737</v>
      </c>
      <c r="N210" s="1" t="s">
        <v>48</v>
      </c>
      <c r="O210" s="1">
        <v>185253</v>
      </c>
      <c r="P210" s="1">
        <v>93</v>
      </c>
      <c r="Q210" s="1" t="s">
        <v>111</v>
      </c>
      <c r="R210" s="1" t="s">
        <v>50</v>
      </c>
      <c r="S210" s="1">
        <v>0</v>
      </c>
      <c r="T210" s="1">
        <v>0</v>
      </c>
      <c r="U210" s="1">
        <v>256.815</v>
      </c>
      <c r="V210" s="1">
        <v>24.222999999999999</v>
      </c>
      <c r="W210" s="1">
        <v>0.52</v>
      </c>
      <c r="X210" s="1">
        <v>0.112</v>
      </c>
      <c r="Y210" s="1">
        <v>24.335000000000001</v>
      </c>
      <c r="Z210" s="1">
        <v>0.26</v>
      </c>
      <c r="AA210" s="1">
        <v>3</v>
      </c>
      <c r="AB210" s="1">
        <v>3</v>
      </c>
      <c r="AC210" s="1">
        <v>3</v>
      </c>
      <c r="AD210" s="1">
        <v>0.112</v>
      </c>
      <c r="AE210" s="1">
        <v>0.25900000000000001</v>
      </c>
      <c r="AF210" s="1">
        <v>2.9000000000000001E-2</v>
      </c>
      <c r="AG210" s="1">
        <v>3</v>
      </c>
      <c r="AI210" s="1">
        <v>0</v>
      </c>
      <c r="AJ210" s="1">
        <v>0</v>
      </c>
      <c r="AK210" s="1">
        <v>0</v>
      </c>
      <c r="AL210" s="1">
        <v>1</v>
      </c>
      <c r="AM210" s="1">
        <v>86400</v>
      </c>
      <c r="AN210" s="1">
        <v>80908</v>
      </c>
      <c r="AO210" s="1">
        <v>5492</v>
      </c>
      <c r="AP210" s="1">
        <v>43652</v>
      </c>
      <c r="AQ210" s="1">
        <v>13.49032915473626</v>
      </c>
    </row>
    <row r="211" spans="1:43" x14ac:dyDescent="0.45">
      <c r="A211" s="1">
        <v>210</v>
      </c>
      <c r="B211" s="1">
        <v>425</v>
      </c>
      <c r="C211" s="1">
        <v>24</v>
      </c>
      <c r="D211" s="1" t="s">
        <v>73</v>
      </c>
      <c r="E211" s="1" t="s">
        <v>74</v>
      </c>
      <c r="F211" s="1" t="s">
        <v>75</v>
      </c>
      <c r="G211" s="1" t="s">
        <v>46</v>
      </c>
      <c r="H211" s="1" t="s">
        <v>47</v>
      </c>
      <c r="I211" s="1">
        <v>586</v>
      </c>
      <c r="J211" s="1">
        <v>18129</v>
      </c>
      <c r="K211" s="1">
        <v>1</v>
      </c>
      <c r="L211" s="1">
        <v>23</v>
      </c>
      <c r="M211" s="1">
        <v>1694</v>
      </c>
      <c r="N211" s="1" t="s">
        <v>48</v>
      </c>
      <c r="O211" s="1">
        <v>183748</v>
      </c>
      <c r="P211" s="1">
        <v>93</v>
      </c>
      <c r="Q211" s="1" t="s">
        <v>111</v>
      </c>
      <c r="R211" s="1" t="s">
        <v>50</v>
      </c>
      <c r="S211" s="1">
        <v>0</v>
      </c>
      <c r="T211" s="1">
        <v>0</v>
      </c>
      <c r="U211" s="1">
        <v>288.11500000000001</v>
      </c>
      <c r="V211" s="1">
        <v>27.244</v>
      </c>
      <c r="W211" s="1">
        <v>0.56999999999999995</v>
      </c>
      <c r="X211" s="1">
        <v>0.379</v>
      </c>
      <c r="Y211" s="1">
        <v>27.623000000000001</v>
      </c>
      <c r="Z211" s="1">
        <v>0.23400000000000001</v>
      </c>
      <c r="AA211" s="1">
        <v>-2.4</v>
      </c>
      <c r="AB211" s="1">
        <v>-2.4</v>
      </c>
      <c r="AC211" s="1">
        <v>-2.4</v>
      </c>
      <c r="AD211" s="1">
        <v>0.379</v>
      </c>
      <c r="AE211" s="1">
        <v>0.23300000000000001</v>
      </c>
      <c r="AF211" s="1">
        <v>8.8999999999999996E-2</v>
      </c>
      <c r="AG211" s="1">
        <v>-2.4</v>
      </c>
      <c r="AI211" s="1">
        <v>0</v>
      </c>
      <c r="AJ211" s="1">
        <v>0</v>
      </c>
      <c r="AK211" s="1">
        <v>0</v>
      </c>
      <c r="AL211" s="1">
        <v>1</v>
      </c>
      <c r="AM211" s="1">
        <v>86400</v>
      </c>
      <c r="AN211" s="1">
        <v>81149</v>
      </c>
      <c r="AO211" s="1">
        <v>5251</v>
      </c>
      <c r="AP211" s="1">
        <v>46836</v>
      </c>
      <c r="AQ211" s="1">
        <v>17.13936196617848</v>
      </c>
    </row>
    <row r="212" spans="1:43" x14ac:dyDescent="0.45">
      <c r="A212" s="1">
        <v>211</v>
      </c>
      <c r="B212" s="1">
        <v>425</v>
      </c>
      <c r="C212" s="1">
        <v>24</v>
      </c>
      <c r="D212" s="1" t="s">
        <v>73</v>
      </c>
      <c r="E212" s="1" t="s">
        <v>74</v>
      </c>
      <c r="F212" s="1" t="s">
        <v>75</v>
      </c>
      <c r="G212" s="1" t="s">
        <v>46</v>
      </c>
      <c r="H212" s="1" t="s">
        <v>47</v>
      </c>
      <c r="I212" s="1">
        <v>586</v>
      </c>
      <c r="J212" s="1">
        <v>18129</v>
      </c>
      <c r="K212" s="1">
        <v>1</v>
      </c>
      <c r="L212" s="1">
        <v>23</v>
      </c>
      <c r="M212" s="1">
        <v>1695</v>
      </c>
      <c r="N212" s="1" t="s">
        <v>48</v>
      </c>
      <c r="O212" s="1">
        <v>183760</v>
      </c>
      <c r="P212" s="1">
        <v>93</v>
      </c>
      <c r="Q212" s="1" t="s">
        <v>111</v>
      </c>
      <c r="R212" s="1" t="s">
        <v>50</v>
      </c>
      <c r="S212" s="1">
        <v>0</v>
      </c>
      <c r="T212" s="1">
        <v>0</v>
      </c>
      <c r="U212" s="1">
        <v>463.62599999999998</v>
      </c>
      <c r="V212" s="1">
        <v>27.099</v>
      </c>
      <c r="W212" s="1">
        <v>0.53</v>
      </c>
      <c r="X212" s="1">
        <v>0.16400000000000001</v>
      </c>
      <c r="Y212" s="1">
        <v>27.263999999999999</v>
      </c>
      <c r="Z212" s="1">
        <v>0.155</v>
      </c>
      <c r="AA212" s="1">
        <v>-1.5</v>
      </c>
      <c r="AB212" s="1">
        <v>-1.5</v>
      </c>
      <c r="AC212" s="1">
        <v>-1.5</v>
      </c>
      <c r="AD212" s="1">
        <v>0.16400000000000001</v>
      </c>
      <c r="AE212" s="1">
        <v>0.155</v>
      </c>
      <c r="AF212" s="1">
        <v>2.5000000000000001E-2</v>
      </c>
      <c r="AG212" s="1">
        <v>-1.5</v>
      </c>
      <c r="AI212" s="1">
        <v>0</v>
      </c>
      <c r="AJ212" s="1">
        <v>0</v>
      </c>
      <c r="AK212" s="1">
        <v>0</v>
      </c>
      <c r="AL212" s="1">
        <v>1</v>
      </c>
      <c r="AM212" s="1">
        <v>86400</v>
      </c>
      <c r="AN212" s="1">
        <v>80119</v>
      </c>
      <c r="AO212" s="1">
        <v>6281</v>
      </c>
      <c r="AP212" s="1">
        <v>47029</v>
      </c>
      <c r="AQ212" s="1">
        <v>22.064773613282629</v>
      </c>
    </row>
    <row r="213" spans="1:43" x14ac:dyDescent="0.45">
      <c r="A213" s="1">
        <v>212</v>
      </c>
      <c r="B213" s="1">
        <v>425</v>
      </c>
      <c r="C213" s="1">
        <v>24</v>
      </c>
      <c r="D213" s="1" t="s">
        <v>73</v>
      </c>
      <c r="E213" s="1" t="s">
        <v>74</v>
      </c>
      <c r="F213" s="1" t="s">
        <v>75</v>
      </c>
      <c r="G213" s="1" t="s">
        <v>46</v>
      </c>
      <c r="H213" s="1" t="s">
        <v>47</v>
      </c>
      <c r="I213" s="1">
        <v>586</v>
      </c>
      <c r="J213" s="1">
        <v>18129</v>
      </c>
      <c r="K213" s="1">
        <v>1</v>
      </c>
      <c r="L213" s="1">
        <v>23</v>
      </c>
      <c r="M213" s="1">
        <v>1696</v>
      </c>
      <c r="N213" s="1" t="s">
        <v>48</v>
      </c>
      <c r="O213" s="1">
        <v>183770</v>
      </c>
      <c r="P213" s="1">
        <v>93</v>
      </c>
      <c r="Q213" s="1" t="s">
        <v>111</v>
      </c>
      <c r="R213" s="1" t="s">
        <v>50</v>
      </c>
      <c r="S213" s="1">
        <v>0</v>
      </c>
      <c r="T213" s="1">
        <v>0</v>
      </c>
      <c r="U213" s="1">
        <v>134.53299999999999</v>
      </c>
      <c r="V213" s="1">
        <v>25.527000000000001</v>
      </c>
      <c r="W213" s="1">
        <v>1.3</v>
      </c>
      <c r="X213" s="1">
        <v>1.76</v>
      </c>
      <c r="Y213" s="1">
        <v>27.286999999999999</v>
      </c>
      <c r="Z213" s="1">
        <v>0.17100000000000001</v>
      </c>
      <c r="AA213" s="1">
        <v>2.7</v>
      </c>
      <c r="AB213" s="1">
        <v>2.7</v>
      </c>
      <c r="AC213" s="1">
        <v>2.7</v>
      </c>
      <c r="AD213" s="1">
        <v>1.76</v>
      </c>
      <c r="AE213" s="1">
        <v>0.17100000000000001</v>
      </c>
      <c r="AF213" s="1">
        <v>0.30199999999999999</v>
      </c>
      <c r="AG213" s="1">
        <v>2.7</v>
      </c>
      <c r="AI213" s="1">
        <v>0</v>
      </c>
      <c r="AJ213" s="1">
        <v>0</v>
      </c>
      <c r="AK213" s="1">
        <v>0</v>
      </c>
      <c r="AL213" s="1">
        <v>1</v>
      </c>
      <c r="AM213" s="1">
        <v>86400</v>
      </c>
      <c r="AN213" s="1">
        <v>80689</v>
      </c>
      <c r="AO213" s="1">
        <v>5711</v>
      </c>
      <c r="AP213" s="1">
        <v>43385</v>
      </c>
      <c r="AQ213" s="1">
        <v>15.60055264735368</v>
      </c>
    </row>
    <row r="214" spans="1:43" x14ac:dyDescent="0.45">
      <c r="A214" s="1">
        <v>213</v>
      </c>
      <c r="B214" s="1">
        <v>425</v>
      </c>
      <c r="C214" s="1">
        <v>24</v>
      </c>
      <c r="D214" s="1" t="s">
        <v>73</v>
      </c>
      <c r="E214" s="1" t="s">
        <v>74</v>
      </c>
      <c r="F214" s="1" t="s">
        <v>75</v>
      </c>
      <c r="G214" s="1" t="s">
        <v>46</v>
      </c>
      <c r="H214" s="1" t="s">
        <v>47</v>
      </c>
      <c r="I214" s="1">
        <v>586</v>
      </c>
      <c r="J214" s="1">
        <v>18129</v>
      </c>
      <c r="K214" s="1">
        <v>1</v>
      </c>
      <c r="L214" s="1">
        <v>23</v>
      </c>
      <c r="M214" s="1">
        <v>1697</v>
      </c>
      <c r="N214" s="1" t="s">
        <v>48</v>
      </c>
      <c r="O214" s="1">
        <v>183771</v>
      </c>
      <c r="P214" s="1">
        <v>93</v>
      </c>
      <c r="Q214" s="1" t="s">
        <v>111</v>
      </c>
      <c r="R214" s="1" t="s">
        <v>50</v>
      </c>
      <c r="S214" s="1">
        <v>0</v>
      </c>
      <c r="T214" s="1">
        <v>0</v>
      </c>
      <c r="U214" s="1">
        <v>106.956</v>
      </c>
      <c r="V214" s="1">
        <v>27.111999999999998</v>
      </c>
      <c r="W214" s="1">
        <v>0.53</v>
      </c>
      <c r="X214" s="1">
        <v>0.17599999999999999</v>
      </c>
      <c r="Y214" s="1">
        <v>27.288</v>
      </c>
      <c r="Z214" s="1">
        <v>0.252</v>
      </c>
      <c r="AA214" s="1">
        <v>-1.1000000000000001</v>
      </c>
      <c r="AB214" s="1">
        <v>-1.1000000000000001</v>
      </c>
      <c r="AC214" s="1">
        <v>-1.1000000000000001</v>
      </c>
      <c r="AD214" s="1">
        <v>0.17599999999999999</v>
      </c>
      <c r="AE214" s="1">
        <v>0.251</v>
      </c>
      <c r="AF214" s="1">
        <v>4.3999999999999997E-2</v>
      </c>
      <c r="AG214" s="1">
        <v>-1.1000000000000001</v>
      </c>
      <c r="AI214" s="1">
        <v>0</v>
      </c>
      <c r="AJ214" s="1">
        <v>0</v>
      </c>
      <c r="AK214" s="1">
        <v>0</v>
      </c>
      <c r="AL214" s="1">
        <v>1</v>
      </c>
      <c r="AM214" s="1">
        <v>86400</v>
      </c>
      <c r="AN214" s="1">
        <v>80523</v>
      </c>
      <c r="AO214" s="1">
        <v>5877</v>
      </c>
      <c r="AP214" s="1">
        <v>46848</v>
      </c>
      <c r="AQ214" s="1">
        <v>5.9693195119678606</v>
      </c>
    </row>
    <row r="215" spans="1:43" x14ac:dyDescent="0.45">
      <c r="A215" s="1">
        <v>214</v>
      </c>
      <c r="B215" s="1">
        <v>431</v>
      </c>
      <c r="C215" s="1">
        <v>91</v>
      </c>
      <c r="D215" s="1" t="s">
        <v>79</v>
      </c>
      <c r="E215" s="1" t="s">
        <v>80</v>
      </c>
      <c r="F215" s="1" t="s">
        <v>81</v>
      </c>
      <c r="G215" s="1" t="s">
        <v>54</v>
      </c>
      <c r="H215" s="1" t="s">
        <v>47</v>
      </c>
      <c r="I215" s="1">
        <v>764</v>
      </c>
      <c r="J215" s="1">
        <v>21102</v>
      </c>
      <c r="K215" s="1">
        <v>1</v>
      </c>
      <c r="L215" s="1">
        <v>90</v>
      </c>
      <c r="M215" s="1">
        <v>1706</v>
      </c>
      <c r="N215" s="1" t="s">
        <v>48</v>
      </c>
      <c r="O215" s="1">
        <v>184863</v>
      </c>
      <c r="P215" s="1">
        <v>93</v>
      </c>
      <c r="Q215" s="1" t="s">
        <v>111</v>
      </c>
      <c r="R215" s="1" t="s">
        <v>50</v>
      </c>
      <c r="S215" s="1">
        <v>0</v>
      </c>
      <c r="T215" s="1">
        <v>0</v>
      </c>
      <c r="U215" s="1">
        <v>325.68799999999999</v>
      </c>
      <c r="V215" s="1">
        <v>24.777999999999999</v>
      </c>
      <c r="W215" s="1">
        <v>0.53</v>
      </c>
      <c r="X215" s="1">
        <v>0.17100000000000001</v>
      </c>
      <c r="Y215" s="1">
        <v>24.95</v>
      </c>
      <c r="Z215" s="1">
        <v>0.12</v>
      </c>
      <c r="AA215" s="1">
        <v>1.7</v>
      </c>
      <c r="AB215" s="1">
        <v>1.7</v>
      </c>
      <c r="AC215" s="1">
        <v>1.7</v>
      </c>
      <c r="AD215" s="1">
        <v>0.17100000000000001</v>
      </c>
      <c r="AE215" s="1">
        <v>0.12</v>
      </c>
      <c r="AF215" s="1">
        <v>2.1000000000000001E-2</v>
      </c>
      <c r="AG215" s="1">
        <v>1.7</v>
      </c>
      <c r="AI215" s="1">
        <v>0</v>
      </c>
      <c r="AJ215" s="1">
        <v>0</v>
      </c>
      <c r="AK215" s="1">
        <v>0</v>
      </c>
      <c r="AL215" s="1">
        <v>1</v>
      </c>
      <c r="AM215" s="1">
        <v>86400</v>
      </c>
      <c r="AN215" s="1">
        <v>81395</v>
      </c>
      <c r="AO215" s="1">
        <v>5005</v>
      </c>
      <c r="AP215" s="1">
        <v>43574</v>
      </c>
      <c r="AQ215" s="1">
        <v>1.7066617168632481</v>
      </c>
    </row>
    <row r="216" spans="1:43" x14ac:dyDescent="0.45">
      <c r="A216" s="1">
        <v>215</v>
      </c>
      <c r="B216" s="1">
        <v>439</v>
      </c>
      <c r="C216" s="1">
        <v>94</v>
      </c>
      <c r="D216" s="1" t="s">
        <v>82</v>
      </c>
      <c r="E216" s="1" t="s">
        <v>83</v>
      </c>
      <c r="F216" s="1" t="s">
        <v>84</v>
      </c>
      <c r="G216" s="1" t="s">
        <v>46</v>
      </c>
      <c r="H216" s="1" t="s">
        <v>47</v>
      </c>
      <c r="I216" s="1">
        <v>490</v>
      </c>
      <c r="J216" s="1">
        <v>12595</v>
      </c>
      <c r="K216" s="1">
        <v>1</v>
      </c>
      <c r="L216" s="1">
        <v>93</v>
      </c>
      <c r="M216" s="1">
        <v>1715</v>
      </c>
      <c r="N216" s="1" t="s">
        <v>48</v>
      </c>
      <c r="O216" s="1">
        <v>184940</v>
      </c>
      <c r="P216" s="1">
        <v>93</v>
      </c>
      <c r="Q216" s="1" t="s">
        <v>111</v>
      </c>
      <c r="R216" s="1" t="s">
        <v>50</v>
      </c>
      <c r="S216" s="1">
        <v>0</v>
      </c>
      <c r="T216" s="1">
        <v>0</v>
      </c>
      <c r="U216" s="1">
        <v>261.22399999999999</v>
      </c>
      <c r="V216" s="1">
        <v>23.815999999999999</v>
      </c>
      <c r="W216" s="1">
        <v>0.59</v>
      </c>
      <c r="X216" s="1">
        <v>0.48099999999999998</v>
      </c>
      <c r="Y216" s="1">
        <v>24.297000000000001</v>
      </c>
      <c r="Z216" s="1">
        <v>0.45300000000000001</v>
      </c>
      <c r="AA216" s="1">
        <v>-1.9</v>
      </c>
      <c r="AB216" s="1">
        <v>-1.9</v>
      </c>
      <c r="AC216" s="1">
        <v>-1.9</v>
      </c>
      <c r="AD216" s="1">
        <v>0.48099999999999998</v>
      </c>
      <c r="AE216" s="1">
        <v>0.45300000000000001</v>
      </c>
      <c r="AF216" s="1">
        <v>0.218</v>
      </c>
      <c r="AG216" s="1">
        <v>-1.9</v>
      </c>
      <c r="AI216" s="1">
        <v>0</v>
      </c>
      <c r="AJ216" s="1">
        <v>0</v>
      </c>
      <c r="AK216" s="1">
        <v>0</v>
      </c>
      <c r="AL216" s="1">
        <v>1</v>
      </c>
      <c r="AM216" s="1">
        <v>86400</v>
      </c>
      <c r="AN216" s="1">
        <v>81706</v>
      </c>
      <c r="AO216" s="1">
        <v>4694</v>
      </c>
      <c r="AP216" s="1">
        <v>47268</v>
      </c>
      <c r="AQ216" s="1">
        <v>42.510154089918373</v>
      </c>
    </row>
    <row r="217" spans="1:43" x14ac:dyDescent="0.45">
      <c r="A217" s="1">
        <v>216</v>
      </c>
      <c r="B217" s="1">
        <v>439</v>
      </c>
      <c r="C217" s="1">
        <v>94</v>
      </c>
      <c r="D217" s="1" t="s">
        <v>82</v>
      </c>
      <c r="E217" s="1" t="s">
        <v>83</v>
      </c>
      <c r="F217" s="1" t="s">
        <v>84</v>
      </c>
      <c r="G217" s="1" t="s">
        <v>46</v>
      </c>
      <c r="H217" s="1" t="s">
        <v>47</v>
      </c>
      <c r="I217" s="1">
        <v>490</v>
      </c>
      <c r="J217" s="1">
        <v>12595</v>
      </c>
      <c r="K217" s="1">
        <v>1</v>
      </c>
      <c r="L217" s="1">
        <v>93</v>
      </c>
      <c r="M217" s="1">
        <v>1717</v>
      </c>
      <c r="N217" s="1" t="s">
        <v>48</v>
      </c>
      <c r="O217" s="1">
        <v>185010</v>
      </c>
      <c r="P217" s="1">
        <v>93</v>
      </c>
      <c r="Q217" s="1" t="s">
        <v>111</v>
      </c>
      <c r="R217" s="1" t="s">
        <v>50</v>
      </c>
      <c r="S217" s="1">
        <v>0</v>
      </c>
      <c r="T217" s="1">
        <v>0</v>
      </c>
      <c r="U217" s="1">
        <v>53.661000000000001</v>
      </c>
      <c r="V217" s="1">
        <v>23.934999999999999</v>
      </c>
      <c r="W217" s="1">
        <v>0.55000000000000004</v>
      </c>
      <c r="X217" s="1">
        <v>0.154</v>
      </c>
      <c r="Y217" s="1">
        <v>24.088999999999999</v>
      </c>
      <c r="Z217" s="1">
        <v>1.52</v>
      </c>
      <c r="AA217" s="1">
        <v>-2.9</v>
      </c>
      <c r="AB217" s="1">
        <v>-2.9</v>
      </c>
      <c r="AC217" s="1">
        <v>-2.9</v>
      </c>
      <c r="AD217" s="1">
        <v>0.154</v>
      </c>
      <c r="AE217" s="1">
        <v>1.516</v>
      </c>
      <c r="AF217" s="1">
        <v>0.23300000000000001</v>
      </c>
      <c r="AG217" s="1">
        <v>-2.9</v>
      </c>
      <c r="AI217" s="1">
        <v>0</v>
      </c>
      <c r="AJ217" s="1">
        <v>0</v>
      </c>
      <c r="AK217" s="1">
        <v>0</v>
      </c>
      <c r="AL217" s="1">
        <v>1</v>
      </c>
      <c r="AM217" s="1">
        <v>86400</v>
      </c>
      <c r="AN217" s="1">
        <v>80309</v>
      </c>
      <c r="AO217" s="1">
        <v>6091</v>
      </c>
      <c r="AP217" s="1">
        <v>46988</v>
      </c>
      <c r="AQ217" s="1">
        <v>12.012680811710871</v>
      </c>
    </row>
    <row r="218" spans="1:43" x14ac:dyDescent="0.45">
      <c r="A218" s="1">
        <v>217</v>
      </c>
      <c r="B218" s="1">
        <v>439</v>
      </c>
      <c r="C218" s="1">
        <v>94</v>
      </c>
      <c r="D218" s="1" t="s">
        <v>82</v>
      </c>
      <c r="E218" s="1" t="s">
        <v>83</v>
      </c>
      <c r="F218" s="1" t="s">
        <v>84</v>
      </c>
      <c r="G218" s="1" t="s">
        <v>46</v>
      </c>
      <c r="H218" s="1" t="s">
        <v>47</v>
      </c>
      <c r="I218" s="1">
        <v>490</v>
      </c>
      <c r="J218" s="1">
        <v>12595</v>
      </c>
      <c r="K218" s="1">
        <v>1</v>
      </c>
      <c r="L218" s="1">
        <v>93</v>
      </c>
      <c r="M218" s="1">
        <v>1718</v>
      </c>
      <c r="N218" s="1" t="s">
        <v>48</v>
      </c>
      <c r="O218" s="1">
        <v>185014</v>
      </c>
      <c r="P218" s="1">
        <v>93</v>
      </c>
      <c r="Q218" s="1" t="s">
        <v>111</v>
      </c>
      <c r="R218" s="1" t="s">
        <v>50</v>
      </c>
      <c r="S218" s="1">
        <v>0</v>
      </c>
      <c r="T218" s="1">
        <v>0</v>
      </c>
      <c r="U218" s="1">
        <v>475.46899999999999</v>
      </c>
      <c r="V218" s="1">
        <v>23.841000000000001</v>
      </c>
      <c r="W218" s="1">
        <v>0.55000000000000004</v>
      </c>
      <c r="X218" s="1">
        <v>0.22600000000000001</v>
      </c>
      <c r="Y218" s="1">
        <v>24.067</v>
      </c>
      <c r="Z218" s="1">
        <v>0.51600000000000001</v>
      </c>
      <c r="AA218" s="1">
        <v>-2.8</v>
      </c>
      <c r="AB218" s="1">
        <v>-2.8</v>
      </c>
      <c r="AC218" s="1">
        <v>-2.8</v>
      </c>
      <c r="AD218" s="1">
        <v>0.22600000000000001</v>
      </c>
      <c r="AE218" s="1">
        <v>0.51300000000000001</v>
      </c>
      <c r="AF218" s="1">
        <v>0.11600000000000001</v>
      </c>
      <c r="AG218" s="1">
        <v>-2.8</v>
      </c>
      <c r="AI218" s="1">
        <v>0</v>
      </c>
      <c r="AJ218" s="1">
        <v>0</v>
      </c>
      <c r="AK218" s="1">
        <v>0</v>
      </c>
      <c r="AL218" s="1">
        <v>1</v>
      </c>
      <c r="AM218" s="1">
        <v>86400</v>
      </c>
      <c r="AN218" s="1">
        <v>80401</v>
      </c>
      <c r="AO218" s="1">
        <v>5999</v>
      </c>
      <c r="AP218" s="1">
        <v>47042</v>
      </c>
      <c r="AQ218" s="1">
        <v>45.30645802650001</v>
      </c>
    </row>
    <row r="219" spans="1:43" x14ac:dyDescent="0.45">
      <c r="A219" s="1">
        <v>218</v>
      </c>
      <c r="B219" s="1">
        <v>439</v>
      </c>
      <c r="C219" s="1">
        <v>94</v>
      </c>
      <c r="D219" s="1" t="s">
        <v>82</v>
      </c>
      <c r="E219" s="1" t="s">
        <v>83</v>
      </c>
      <c r="F219" s="1" t="s">
        <v>84</v>
      </c>
      <c r="G219" s="1" t="s">
        <v>46</v>
      </c>
      <c r="H219" s="1" t="s">
        <v>47</v>
      </c>
      <c r="I219" s="1">
        <v>490</v>
      </c>
      <c r="J219" s="1">
        <v>12595</v>
      </c>
      <c r="K219" s="1">
        <v>1</v>
      </c>
      <c r="L219" s="1">
        <v>93</v>
      </c>
      <c r="M219" s="1">
        <v>1720</v>
      </c>
      <c r="N219" s="1" t="s">
        <v>48</v>
      </c>
      <c r="O219" s="1">
        <v>185061</v>
      </c>
      <c r="P219" s="1">
        <v>93</v>
      </c>
      <c r="Q219" s="1" t="s">
        <v>111</v>
      </c>
      <c r="R219" s="1" t="s">
        <v>50</v>
      </c>
      <c r="S219" s="1">
        <v>0</v>
      </c>
      <c r="T219" s="1">
        <v>0</v>
      </c>
      <c r="U219" s="1">
        <v>504.226</v>
      </c>
      <c r="V219" s="1">
        <v>23.829000000000001</v>
      </c>
      <c r="W219" s="1">
        <v>0.55000000000000004</v>
      </c>
      <c r="X219" s="1">
        <v>0.23699999999999999</v>
      </c>
      <c r="Y219" s="1">
        <v>24.065999999999999</v>
      </c>
      <c r="Z219" s="1">
        <v>0.47699999999999998</v>
      </c>
      <c r="AA219" s="1">
        <v>-3</v>
      </c>
      <c r="AB219" s="1">
        <v>-3</v>
      </c>
      <c r="AC219" s="1">
        <v>-3</v>
      </c>
      <c r="AD219" s="1">
        <v>0.23699999999999999</v>
      </c>
      <c r="AE219" s="1">
        <v>0.47599999999999998</v>
      </c>
      <c r="AF219" s="1">
        <v>0.113</v>
      </c>
      <c r="AG219" s="1">
        <v>-3</v>
      </c>
      <c r="AI219" s="1">
        <v>0</v>
      </c>
      <c r="AJ219" s="1">
        <v>0</v>
      </c>
      <c r="AK219" s="1">
        <v>0</v>
      </c>
      <c r="AL219" s="1">
        <v>1</v>
      </c>
      <c r="AM219" s="1">
        <v>86400</v>
      </c>
      <c r="AN219" s="1">
        <v>80679</v>
      </c>
      <c r="AO219" s="1">
        <v>5721</v>
      </c>
      <c r="AP219" s="1">
        <v>46933</v>
      </c>
      <c r="AQ219" s="1">
        <v>0.85267399366333962</v>
      </c>
    </row>
    <row r="220" spans="1:43" x14ac:dyDescent="0.45">
      <c r="A220" s="1">
        <v>219</v>
      </c>
      <c r="B220" s="1">
        <v>439</v>
      </c>
      <c r="C220" s="1">
        <v>94</v>
      </c>
      <c r="D220" s="1" t="s">
        <v>82</v>
      </c>
      <c r="E220" s="1" t="s">
        <v>83</v>
      </c>
      <c r="F220" s="1" t="s">
        <v>84</v>
      </c>
      <c r="G220" s="1" t="s">
        <v>46</v>
      </c>
      <c r="H220" s="1" t="s">
        <v>47</v>
      </c>
      <c r="I220" s="1">
        <v>490</v>
      </c>
      <c r="J220" s="1">
        <v>12595</v>
      </c>
      <c r="K220" s="1">
        <v>1</v>
      </c>
      <c r="L220" s="1">
        <v>93</v>
      </c>
      <c r="M220" s="1">
        <v>1721</v>
      </c>
      <c r="N220" s="1" t="s">
        <v>48</v>
      </c>
      <c r="O220" s="1">
        <v>185062</v>
      </c>
      <c r="P220" s="1">
        <v>93</v>
      </c>
      <c r="Q220" s="1" t="s">
        <v>111</v>
      </c>
      <c r="R220" s="1" t="s">
        <v>50</v>
      </c>
      <c r="S220" s="1">
        <v>0</v>
      </c>
      <c r="T220" s="1">
        <v>0</v>
      </c>
      <c r="U220" s="1">
        <v>817.89</v>
      </c>
      <c r="V220" s="1">
        <v>23.803000000000001</v>
      </c>
      <c r="W220" s="1">
        <v>0.55000000000000004</v>
      </c>
      <c r="X220" s="1">
        <v>0.26300000000000001</v>
      </c>
      <c r="Y220" s="1">
        <v>24.065999999999999</v>
      </c>
      <c r="Z220" s="1">
        <v>0.51500000000000001</v>
      </c>
      <c r="AA220" s="1">
        <v>-3</v>
      </c>
      <c r="AB220" s="1">
        <v>-3</v>
      </c>
      <c r="AC220" s="1">
        <v>-3</v>
      </c>
      <c r="AD220" s="1">
        <v>0.26300000000000001</v>
      </c>
      <c r="AE220" s="1">
        <v>0.51400000000000001</v>
      </c>
      <c r="AF220" s="1">
        <v>0.13500000000000001</v>
      </c>
      <c r="AG220" s="1">
        <v>-3</v>
      </c>
      <c r="AI220" s="1">
        <v>0</v>
      </c>
      <c r="AJ220" s="1">
        <v>0</v>
      </c>
      <c r="AK220" s="1">
        <v>0</v>
      </c>
      <c r="AL220" s="1">
        <v>1</v>
      </c>
      <c r="AM220" s="1">
        <v>86400</v>
      </c>
      <c r="AN220" s="1">
        <v>81470</v>
      </c>
      <c r="AO220" s="1">
        <v>4930</v>
      </c>
      <c r="AP220" s="1">
        <v>46942</v>
      </c>
      <c r="AQ220" s="1">
        <v>1.100552351128296</v>
      </c>
    </row>
    <row r="221" spans="1:43" x14ac:dyDescent="0.45">
      <c r="A221" s="1">
        <v>220</v>
      </c>
      <c r="B221" s="1">
        <v>439</v>
      </c>
      <c r="C221" s="1">
        <v>94</v>
      </c>
      <c r="D221" s="1" t="s">
        <v>82</v>
      </c>
      <c r="E221" s="1" t="s">
        <v>83</v>
      </c>
      <c r="F221" s="1" t="s">
        <v>84</v>
      </c>
      <c r="G221" s="1" t="s">
        <v>46</v>
      </c>
      <c r="H221" s="1" t="s">
        <v>47</v>
      </c>
      <c r="I221" s="1">
        <v>490</v>
      </c>
      <c r="J221" s="1">
        <v>12595</v>
      </c>
      <c r="K221" s="1">
        <v>1</v>
      </c>
      <c r="L221" s="1">
        <v>93</v>
      </c>
      <c r="M221" s="1">
        <v>1722</v>
      </c>
      <c r="N221" s="1" t="s">
        <v>48</v>
      </c>
      <c r="O221" s="1">
        <v>185063</v>
      </c>
      <c r="P221" s="1">
        <v>93</v>
      </c>
      <c r="Q221" s="1" t="s">
        <v>111</v>
      </c>
      <c r="R221" s="1" t="s">
        <v>50</v>
      </c>
      <c r="S221" s="1">
        <v>0</v>
      </c>
      <c r="T221" s="1">
        <v>0</v>
      </c>
      <c r="U221" s="1">
        <v>330.41199999999998</v>
      </c>
      <c r="V221" s="1">
        <v>23.858000000000001</v>
      </c>
      <c r="W221" s="1">
        <v>0.54</v>
      </c>
      <c r="X221" s="1">
        <v>0.21199999999999999</v>
      </c>
      <c r="Y221" s="1">
        <v>24.068999999999999</v>
      </c>
      <c r="Z221" s="1">
        <v>0.63400000000000001</v>
      </c>
      <c r="AA221" s="1">
        <v>-3</v>
      </c>
      <c r="AB221" s="1">
        <v>-3</v>
      </c>
      <c r="AC221" s="1">
        <v>-3</v>
      </c>
      <c r="AD221" s="1">
        <v>0.21199999999999999</v>
      </c>
      <c r="AE221" s="1">
        <v>0.63300000000000001</v>
      </c>
      <c r="AF221" s="1">
        <v>0.13400000000000001</v>
      </c>
      <c r="AG221" s="1">
        <v>-3</v>
      </c>
      <c r="AI221" s="1">
        <v>0</v>
      </c>
      <c r="AJ221" s="1">
        <v>0</v>
      </c>
      <c r="AK221" s="1">
        <v>0</v>
      </c>
      <c r="AL221" s="1">
        <v>1</v>
      </c>
      <c r="AM221" s="1">
        <v>86400</v>
      </c>
      <c r="AN221" s="1">
        <v>79994</v>
      </c>
      <c r="AO221" s="1">
        <v>6406</v>
      </c>
      <c r="AP221" s="1">
        <v>46899</v>
      </c>
      <c r="AQ221" s="1">
        <v>25.41992129785066</v>
      </c>
    </row>
    <row r="222" spans="1:43" x14ac:dyDescent="0.45">
      <c r="A222" s="1">
        <v>221</v>
      </c>
      <c r="B222" s="1">
        <v>439</v>
      </c>
      <c r="C222" s="1">
        <v>94</v>
      </c>
      <c r="D222" s="1" t="s">
        <v>82</v>
      </c>
      <c r="E222" s="1" t="s">
        <v>83</v>
      </c>
      <c r="F222" s="1" t="s">
        <v>84</v>
      </c>
      <c r="G222" s="1" t="s">
        <v>46</v>
      </c>
      <c r="H222" s="1" t="s">
        <v>47</v>
      </c>
      <c r="I222" s="1">
        <v>490</v>
      </c>
      <c r="J222" s="1">
        <v>12595</v>
      </c>
      <c r="K222" s="1">
        <v>1</v>
      </c>
      <c r="L222" s="1">
        <v>93</v>
      </c>
      <c r="M222" s="1">
        <v>1723</v>
      </c>
      <c r="N222" s="1" t="s">
        <v>48</v>
      </c>
      <c r="O222" s="1">
        <v>185064</v>
      </c>
      <c r="P222" s="1">
        <v>93</v>
      </c>
      <c r="Q222" s="1" t="s">
        <v>111</v>
      </c>
      <c r="R222" s="1" t="s">
        <v>50</v>
      </c>
      <c r="S222" s="1">
        <v>0</v>
      </c>
      <c r="T222" s="1">
        <v>0</v>
      </c>
      <c r="U222" s="1">
        <v>177.54</v>
      </c>
      <c r="V222" s="1">
        <v>23.756</v>
      </c>
      <c r="W222" s="1">
        <v>0.56999999999999995</v>
      </c>
      <c r="X222" s="1">
        <v>0.3</v>
      </c>
      <c r="Y222" s="1">
        <v>24.056000000000001</v>
      </c>
      <c r="Z222" s="1">
        <v>0.90900000000000003</v>
      </c>
      <c r="AA222" s="1">
        <v>-3</v>
      </c>
      <c r="AB222" s="1">
        <v>-3</v>
      </c>
      <c r="AC222" s="1">
        <v>-3</v>
      </c>
      <c r="AD222" s="1">
        <v>0.3</v>
      </c>
      <c r="AE222" s="1">
        <v>0.90800000000000003</v>
      </c>
      <c r="AF222" s="1">
        <v>0.27200000000000002</v>
      </c>
      <c r="AG222" s="1">
        <v>-3</v>
      </c>
      <c r="AI222" s="1">
        <v>0</v>
      </c>
      <c r="AJ222" s="1">
        <v>0</v>
      </c>
      <c r="AK222" s="1">
        <v>0</v>
      </c>
      <c r="AL222" s="1">
        <v>1</v>
      </c>
      <c r="AM222" s="1">
        <v>86400</v>
      </c>
      <c r="AN222" s="1">
        <v>81546</v>
      </c>
      <c r="AO222" s="1">
        <v>4854</v>
      </c>
      <c r="AP222" s="1">
        <v>46893</v>
      </c>
      <c r="AQ222" s="1">
        <v>1.259733542848309</v>
      </c>
    </row>
    <row r="223" spans="1:43" x14ac:dyDescent="0.45">
      <c r="A223" s="1">
        <v>222</v>
      </c>
      <c r="B223" s="1">
        <v>439</v>
      </c>
      <c r="C223" s="1">
        <v>94</v>
      </c>
      <c r="D223" s="1" t="s">
        <v>82</v>
      </c>
      <c r="E223" s="1" t="s">
        <v>83</v>
      </c>
      <c r="F223" s="1" t="s">
        <v>84</v>
      </c>
      <c r="G223" s="1" t="s">
        <v>46</v>
      </c>
      <c r="H223" s="1" t="s">
        <v>47</v>
      </c>
      <c r="I223" s="1">
        <v>490</v>
      </c>
      <c r="J223" s="1">
        <v>12595</v>
      </c>
      <c r="K223" s="1">
        <v>1</v>
      </c>
      <c r="L223" s="1">
        <v>93</v>
      </c>
      <c r="M223" s="1">
        <v>1724</v>
      </c>
      <c r="N223" s="1" t="s">
        <v>48</v>
      </c>
      <c r="O223" s="1">
        <v>185065</v>
      </c>
      <c r="P223" s="1">
        <v>93</v>
      </c>
      <c r="Q223" s="1" t="s">
        <v>111</v>
      </c>
      <c r="R223" s="1" t="s">
        <v>50</v>
      </c>
      <c r="S223" s="1">
        <v>0</v>
      </c>
      <c r="T223" s="1">
        <v>0</v>
      </c>
      <c r="U223" s="1">
        <v>55.773000000000003</v>
      </c>
      <c r="V223" s="1">
        <v>23.952999999999999</v>
      </c>
      <c r="W223" s="1">
        <v>0.54</v>
      </c>
      <c r="X223" s="1">
        <v>0.122</v>
      </c>
      <c r="Y223" s="1">
        <v>24.074999999999999</v>
      </c>
      <c r="Z223" s="1">
        <v>2.0510000000000002</v>
      </c>
      <c r="AA223" s="1">
        <v>-3</v>
      </c>
      <c r="AB223" s="1">
        <v>-3</v>
      </c>
      <c r="AC223" s="1">
        <v>-3</v>
      </c>
      <c r="AD223" s="1">
        <v>0.122</v>
      </c>
      <c r="AE223" s="1">
        <v>2.0489999999999999</v>
      </c>
      <c r="AF223" s="1">
        <v>0.25</v>
      </c>
      <c r="AG223" s="1">
        <v>-3</v>
      </c>
      <c r="AI223" s="1">
        <v>0</v>
      </c>
      <c r="AJ223" s="1">
        <v>0</v>
      </c>
      <c r="AK223" s="1">
        <v>0</v>
      </c>
      <c r="AL223" s="1">
        <v>1</v>
      </c>
      <c r="AM223" s="1">
        <v>65447</v>
      </c>
      <c r="AN223" s="1">
        <v>36600</v>
      </c>
      <c r="AO223" s="1">
        <v>28846</v>
      </c>
      <c r="AP223" s="1">
        <v>46877</v>
      </c>
      <c r="AQ223" s="1">
        <v>0.66646226650313478</v>
      </c>
    </row>
    <row r="224" spans="1:43" x14ac:dyDescent="0.45">
      <c r="A224" s="1">
        <v>223</v>
      </c>
      <c r="B224" s="1">
        <v>439</v>
      </c>
      <c r="C224" s="1">
        <v>94</v>
      </c>
      <c r="D224" s="1" t="s">
        <v>82</v>
      </c>
      <c r="E224" s="1" t="s">
        <v>83</v>
      </c>
      <c r="F224" s="1" t="s">
        <v>84</v>
      </c>
      <c r="G224" s="1" t="s">
        <v>46</v>
      </c>
      <c r="H224" s="1" t="s">
        <v>47</v>
      </c>
      <c r="I224" s="1">
        <v>490</v>
      </c>
      <c r="J224" s="1">
        <v>12595</v>
      </c>
      <c r="K224" s="1">
        <v>1</v>
      </c>
      <c r="L224" s="1">
        <v>93</v>
      </c>
      <c r="M224" s="1">
        <v>1726</v>
      </c>
      <c r="N224" s="1" t="s">
        <v>48</v>
      </c>
      <c r="O224" s="1">
        <v>185078</v>
      </c>
      <c r="P224" s="1">
        <v>93</v>
      </c>
      <c r="Q224" s="1" t="s">
        <v>111</v>
      </c>
      <c r="R224" s="1" t="s">
        <v>50</v>
      </c>
      <c r="S224" s="1">
        <v>0</v>
      </c>
      <c r="T224" s="1">
        <v>0</v>
      </c>
      <c r="U224" s="1">
        <v>88.46</v>
      </c>
      <c r="V224" s="1">
        <v>24.093</v>
      </c>
      <c r="W224" s="1">
        <v>0.55000000000000004</v>
      </c>
      <c r="X224" s="1">
        <v>0.20499999999999999</v>
      </c>
      <c r="Y224" s="1">
        <v>24.297000000000001</v>
      </c>
      <c r="Z224" s="1">
        <v>1.0489999999999999</v>
      </c>
      <c r="AA224" s="1">
        <v>3.1</v>
      </c>
      <c r="AB224" s="1">
        <v>-3.1</v>
      </c>
      <c r="AC224" s="1">
        <v>-3.1</v>
      </c>
      <c r="AD224" s="1">
        <v>0.20499999999999999</v>
      </c>
      <c r="AE224" s="1">
        <v>1.0409999999999999</v>
      </c>
      <c r="AF224" s="1">
        <v>0.21299999999999999</v>
      </c>
      <c r="AG224" s="1">
        <v>3.1</v>
      </c>
      <c r="AI224" s="1">
        <v>0</v>
      </c>
      <c r="AJ224" s="1">
        <v>0</v>
      </c>
      <c r="AK224" s="1">
        <v>0</v>
      </c>
      <c r="AL224" s="1">
        <v>1</v>
      </c>
      <c r="AM224" s="1">
        <v>83122</v>
      </c>
      <c r="AN224" s="1">
        <v>68911</v>
      </c>
      <c r="AO224" s="1">
        <v>12538</v>
      </c>
      <c r="AP224" s="1">
        <v>46998</v>
      </c>
      <c r="AQ224" s="1">
        <v>13.972522456240981</v>
      </c>
    </row>
    <row r="225" spans="1:43" x14ac:dyDescent="0.45">
      <c r="A225" s="1">
        <v>224</v>
      </c>
      <c r="B225" s="1">
        <v>439</v>
      </c>
      <c r="C225" s="1">
        <v>94</v>
      </c>
      <c r="D225" s="1" t="s">
        <v>82</v>
      </c>
      <c r="E225" s="1" t="s">
        <v>83</v>
      </c>
      <c r="F225" s="1" t="s">
        <v>84</v>
      </c>
      <c r="G225" s="1" t="s">
        <v>46</v>
      </c>
      <c r="H225" s="1" t="s">
        <v>47</v>
      </c>
      <c r="I225" s="1">
        <v>490</v>
      </c>
      <c r="J225" s="1">
        <v>12595</v>
      </c>
      <c r="K225" s="1">
        <v>1</v>
      </c>
      <c r="L225" s="1">
        <v>93</v>
      </c>
      <c r="M225" s="1">
        <v>1727</v>
      </c>
      <c r="N225" s="1" t="s">
        <v>48</v>
      </c>
      <c r="O225" s="1">
        <v>185079</v>
      </c>
      <c r="P225" s="1">
        <v>93</v>
      </c>
      <c r="Q225" s="1" t="s">
        <v>111</v>
      </c>
      <c r="R225" s="1" t="s">
        <v>50</v>
      </c>
      <c r="S225" s="1">
        <v>0</v>
      </c>
      <c r="T225" s="1">
        <v>0</v>
      </c>
      <c r="U225" s="1">
        <v>54.067</v>
      </c>
      <c r="V225" s="1">
        <v>24.100999999999999</v>
      </c>
      <c r="W225" s="1">
        <v>0.53</v>
      </c>
      <c r="X225" s="1">
        <v>0.104</v>
      </c>
      <c r="Y225" s="1">
        <v>24.204000000000001</v>
      </c>
      <c r="Z225" s="1">
        <v>1.9510000000000001</v>
      </c>
      <c r="AA225" s="1">
        <v>-2.9</v>
      </c>
      <c r="AB225" s="1">
        <v>-2.9</v>
      </c>
      <c r="AC225" s="1">
        <v>-2.9</v>
      </c>
      <c r="AD225" s="1">
        <v>0.104</v>
      </c>
      <c r="AE225" s="1">
        <v>1.95</v>
      </c>
      <c r="AF225" s="1">
        <v>0.20200000000000001</v>
      </c>
      <c r="AG225" s="1">
        <v>-2.9</v>
      </c>
      <c r="AI225" s="1">
        <v>0</v>
      </c>
      <c r="AJ225" s="1">
        <v>0</v>
      </c>
      <c r="AK225" s="1">
        <v>0</v>
      </c>
      <c r="AL225" s="1">
        <v>1</v>
      </c>
      <c r="AM225" s="1">
        <v>57797</v>
      </c>
      <c r="AN225" s="1">
        <v>21220</v>
      </c>
      <c r="AO225" s="1">
        <v>36577</v>
      </c>
      <c r="AP225" s="1">
        <v>47246</v>
      </c>
      <c r="AQ225" s="1">
        <v>0.59664947625070441</v>
      </c>
    </row>
    <row r="226" spans="1:43" x14ac:dyDescent="0.45">
      <c r="A226" s="1">
        <v>225</v>
      </c>
      <c r="B226" s="1">
        <v>439</v>
      </c>
      <c r="C226" s="1">
        <v>94</v>
      </c>
      <c r="D226" s="1" t="s">
        <v>82</v>
      </c>
      <c r="E226" s="1" t="s">
        <v>83</v>
      </c>
      <c r="F226" s="1" t="s">
        <v>84</v>
      </c>
      <c r="G226" s="1" t="s">
        <v>46</v>
      </c>
      <c r="H226" s="1" t="s">
        <v>47</v>
      </c>
      <c r="I226" s="1">
        <v>490</v>
      </c>
      <c r="J226" s="1">
        <v>12595</v>
      </c>
      <c r="K226" s="1">
        <v>1</v>
      </c>
      <c r="L226" s="1">
        <v>93</v>
      </c>
      <c r="M226" s="1">
        <v>1728</v>
      </c>
      <c r="N226" s="1" t="s">
        <v>48</v>
      </c>
      <c r="O226" s="1">
        <v>185080</v>
      </c>
      <c r="P226" s="1">
        <v>93</v>
      </c>
      <c r="Q226" s="1" t="s">
        <v>111</v>
      </c>
      <c r="R226" s="1" t="s">
        <v>50</v>
      </c>
      <c r="S226" s="1">
        <v>0</v>
      </c>
      <c r="T226" s="1">
        <v>0</v>
      </c>
      <c r="U226" s="1">
        <v>129.07900000000001</v>
      </c>
      <c r="V226" s="1">
        <v>24.146999999999998</v>
      </c>
      <c r="W226" s="1">
        <v>0.53</v>
      </c>
      <c r="X226" s="1">
        <v>0.13800000000000001</v>
      </c>
      <c r="Y226" s="1">
        <v>24.285</v>
      </c>
      <c r="Z226" s="1">
        <v>0.85</v>
      </c>
      <c r="AA226" s="1">
        <v>-3.1</v>
      </c>
      <c r="AB226" s="1">
        <v>-3.1</v>
      </c>
      <c r="AC226" s="1">
        <v>-3.1</v>
      </c>
      <c r="AD226" s="1">
        <v>0.13800000000000001</v>
      </c>
      <c r="AE226" s="1">
        <v>0.84799999999999998</v>
      </c>
      <c r="AF226" s="1">
        <v>0.11700000000000001</v>
      </c>
      <c r="AG226" s="1">
        <v>-3.1</v>
      </c>
      <c r="AI226" s="1">
        <v>0</v>
      </c>
      <c r="AJ226" s="1">
        <v>0</v>
      </c>
      <c r="AK226" s="1">
        <v>0</v>
      </c>
      <c r="AL226" s="1">
        <v>1</v>
      </c>
      <c r="AM226" s="1">
        <v>57615</v>
      </c>
      <c r="AN226" s="1">
        <v>17944</v>
      </c>
      <c r="AO226" s="1">
        <v>39671</v>
      </c>
      <c r="AP226" s="1">
        <v>47046</v>
      </c>
      <c r="AQ226" s="1">
        <v>2.2360358767229358</v>
      </c>
    </row>
    <row r="227" spans="1:43" x14ac:dyDescent="0.45">
      <c r="A227" s="1">
        <v>226</v>
      </c>
      <c r="B227" s="1">
        <v>439</v>
      </c>
      <c r="C227" s="1">
        <v>94</v>
      </c>
      <c r="D227" s="1" t="s">
        <v>82</v>
      </c>
      <c r="E227" s="1" t="s">
        <v>83</v>
      </c>
      <c r="F227" s="1" t="s">
        <v>84</v>
      </c>
      <c r="G227" s="1" t="s">
        <v>46</v>
      </c>
      <c r="H227" s="1" t="s">
        <v>47</v>
      </c>
      <c r="I227" s="1">
        <v>490</v>
      </c>
      <c r="J227" s="1">
        <v>12595</v>
      </c>
      <c r="K227" s="1">
        <v>1</v>
      </c>
      <c r="L227" s="1">
        <v>93</v>
      </c>
      <c r="M227" s="1">
        <v>1730</v>
      </c>
      <c r="N227" s="1" t="s">
        <v>48</v>
      </c>
      <c r="O227" s="1">
        <v>185083</v>
      </c>
      <c r="P227" s="1">
        <v>93</v>
      </c>
      <c r="Q227" s="1" t="s">
        <v>111</v>
      </c>
      <c r="R227" s="1" t="s">
        <v>50</v>
      </c>
      <c r="S227" s="1">
        <v>0</v>
      </c>
      <c r="T227" s="1">
        <v>0</v>
      </c>
      <c r="U227" s="1">
        <v>169.43199999999999</v>
      </c>
      <c r="V227" s="1">
        <v>24.184999999999999</v>
      </c>
      <c r="W227" s="1">
        <v>0.52</v>
      </c>
      <c r="X227" s="1">
        <v>0.114</v>
      </c>
      <c r="Y227" s="1">
        <v>24.298999999999999</v>
      </c>
      <c r="Z227" s="1">
        <v>0.28699999999999998</v>
      </c>
      <c r="AA227" s="1">
        <v>-1.2</v>
      </c>
      <c r="AB227" s="1">
        <v>-1.5</v>
      </c>
      <c r="AC227" s="1">
        <v>-1.5</v>
      </c>
      <c r="AD227" s="1">
        <v>0.114</v>
      </c>
      <c r="AE227" s="1">
        <v>0.25</v>
      </c>
      <c r="AF227" s="1">
        <v>2.8000000000000001E-2</v>
      </c>
      <c r="AG227" s="1">
        <v>-1.2</v>
      </c>
      <c r="AI227" s="1">
        <v>0</v>
      </c>
      <c r="AJ227" s="1">
        <v>0</v>
      </c>
      <c r="AK227" s="1">
        <v>0</v>
      </c>
      <c r="AL227" s="1">
        <v>1</v>
      </c>
      <c r="AM227" s="1">
        <v>50960</v>
      </c>
      <c r="AN227" s="1">
        <v>7688</v>
      </c>
      <c r="AO227" s="1">
        <v>43272</v>
      </c>
      <c r="AP227" s="1">
        <v>47136</v>
      </c>
      <c r="AQ227" s="1">
        <v>1.5244243283726311</v>
      </c>
    </row>
    <row r="228" spans="1:43" x14ac:dyDescent="0.45">
      <c r="A228" s="1">
        <v>227</v>
      </c>
      <c r="B228" s="1">
        <v>439</v>
      </c>
      <c r="C228" s="1">
        <v>94</v>
      </c>
      <c r="D228" s="1" t="s">
        <v>82</v>
      </c>
      <c r="E228" s="1" t="s">
        <v>83</v>
      </c>
      <c r="F228" s="1" t="s">
        <v>84</v>
      </c>
      <c r="G228" s="1" t="s">
        <v>46</v>
      </c>
      <c r="H228" s="1" t="s">
        <v>47</v>
      </c>
      <c r="I228" s="1">
        <v>490</v>
      </c>
      <c r="J228" s="1">
        <v>12595</v>
      </c>
      <c r="K228" s="1">
        <v>1</v>
      </c>
      <c r="L228" s="1">
        <v>93</v>
      </c>
      <c r="M228" s="1">
        <v>1731</v>
      </c>
      <c r="N228" s="1" t="s">
        <v>48</v>
      </c>
      <c r="O228" s="1">
        <v>185085</v>
      </c>
      <c r="P228" s="1">
        <v>93</v>
      </c>
      <c r="Q228" s="1" t="s">
        <v>111</v>
      </c>
      <c r="R228" s="1" t="s">
        <v>50</v>
      </c>
      <c r="S228" s="1">
        <v>0</v>
      </c>
      <c r="T228" s="1">
        <v>0</v>
      </c>
      <c r="U228" s="1">
        <v>144.268</v>
      </c>
      <c r="V228" s="1">
        <v>24.087</v>
      </c>
      <c r="W228" s="1">
        <v>0.54</v>
      </c>
      <c r="X228" s="1">
        <v>0.21099999999999999</v>
      </c>
      <c r="Y228" s="1">
        <v>24.297999999999998</v>
      </c>
      <c r="Z228" s="1">
        <v>0.22800000000000001</v>
      </c>
      <c r="AA228" s="1">
        <v>-0.9</v>
      </c>
      <c r="AB228" s="1">
        <v>-1</v>
      </c>
      <c r="AC228" s="1">
        <v>-1</v>
      </c>
      <c r="AD228" s="1">
        <v>0.21099999999999999</v>
      </c>
      <c r="AE228" s="1">
        <v>0.184</v>
      </c>
      <c r="AF228" s="1">
        <v>3.9E-2</v>
      </c>
      <c r="AG228" s="1">
        <v>-0.9</v>
      </c>
      <c r="AI228" s="1">
        <v>0</v>
      </c>
      <c r="AJ228" s="1">
        <v>0</v>
      </c>
      <c r="AK228" s="1">
        <v>0</v>
      </c>
      <c r="AL228" s="1">
        <v>1</v>
      </c>
      <c r="AM228" s="1">
        <v>86400</v>
      </c>
      <c r="AN228" s="1">
        <v>79158</v>
      </c>
      <c r="AO228" s="1">
        <v>7242</v>
      </c>
      <c r="AP228" s="1">
        <v>46981</v>
      </c>
      <c r="AQ228" s="1">
        <v>20.343053902491771</v>
      </c>
    </row>
    <row r="229" spans="1:43" x14ac:dyDescent="0.45">
      <c r="A229" s="1">
        <v>228</v>
      </c>
      <c r="B229" s="1">
        <v>439</v>
      </c>
      <c r="C229" s="1">
        <v>94</v>
      </c>
      <c r="D229" s="1" t="s">
        <v>82</v>
      </c>
      <c r="E229" s="1" t="s">
        <v>83</v>
      </c>
      <c r="F229" s="1" t="s">
        <v>84</v>
      </c>
      <c r="G229" s="1" t="s">
        <v>46</v>
      </c>
      <c r="H229" s="1" t="s">
        <v>47</v>
      </c>
      <c r="I229" s="1">
        <v>490</v>
      </c>
      <c r="J229" s="1">
        <v>12595</v>
      </c>
      <c r="K229" s="1">
        <v>1</v>
      </c>
      <c r="L229" s="1">
        <v>93</v>
      </c>
      <c r="M229" s="1">
        <v>1732</v>
      </c>
      <c r="N229" s="1" t="s">
        <v>48</v>
      </c>
      <c r="O229" s="1">
        <v>185086</v>
      </c>
      <c r="P229" s="1">
        <v>93</v>
      </c>
      <c r="Q229" s="1" t="s">
        <v>111</v>
      </c>
      <c r="R229" s="1" t="s">
        <v>50</v>
      </c>
      <c r="S229" s="1">
        <v>0</v>
      </c>
      <c r="T229" s="1">
        <v>0</v>
      </c>
      <c r="U229" s="1">
        <v>153.83099999999999</v>
      </c>
      <c r="V229" s="1">
        <v>24.013000000000002</v>
      </c>
      <c r="W229" s="1">
        <v>0.55000000000000004</v>
      </c>
      <c r="X229" s="1">
        <v>0.28199999999999997</v>
      </c>
      <c r="Y229" s="1">
        <v>24.295999999999999</v>
      </c>
      <c r="Z229" s="1">
        <v>0.17899999999999999</v>
      </c>
      <c r="AA229" s="1">
        <v>-1.4</v>
      </c>
      <c r="AB229" s="1">
        <v>-1.4</v>
      </c>
      <c r="AC229" s="1">
        <v>-1.4</v>
      </c>
      <c r="AD229" s="1">
        <v>0.28199999999999997</v>
      </c>
      <c r="AE229" s="1">
        <v>0.17899999999999999</v>
      </c>
      <c r="AF229" s="1">
        <v>0.05</v>
      </c>
      <c r="AG229" s="1">
        <v>-1.4</v>
      </c>
      <c r="AI229" s="1">
        <v>0</v>
      </c>
      <c r="AJ229" s="1">
        <v>0</v>
      </c>
      <c r="AK229" s="1">
        <v>0</v>
      </c>
      <c r="AL229" s="1">
        <v>1</v>
      </c>
      <c r="AM229" s="1">
        <v>86400</v>
      </c>
      <c r="AN229" s="1">
        <v>80191</v>
      </c>
      <c r="AO229" s="1">
        <v>6209</v>
      </c>
      <c r="AP229" s="1">
        <v>47062</v>
      </c>
      <c r="AQ229" s="1">
        <v>1.6394359583819851</v>
      </c>
    </row>
    <row r="230" spans="1:43" x14ac:dyDescent="0.45">
      <c r="A230" s="1">
        <v>229</v>
      </c>
      <c r="B230" s="1">
        <v>446</v>
      </c>
      <c r="C230" s="1">
        <v>97</v>
      </c>
      <c r="D230" s="1" t="s">
        <v>85</v>
      </c>
      <c r="E230" s="1" t="s">
        <v>86</v>
      </c>
      <c r="F230" s="1" t="s">
        <v>87</v>
      </c>
      <c r="G230" s="1" t="s">
        <v>46</v>
      </c>
      <c r="H230" s="1" t="s">
        <v>47</v>
      </c>
      <c r="I230" s="1">
        <v>1089</v>
      </c>
      <c r="J230" s="1">
        <v>26566</v>
      </c>
      <c r="K230" s="1">
        <v>1</v>
      </c>
      <c r="L230" s="1">
        <v>96</v>
      </c>
      <c r="M230" s="1">
        <v>1706</v>
      </c>
      <c r="N230" s="1" t="s">
        <v>48</v>
      </c>
      <c r="O230" s="1">
        <v>184863</v>
      </c>
      <c r="P230" s="1">
        <v>93</v>
      </c>
      <c r="Q230" s="1" t="s">
        <v>111</v>
      </c>
      <c r="R230" s="1" t="s">
        <v>50</v>
      </c>
      <c r="S230" s="1">
        <v>0</v>
      </c>
      <c r="T230" s="1">
        <v>0</v>
      </c>
      <c r="U230" s="1">
        <v>325.68799999999999</v>
      </c>
      <c r="V230" s="1">
        <v>24.777999999999999</v>
      </c>
      <c r="W230" s="1">
        <v>0.53</v>
      </c>
      <c r="X230" s="1">
        <v>0.17100000000000001</v>
      </c>
      <c r="Y230" s="1">
        <v>24.95</v>
      </c>
      <c r="Z230" s="1">
        <v>0.12</v>
      </c>
      <c r="AA230" s="1">
        <v>1.7</v>
      </c>
      <c r="AB230" s="1">
        <v>1.7</v>
      </c>
      <c r="AC230" s="1">
        <v>1.7</v>
      </c>
      <c r="AD230" s="1">
        <v>0.17100000000000001</v>
      </c>
      <c r="AE230" s="1">
        <v>0.12</v>
      </c>
      <c r="AF230" s="1">
        <v>2.1000000000000001E-2</v>
      </c>
      <c r="AG230" s="1">
        <v>1.7</v>
      </c>
      <c r="AI230" s="1">
        <v>0</v>
      </c>
      <c r="AJ230" s="1">
        <v>0</v>
      </c>
      <c r="AK230" s="1">
        <v>0</v>
      </c>
      <c r="AL230" s="1">
        <v>1</v>
      </c>
      <c r="AM230" s="1">
        <v>86400</v>
      </c>
      <c r="AN230" s="1">
        <v>81395</v>
      </c>
      <c r="AO230" s="1">
        <v>5005</v>
      </c>
      <c r="AP230" s="1">
        <v>43574</v>
      </c>
      <c r="AQ230" s="1">
        <v>15.74861294678051</v>
      </c>
    </row>
    <row r="231" spans="1:43" x14ac:dyDescent="0.45">
      <c r="A231" s="1">
        <v>230</v>
      </c>
      <c r="B231" s="1">
        <v>446</v>
      </c>
      <c r="C231" s="1">
        <v>97</v>
      </c>
      <c r="D231" s="1" t="s">
        <v>85</v>
      </c>
      <c r="E231" s="1" t="s">
        <v>86</v>
      </c>
      <c r="F231" s="1" t="s">
        <v>87</v>
      </c>
      <c r="G231" s="1" t="s">
        <v>46</v>
      </c>
      <c r="H231" s="1" t="s">
        <v>47</v>
      </c>
      <c r="I231" s="1">
        <v>1089</v>
      </c>
      <c r="J231" s="1">
        <v>26566</v>
      </c>
      <c r="K231" s="1">
        <v>1</v>
      </c>
      <c r="L231" s="1">
        <v>96</v>
      </c>
      <c r="M231" s="1">
        <v>1707</v>
      </c>
      <c r="N231" s="1" t="s">
        <v>48</v>
      </c>
      <c r="O231" s="1">
        <v>184865</v>
      </c>
      <c r="P231" s="1">
        <v>93</v>
      </c>
      <c r="Q231" s="1" t="s">
        <v>111</v>
      </c>
      <c r="R231" s="1" t="s">
        <v>50</v>
      </c>
      <c r="S231" s="1">
        <v>0</v>
      </c>
      <c r="T231" s="1">
        <v>0</v>
      </c>
      <c r="U231" s="1">
        <v>478.33499999999998</v>
      </c>
      <c r="V231" s="1">
        <v>24.844000000000001</v>
      </c>
      <c r="W231" s="1">
        <v>0.52</v>
      </c>
      <c r="X231" s="1">
        <v>0.107</v>
      </c>
      <c r="Y231" s="1">
        <v>24.951000000000001</v>
      </c>
      <c r="Z231" s="1">
        <v>9.4E-2</v>
      </c>
      <c r="AA231" s="1">
        <v>2.2000000000000002</v>
      </c>
      <c r="AB231" s="1">
        <v>2.2000000000000002</v>
      </c>
      <c r="AC231" s="1">
        <v>2.2000000000000002</v>
      </c>
      <c r="AD231" s="1">
        <v>0.107</v>
      </c>
      <c r="AE231" s="1">
        <v>9.4E-2</v>
      </c>
      <c r="AF231" s="1">
        <v>0.01</v>
      </c>
      <c r="AG231" s="1">
        <v>2.2000000000000002</v>
      </c>
      <c r="AI231" s="1">
        <v>0</v>
      </c>
      <c r="AJ231" s="1">
        <v>0</v>
      </c>
      <c r="AK231" s="1">
        <v>0</v>
      </c>
      <c r="AL231" s="1">
        <v>1</v>
      </c>
      <c r="AM231" s="1">
        <v>86400</v>
      </c>
      <c r="AN231" s="1">
        <v>72773</v>
      </c>
      <c r="AO231" s="1">
        <v>13627</v>
      </c>
      <c r="AP231" s="1">
        <v>46897</v>
      </c>
      <c r="AQ231" s="1">
        <v>17.355190718828648</v>
      </c>
    </row>
    <row r="232" spans="1:43" x14ac:dyDescent="0.45">
      <c r="A232" s="1">
        <v>231</v>
      </c>
      <c r="B232" s="1">
        <v>446</v>
      </c>
      <c r="C232" s="1">
        <v>97</v>
      </c>
      <c r="D232" s="1" t="s">
        <v>85</v>
      </c>
      <c r="E232" s="1" t="s">
        <v>86</v>
      </c>
      <c r="F232" s="1" t="s">
        <v>87</v>
      </c>
      <c r="G232" s="1" t="s">
        <v>46</v>
      </c>
      <c r="H232" s="1" t="s">
        <v>47</v>
      </c>
      <c r="I232" s="1">
        <v>1089</v>
      </c>
      <c r="J232" s="1">
        <v>26566</v>
      </c>
      <c r="K232" s="1">
        <v>1</v>
      </c>
      <c r="L232" s="1">
        <v>96</v>
      </c>
      <c r="M232" s="1">
        <v>1708</v>
      </c>
      <c r="N232" s="1" t="s">
        <v>48</v>
      </c>
      <c r="O232" s="1">
        <v>184866</v>
      </c>
      <c r="P232" s="1">
        <v>93</v>
      </c>
      <c r="Q232" s="1" t="s">
        <v>111</v>
      </c>
      <c r="R232" s="1" t="s">
        <v>50</v>
      </c>
      <c r="S232" s="1">
        <v>0</v>
      </c>
      <c r="T232" s="1">
        <v>0</v>
      </c>
      <c r="U232" s="1">
        <v>867.36900000000003</v>
      </c>
      <c r="V232" s="1">
        <v>24.741</v>
      </c>
      <c r="W232" s="1">
        <v>0.53</v>
      </c>
      <c r="X232" s="1">
        <v>0.20899999999999999</v>
      </c>
      <c r="Y232" s="1">
        <v>24.95</v>
      </c>
      <c r="Z232" s="1">
        <v>0.152</v>
      </c>
      <c r="AA232" s="1">
        <v>3</v>
      </c>
      <c r="AB232" s="1">
        <v>3</v>
      </c>
      <c r="AC232" s="1">
        <v>3</v>
      </c>
      <c r="AD232" s="1">
        <v>0.20899999999999999</v>
      </c>
      <c r="AE232" s="1">
        <v>0.152</v>
      </c>
      <c r="AF232" s="1">
        <v>3.2000000000000001E-2</v>
      </c>
      <c r="AG232" s="1">
        <v>3</v>
      </c>
      <c r="AI232" s="1">
        <v>0</v>
      </c>
      <c r="AJ232" s="1">
        <v>0</v>
      </c>
      <c r="AK232" s="1">
        <v>0</v>
      </c>
      <c r="AL232" s="1">
        <v>1</v>
      </c>
      <c r="AM232" s="1">
        <v>86400</v>
      </c>
      <c r="AN232" s="1">
        <v>76399</v>
      </c>
      <c r="AO232" s="1">
        <v>10001</v>
      </c>
      <c r="AP232" s="1">
        <v>46852</v>
      </c>
      <c r="AQ232" s="1">
        <v>1.37213259683311</v>
      </c>
    </row>
    <row r="233" spans="1:43" x14ac:dyDescent="0.45">
      <c r="A233" s="1">
        <v>232</v>
      </c>
      <c r="B233" s="1">
        <v>446</v>
      </c>
      <c r="C233" s="1">
        <v>97</v>
      </c>
      <c r="D233" s="1" t="s">
        <v>85</v>
      </c>
      <c r="E233" s="1" t="s">
        <v>86</v>
      </c>
      <c r="F233" s="1" t="s">
        <v>87</v>
      </c>
      <c r="G233" s="1" t="s">
        <v>46</v>
      </c>
      <c r="H233" s="1" t="s">
        <v>47</v>
      </c>
      <c r="I233" s="1">
        <v>1089</v>
      </c>
      <c r="J233" s="1">
        <v>26566</v>
      </c>
      <c r="K233" s="1">
        <v>1</v>
      </c>
      <c r="L233" s="1">
        <v>96</v>
      </c>
      <c r="M233" s="1">
        <v>1709</v>
      </c>
      <c r="N233" s="1" t="s">
        <v>48</v>
      </c>
      <c r="O233" s="1">
        <v>184873</v>
      </c>
      <c r="P233" s="1">
        <v>93</v>
      </c>
      <c r="Q233" s="1" t="s">
        <v>111</v>
      </c>
      <c r="R233" s="1" t="s">
        <v>50</v>
      </c>
      <c r="S233" s="1">
        <v>0</v>
      </c>
      <c r="T233" s="1">
        <v>0</v>
      </c>
      <c r="U233" s="1">
        <v>89.039000000000001</v>
      </c>
      <c r="V233" s="1">
        <v>24.5</v>
      </c>
      <c r="W233" s="1">
        <v>0.56999999999999995</v>
      </c>
      <c r="X233" s="1">
        <v>0.45</v>
      </c>
      <c r="Y233" s="1">
        <v>24.95</v>
      </c>
      <c r="Z233" s="1">
        <v>4.2000000000000003E-2</v>
      </c>
      <c r="AA233" s="1">
        <v>-2.2999999999999998</v>
      </c>
      <c r="AB233" s="1">
        <v>-2.4</v>
      </c>
      <c r="AC233" s="1">
        <v>-2.4</v>
      </c>
      <c r="AD233" s="1">
        <v>0.45</v>
      </c>
      <c r="AE233" s="1">
        <v>1.7000000000000001E-2</v>
      </c>
      <c r="AF233" s="1">
        <v>1.2E-2</v>
      </c>
      <c r="AI233" s="1">
        <v>0</v>
      </c>
      <c r="AJ233" s="1">
        <v>0</v>
      </c>
      <c r="AK233" s="1">
        <v>0</v>
      </c>
      <c r="AL233" s="1">
        <v>1</v>
      </c>
      <c r="AM233" s="1">
        <v>86400</v>
      </c>
      <c r="AN233" s="1">
        <v>80786</v>
      </c>
      <c r="AO233" s="1">
        <v>5614</v>
      </c>
      <c r="AP233" s="1">
        <v>43617</v>
      </c>
      <c r="AQ233" s="1">
        <v>23.23517241928969</v>
      </c>
    </row>
    <row r="234" spans="1:43" x14ac:dyDescent="0.45">
      <c r="A234" s="1">
        <v>233</v>
      </c>
      <c r="B234" s="1">
        <v>446</v>
      </c>
      <c r="C234" s="1">
        <v>97</v>
      </c>
      <c r="D234" s="1" t="s">
        <v>85</v>
      </c>
      <c r="E234" s="1" t="s">
        <v>86</v>
      </c>
      <c r="F234" s="1" t="s">
        <v>87</v>
      </c>
      <c r="G234" s="1" t="s">
        <v>46</v>
      </c>
      <c r="H234" s="1" t="s">
        <v>47</v>
      </c>
      <c r="I234" s="1">
        <v>1089</v>
      </c>
      <c r="J234" s="1">
        <v>26566</v>
      </c>
      <c r="K234" s="1">
        <v>1</v>
      </c>
      <c r="L234" s="1">
        <v>96</v>
      </c>
      <c r="M234" s="1">
        <v>1710</v>
      </c>
      <c r="N234" s="1" t="s">
        <v>48</v>
      </c>
      <c r="O234" s="1">
        <v>184874</v>
      </c>
      <c r="P234" s="1">
        <v>93</v>
      </c>
      <c r="Q234" s="1" t="s">
        <v>111</v>
      </c>
      <c r="R234" s="1" t="s">
        <v>50</v>
      </c>
      <c r="S234" s="1">
        <v>0</v>
      </c>
      <c r="T234" s="1">
        <v>0</v>
      </c>
      <c r="U234" s="1">
        <v>429.66300000000001</v>
      </c>
      <c r="V234" s="1">
        <v>24.591999999999999</v>
      </c>
      <c r="W234" s="1">
        <v>0.56000000000000005</v>
      </c>
      <c r="X234" s="1">
        <v>0.35699999999999998</v>
      </c>
      <c r="Y234" s="1">
        <v>24.949000000000002</v>
      </c>
      <c r="Z234" s="1">
        <v>8.5000000000000006E-2</v>
      </c>
      <c r="AA234" s="1">
        <v>-2.6</v>
      </c>
      <c r="AB234" s="1">
        <v>-2.6</v>
      </c>
      <c r="AC234" s="1">
        <v>-2.6</v>
      </c>
      <c r="AD234" s="1">
        <v>0.35699999999999998</v>
      </c>
      <c r="AE234" s="1">
        <v>8.5000000000000006E-2</v>
      </c>
      <c r="AF234" s="1">
        <v>0.03</v>
      </c>
      <c r="AG234" s="1">
        <v>-2.6</v>
      </c>
      <c r="AI234" s="1">
        <v>0</v>
      </c>
      <c r="AJ234" s="1">
        <v>0</v>
      </c>
      <c r="AK234" s="1">
        <v>0</v>
      </c>
      <c r="AL234" s="1">
        <v>1</v>
      </c>
      <c r="AM234" s="1">
        <v>86400</v>
      </c>
      <c r="AN234" s="1">
        <v>79526</v>
      </c>
      <c r="AO234" s="1">
        <v>6874</v>
      </c>
      <c r="AP234" s="1">
        <v>43733</v>
      </c>
      <c r="AQ234" s="1">
        <v>36.228889069663921</v>
      </c>
    </row>
    <row r="235" spans="1:43" x14ac:dyDescent="0.45">
      <c r="A235" s="1">
        <v>234</v>
      </c>
      <c r="B235" s="1">
        <v>446</v>
      </c>
      <c r="C235" s="1">
        <v>97</v>
      </c>
      <c r="D235" s="1" t="s">
        <v>85</v>
      </c>
      <c r="E235" s="1" t="s">
        <v>86</v>
      </c>
      <c r="F235" s="1" t="s">
        <v>87</v>
      </c>
      <c r="G235" s="1" t="s">
        <v>46</v>
      </c>
      <c r="H235" s="1" t="s">
        <v>47</v>
      </c>
      <c r="I235" s="1">
        <v>1089</v>
      </c>
      <c r="J235" s="1">
        <v>26566</v>
      </c>
      <c r="K235" s="1">
        <v>1</v>
      </c>
      <c r="L235" s="1">
        <v>96</v>
      </c>
      <c r="M235" s="1">
        <v>1711</v>
      </c>
      <c r="N235" s="1" t="s">
        <v>48</v>
      </c>
      <c r="O235" s="1">
        <v>184875</v>
      </c>
      <c r="P235" s="1">
        <v>93</v>
      </c>
      <c r="Q235" s="1" t="s">
        <v>111</v>
      </c>
      <c r="R235" s="1" t="s">
        <v>50</v>
      </c>
      <c r="S235" s="1">
        <v>0</v>
      </c>
      <c r="T235" s="1">
        <v>0</v>
      </c>
      <c r="U235" s="1">
        <v>213.364</v>
      </c>
      <c r="V235" s="1">
        <v>24.367999999999999</v>
      </c>
      <c r="W235" s="1">
        <v>0.59</v>
      </c>
      <c r="X235" s="1">
        <v>0.58299999999999996</v>
      </c>
      <c r="Y235" s="1">
        <v>24.95</v>
      </c>
      <c r="Z235" s="1">
        <v>0.05</v>
      </c>
      <c r="AA235" s="1">
        <v>-0.8</v>
      </c>
      <c r="AB235" s="1">
        <v>2.7</v>
      </c>
      <c r="AC235" s="1">
        <v>2.7</v>
      </c>
      <c r="AD235" s="1">
        <v>0.58299999999999996</v>
      </c>
      <c r="AE235" s="1">
        <v>4.2000000000000003E-2</v>
      </c>
      <c r="AF235" s="1">
        <v>2.4E-2</v>
      </c>
      <c r="AG235" s="1">
        <v>-0.8</v>
      </c>
      <c r="AI235" s="1">
        <v>0</v>
      </c>
      <c r="AJ235" s="1">
        <v>0</v>
      </c>
      <c r="AK235" s="1">
        <v>0</v>
      </c>
      <c r="AL235" s="1">
        <v>1</v>
      </c>
      <c r="AM235" s="1">
        <v>86400</v>
      </c>
      <c r="AN235" s="1">
        <v>81786</v>
      </c>
      <c r="AO235" s="1">
        <v>4614</v>
      </c>
      <c r="AP235" s="1">
        <v>47026</v>
      </c>
      <c r="AQ235" s="1">
        <v>2.3289428131713419</v>
      </c>
    </row>
    <row r="236" spans="1:43" x14ac:dyDescent="0.45">
      <c r="A236" s="1">
        <v>235</v>
      </c>
      <c r="B236" s="1">
        <v>446</v>
      </c>
      <c r="C236" s="1">
        <v>97</v>
      </c>
      <c r="D236" s="1" t="s">
        <v>85</v>
      </c>
      <c r="E236" s="1" t="s">
        <v>86</v>
      </c>
      <c r="F236" s="1" t="s">
        <v>87</v>
      </c>
      <c r="G236" s="1" t="s">
        <v>46</v>
      </c>
      <c r="H236" s="1" t="s">
        <v>47</v>
      </c>
      <c r="I236" s="1">
        <v>1089</v>
      </c>
      <c r="J236" s="1">
        <v>26566</v>
      </c>
      <c r="K236" s="1">
        <v>1</v>
      </c>
      <c r="L236" s="1">
        <v>96</v>
      </c>
      <c r="M236" s="1">
        <v>1712</v>
      </c>
      <c r="N236" s="1" t="s">
        <v>48</v>
      </c>
      <c r="O236" s="1">
        <v>184876</v>
      </c>
      <c r="P236" s="1">
        <v>93</v>
      </c>
      <c r="Q236" s="1" t="s">
        <v>111</v>
      </c>
      <c r="R236" s="1" t="s">
        <v>50</v>
      </c>
      <c r="S236" s="1">
        <v>0</v>
      </c>
      <c r="T236" s="1">
        <v>0</v>
      </c>
      <c r="U236" s="1">
        <v>217.46</v>
      </c>
      <c r="V236" s="1">
        <v>24.515000000000001</v>
      </c>
      <c r="W236" s="1">
        <v>0.56999999999999995</v>
      </c>
      <c r="X236" s="1">
        <v>0.435</v>
      </c>
      <c r="Y236" s="1">
        <v>24.95</v>
      </c>
      <c r="Z236" s="1">
        <v>5.0999999999999997E-2</v>
      </c>
      <c r="AA236" s="1">
        <v>0.3</v>
      </c>
      <c r="AB236" s="1">
        <v>1.1000000000000001</v>
      </c>
      <c r="AC236" s="1">
        <v>1.1000000000000001</v>
      </c>
      <c r="AD236" s="1">
        <v>0.435</v>
      </c>
      <c r="AE236" s="1">
        <v>3.7999999999999999E-2</v>
      </c>
      <c r="AF236" s="1">
        <v>1.7000000000000001E-2</v>
      </c>
      <c r="AG236" s="1">
        <v>0.3</v>
      </c>
      <c r="AI236" s="1">
        <v>0</v>
      </c>
      <c r="AJ236" s="1">
        <v>0</v>
      </c>
      <c r="AK236" s="1">
        <v>0</v>
      </c>
      <c r="AL236" s="1">
        <v>1</v>
      </c>
      <c r="AM236" s="1">
        <v>86400</v>
      </c>
      <c r="AN236" s="1">
        <v>80578</v>
      </c>
      <c r="AO236" s="1">
        <v>5822</v>
      </c>
      <c r="AP236" s="1">
        <v>43538</v>
      </c>
      <c r="AQ236" s="1">
        <v>19.045530927795099</v>
      </c>
    </row>
    <row r="237" spans="1:43" x14ac:dyDescent="0.45">
      <c r="A237" s="1">
        <v>236</v>
      </c>
      <c r="B237" s="1">
        <v>446</v>
      </c>
      <c r="C237" s="1">
        <v>97</v>
      </c>
      <c r="D237" s="1" t="s">
        <v>85</v>
      </c>
      <c r="E237" s="1" t="s">
        <v>86</v>
      </c>
      <c r="F237" s="1" t="s">
        <v>87</v>
      </c>
      <c r="G237" s="1" t="s">
        <v>46</v>
      </c>
      <c r="H237" s="1" t="s">
        <v>47</v>
      </c>
      <c r="I237" s="1">
        <v>1089</v>
      </c>
      <c r="J237" s="1">
        <v>26566</v>
      </c>
      <c r="K237" s="1">
        <v>1</v>
      </c>
      <c r="L237" s="1">
        <v>96</v>
      </c>
      <c r="M237" s="1">
        <v>1716</v>
      </c>
      <c r="N237" s="1" t="s">
        <v>48</v>
      </c>
      <c r="O237" s="1">
        <v>184955</v>
      </c>
      <c r="P237" s="1">
        <v>93</v>
      </c>
      <c r="Q237" s="1" t="s">
        <v>111</v>
      </c>
      <c r="R237" s="1" t="s">
        <v>50</v>
      </c>
      <c r="S237" s="1">
        <v>0</v>
      </c>
      <c r="T237" s="1">
        <v>0</v>
      </c>
      <c r="U237" s="1">
        <v>142.041</v>
      </c>
      <c r="V237" s="1">
        <v>25.390999999999998</v>
      </c>
      <c r="W237" s="1">
        <v>0.52</v>
      </c>
      <c r="X237" s="1">
        <v>0.122</v>
      </c>
      <c r="Y237" s="1">
        <v>25.513000000000002</v>
      </c>
      <c r="Z237" s="1">
        <v>0.253</v>
      </c>
      <c r="AA237" s="1">
        <v>-1.5</v>
      </c>
      <c r="AB237" s="1">
        <v>-1.5</v>
      </c>
      <c r="AC237" s="1">
        <v>-1.5</v>
      </c>
      <c r="AD237" s="1">
        <v>0.122</v>
      </c>
      <c r="AE237" s="1">
        <v>0.252</v>
      </c>
      <c r="AF237" s="1">
        <v>3.1E-2</v>
      </c>
      <c r="AG237" s="1">
        <v>-1.5</v>
      </c>
      <c r="AI237" s="1">
        <v>0</v>
      </c>
      <c r="AJ237" s="1">
        <v>0</v>
      </c>
      <c r="AK237" s="1">
        <v>0</v>
      </c>
      <c r="AL237" s="1">
        <v>1</v>
      </c>
      <c r="AM237" s="1">
        <v>86400</v>
      </c>
      <c r="AN237" s="1">
        <v>81478</v>
      </c>
      <c r="AO237" s="1">
        <v>4922</v>
      </c>
      <c r="AP237" s="1">
        <v>43642</v>
      </c>
      <c r="AQ237" s="1">
        <v>19.92750351117078</v>
      </c>
    </row>
    <row r="238" spans="1:43" x14ac:dyDescent="0.45">
      <c r="A238" s="1">
        <v>237</v>
      </c>
      <c r="B238" s="1">
        <v>450</v>
      </c>
      <c r="C238" s="1">
        <v>97</v>
      </c>
      <c r="D238" s="1" t="s">
        <v>85</v>
      </c>
      <c r="E238" s="1" t="s">
        <v>86</v>
      </c>
      <c r="F238" s="1" t="s">
        <v>87</v>
      </c>
      <c r="G238" s="1" t="s">
        <v>46</v>
      </c>
      <c r="H238" s="1" t="s">
        <v>47</v>
      </c>
      <c r="I238" s="1">
        <v>1089</v>
      </c>
      <c r="J238" s="1">
        <v>26566</v>
      </c>
      <c r="K238" s="1">
        <v>1</v>
      </c>
      <c r="L238" s="1">
        <v>96</v>
      </c>
      <c r="M238" s="1">
        <v>1713</v>
      </c>
      <c r="N238" s="1" t="s">
        <v>48</v>
      </c>
      <c r="O238" s="1">
        <v>184881</v>
      </c>
      <c r="P238" s="1">
        <v>93</v>
      </c>
      <c r="Q238" s="1" t="s">
        <v>111</v>
      </c>
      <c r="R238" s="1" t="s">
        <v>50</v>
      </c>
      <c r="S238" s="1">
        <v>0</v>
      </c>
      <c r="T238" s="1">
        <v>0</v>
      </c>
      <c r="U238" s="1">
        <v>126.512</v>
      </c>
      <c r="V238" s="1">
        <v>25.347999999999999</v>
      </c>
      <c r="W238" s="1">
        <v>0.54</v>
      </c>
      <c r="X238" s="1">
        <v>0.183</v>
      </c>
      <c r="Y238" s="1">
        <v>25.530999999999999</v>
      </c>
      <c r="Z238" s="1">
        <v>0.74</v>
      </c>
      <c r="AA238" s="1">
        <v>0.1</v>
      </c>
      <c r="AB238" s="1">
        <v>0.1</v>
      </c>
      <c r="AC238" s="1">
        <v>0.1</v>
      </c>
      <c r="AD238" s="1">
        <v>0.183</v>
      </c>
      <c r="AE238" s="1">
        <v>0.73899999999999999</v>
      </c>
      <c r="AF238" s="1">
        <v>0.13500000000000001</v>
      </c>
      <c r="AG238" s="1">
        <v>0.1</v>
      </c>
      <c r="AI238" s="1">
        <v>0</v>
      </c>
      <c r="AJ238" s="1">
        <v>0</v>
      </c>
      <c r="AK238" s="1">
        <v>0</v>
      </c>
      <c r="AL238" s="1">
        <v>1</v>
      </c>
      <c r="AM238" s="1">
        <v>65208</v>
      </c>
      <c r="AN238" s="1">
        <v>20058</v>
      </c>
      <c r="AO238" s="1">
        <v>45096</v>
      </c>
      <c r="AP238" s="1">
        <v>50290</v>
      </c>
      <c r="AQ238" s="1">
        <v>21.192493647705771</v>
      </c>
    </row>
    <row r="239" spans="1:43" x14ac:dyDescent="0.45">
      <c r="A239" s="1">
        <v>238</v>
      </c>
      <c r="B239" s="1">
        <v>450</v>
      </c>
      <c r="C239" s="1">
        <v>97</v>
      </c>
      <c r="D239" s="1" t="s">
        <v>85</v>
      </c>
      <c r="E239" s="1" t="s">
        <v>86</v>
      </c>
      <c r="F239" s="1" t="s">
        <v>87</v>
      </c>
      <c r="G239" s="1" t="s">
        <v>46</v>
      </c>
      <c r="H239" s="1" t="s">
        <v>47</v>
      </c>
      <c r="I239" s="1">
        <v>1089</v>
      </c>
      <c r="J239" s="1">
        <v>26566</v>
      </c>
      <c r="K239" s="1">
        <v>1</v>
      </c>
      <c r="L239" s="1">
        <v>96</v>
      </c>
      <c r="M239" s="1">
        <v>1714</v>
      </c>
      <c r="N239" s="1" t="s">
        <v>48</v>
      </c>
      <c r="O239" s="1">
        <v>184884</v>
      </c>
      <c r="P239" s="1">
        <v>93</v>
      </c>
      <c r="Q239" s="1" t="s">
        <v>111</v>
      </c>
      <c r="R239" s="1" t="s">
        <v>50</v>
      </c>
      <c r="S239" s="1">
        <v>0</v>
      </c>
      <c r="T239" s="1">
        <v>0</v>
      </c>
      <c r="U239" s="1">
        <v>98.066999999999993</v>
      </c>
      <c r="V239" s="1">
        <v>25.141999999999999</v>
      </c>
      <c r="W239" s="1">
        <v>0.54</v>
      </c>
      <c r="X239" s="1">
        <v>0.11899999999999999</v>
      </c>
      <c r="Y239" s="1">
        <v>25.26</v>
      </c>
      <c r="Z239" s="1">
        <v>1.619</v>
      </c>
      <c r="AA239" s="1">
        <v>0.4</v>
      </c>
      <c r="AB239" s="1">
        <v>0.4</v>
      </c>
      <c r="AC239" s="1">
        <v>0.4</v>
      </c>
      <c r="AD239" s="1">
        <v>0.11899999999999999</v>
      </c>
      <c r="AE239" s="1">
        <v>1.619</v>
      </c>
      <c r="AF239" s="1">
        <v>0.192</v>
      </c>
      <c r="AG239" s="1">
        <v>0.4</v>
      </c>
      <c r="AI239" s="1">
        <v>0</v>
      </c>
      <c r="AJ239" s="1">
        <v>0</v>
      </c>
      <c r="AK239" s="1">
        <v>0</v>
      </c>
      <c r="AL239" s="1">
        <v>1</v>
      </c>
      <c r="AM239" s="1">
        <v>65071</v>
      </c>
      <c r="AN239" s="1">
        <v>19911</v>
      </c>
      <c r="AO239" s="1">
        <v>45150</v>
      </c>
      <c r="AP239" s="1">
        <v>49905</v>
      </c>
      <c r="AQ239" s="1">
        <v>1.302270255329955</v>
      </c>
    </row>
    <row r="240" spans="1:43" x14ac:dyDescent="0.45">
      <c r="A240" s="1">
        <v>239</v>
      </c>
      <c r="B240" s="1">
        <v>454</v>
      </c>
      <c r="C240" s="1">
        <v>23</v>
      </c>
      <c r="D240" s="1" t="s">
        <v>88</v>
      </c>
      <c r="E240" s="1" t="s">
        <v>89</v>
      </c>
      <c r="F240" s="1" t="s">
        <v>90</v>
      </c>
      <c r="G240" s="1" t="s">
        <v>91</v>
      </c>
      <c r="H240" s="1" t="s">
        <v>47</v>
      </c>
      <c r="I240" s="1">
        <v>330</v>
      </c>
      <c r="J240" s="1">
        <v>5916</v>
      </c>
      <c r="K240" s="1">
        <v>1</v>
      </c>
      <c r="L240" s="1">
        <v>22</v>
      </c>
      <c r="M240" s="1">
        <v>1674</v>
      </c>
      <c r="N240" s="1" t="s">
        <v>48</v>
      </c>
      <c r="O240" s="1">
        <v>175496</v>
      </c>
      <c r="P240" s="1">
        <v>93</v>
      </c>
      <c r="Q240" s="1" t="s">
        <v>111</v>
      </c>
      <c r="R240" s="1" t="s">
        <v>50</v>
      </c>
      <c r="S240" s="1">
        <v>0</v>
      </c>
      <c r="T240" s="1">
        <v>0</v>
      </c>
      <c r="U240" s="1">
        <v>338.95299999999997</v>
      </c>
      <c r="V240" s="1">
        <v>24.632999999999999</v>
      </c>
      <c r="W240" s="1">
        <v>0.52</v>
      </c>
      <c r="X240" s="1">
        <v>0.11600000000000001</v>
      </c>
      <c r="Y240" s="1">
        <v>24.748999999999999</v>
      </c>
      <c r="Z240" s="1">
        <v>7.4999999999999997E-2</v>
      </c>
      <c r="AA240" s="1">
        <v>2.1</v>
      </c>
      <c r="AB240" s="1">
        <v>2.1</v>
      </c>
      <c r="AC240" s="1">
        <v>2.1</v>
      </c>
      <c r="AD240" s="1">
        <v>0.11600000000000001</v>
      </c>
      <c r="AE240" s="1">
        <v>7.4999999999999997E-2</v>
      </c>
      <c r="AF240" s="1">
        <v>8.9999999999999993E-3</v>
      </c>
      <c r="AG240" s="1">
        <v>2.1</v>
      </c>
      <c r="AI240" s="1">
        <v>0</v>
      </c>
      <c r="AJ240" s="1">
        <v>0</v>
      </c>
      <c r="AK240" s="1">
        <v>0</v>
      </c>
      <c r="AL240" s="1">
        <v>1</v>
      </c>
      <c r="AM240" s="1">
        <v>86400</v>
      </c>
      <c r="AN240" s="1">
        <v>78527</v>
      </c>
      <c r="AO240" s="1">
        <v>7873</v>
      </c>
      <c r="AP240" s="1">
        <v>43404</v>
      </c>
      <c r="AQ240" s="1">
        <v>2.5436351825059029</v>
      </c>
    </row>
    <row r="241" spans="1:43" x14ac:dyDescent="0.45">
      <c r="A241" s="1">
        <v>240</v>
      </c>
      <c r="B241" s="1">
        <v>454</v>
      </c>
      <c r="C241" s="1">
        <v>23</v>
      </c>
      <c r="D241" s="1" t="s">
        <v>88</v>
      </c>
      <c r="E241" s="1" t="s">
        <v>89</v>
      </c>
      <c r="F241" s="1" t="s">
        <v>90</v>
      </c>
      <c r="G241" s="1" t="s">
        <v>91</v>
      </c>
      <c r="H241" s="1" t="s">
        <v>47</v>
      </c>
      <c r="I241" s="1">
        <v>330</v>
      </c>
      <c r="J241" s="1">
        <v>5916</v>
      </c>
      <c r="K241" s="1">
        <v>1</v>
      </c>
      <c r="L241" s="1">
        <v>22</v>
      </c>
      <c r="M241" s="1">
        <v>1675</v>
      </c>
      <c r="N241" s="1" t="s">
        <v>48</v>
      </c>
      <c r="O241" s="1">
        <v>175913</v>
      </c>
      <c r="P241" s="1">
        <v>93</v>
      </c>
      <c r="Q241" s="1" t="s">
        <v>111</v>
      </c>
      <c r="R241" s="1" t="s">
        <v>50</v>
      </c>
      <c r="S241" s="1">
        <v>0</v>
      </c>
      <c r="T241" s="1">
        <v>0</v>
      </c>
      <c r="U241" s="1">
        <v>73.203000000000003</v>
      </c>
      <c r="V241" s="1">
        <v>25.163</v>
      </c>
      <c r="W241" s="1">
        <v>0.55000000000000004</v>
      </c>
      <c r="X241" s="1">
        <v>0.33600000000000002</v>
      </c>
      <c r="Y241" s="1">
        <v>25.498999999999999</v>
      </c>
      <c r="Z241" s="1">
        <v>5.7000000000000002E-2</v>
      </c>
      <c r="AA241" s="1">
        <v>-1.4</v>
      </c>
      <c r="AB241" s="1">
        <v>-1.4</v>
      </c>
      <c r="AC241" s="1">
        <v>-1.4</v>
      </c>
      <c r="AD241" s="1">
        <v>0.33600000000000002</v>
      </c>
      <c r="AE241" s="1">
        <v>5.7000000000000002E-2</v>
      </c>
      <c r="AF241" s="1">
        <v>1.9E-2</v>
      </c>
      <c r="AG241" s="1">
        <v>-1.4</v>
      </c>
      <c r="AI241" s="1">
        <v>0</v>
      </c>
      <c r="AJ241" s="1">
        <v>0</v>
      </c>
      <c r="AK241" s="1">
        <v>0</v>
      </c>
      <c r="AL241" s="1">
        <v>1</v>
      </c>
      <c r="AM241" s="1">
        <v>86400</v>
      </c>
      <c r="AN241" s="1">
        <v>80714</v>
      </c>
      <c r="AO241" s="1">
        <v>5686</v>
      </c>
      <c r="AP241" s="1">
        <v>43431</v>
      </c>
      <c r="AQ241" s="1">
        <v>12.51607896382912</v>
      </c>
    </row>
    <row r="242" spans="1:43" x14ac:dyDescent="0.45">
      <c r="A242" s="1">
        <v>241</v>
      </c>
      <c r="B242" s="1">
        <v>454</v>
      </c>
      <c r="C242" s="1">
        <v>23</v>
      </c>
      <c r="D242" s="1" t="s">
        <v>88</v>
      </c>
      <c r="E242" s="1" t="s">
        <v>89</v>
      </c>
      <c r="F242" s="1" t="s">
        <v>90</v>
      </c>
      <c r="G242" s="1" t="s">
        <v>91</v>
      </c>
      <c r="H242" s="1" t="s">
        <v>47</v>
      </c>
      <c r="I242" s="1">
        <v>330</v>
      </c>
      <c r="J242" s="1">
        <v>5916</v>
      </c>
      <c r="K242" s="1">
        <v>1</v>
      </c>
      <c r="L242" s="1">
        <v>22</v>
      </c>
      <c r="M242" s="1">
        <v>1676</v>
      </c>
      <c r="N242" s="1" t="s">
        <v>48</v>
      </c>
      <c r="O242" s="1">
        <v>175914</v>
      </c>
      <c r="P242" s="1">
        <v>93</v>
      </c>
      <c r="Q242" s="1" t="s">
        <v>111</v>
      </c>
      <c r="R242" s="1" t="s">
        <v>50</v>
      </c>
      <c r="S242" s="1">
        <v>0</v>
      </c>
      <c r="T242" s="1">
        <v>0</v>
      </c>
      <c r="U242" s="1">
        <v>92.867000000000004</v>
      </c>
      <c r="V242" s="1">
        <v>25.131</v>
      </c>
      <c r="W242" s="1">
        <v>0.56000000000000005</v>
      </c>
      <c r="X242" s="1">
        <v>0.36899999999999999</v>
      </c>
      <c r="Y242" s="1">
        <v>25.5</v>
      </c>
      <c r="Z242" s="1">
        <v>6.4000000000000001E-2</v>
      </c>
      <c r="AA242" s="1">
        <v>0.9</v>
      </c>
      <c r="AB242" s="1">
        <v>0.9</v>
      </c>
      <c r="AC242" s="1">
        <v>0.9</v>
      </c>
      <c r="AD242" s="1">
        <v>0.36899999999999999</v>
      </c>
      <c r="AE242" s="1">
        <v>6.4000000000000001E-2</v>
      </c>
      <c r="AF242" s="1">
        <v>2.4E-2</v>
      </c>
      <c r="AG242" s="1">
        <v>0.9</v>
      </c>
      <c r="AI242" s="1">
        <v>0</v>
      </c>
      <c r="AJ242" s="1">
        <v>0</v>
      </c>
      <c r="AK242" s="1">
        <v>0</v>
      </c>
      <c r="AL242" s="1">
        <v>1</v>
      </c>
      <c r="AM242" s="1">
        <v>86400</v>
      </c>
      <c r="AN242" s="1">
        <v>81555</v>
      </c>
      <c r="AO242" s="1">
        <v>4845</v>
      </c>
      <c r="AP242" s="1">
        <v>43414</v>
      </c>
      <c r="AQ242" s="1">
        <v>3.3747962790819219</v>
      </c>
    </row>
    <row r="243" spans="1:43" x14ac:dyDescent="0.45">
      <c r="A243" s="1">
        <v>242</v>
      </c>
      <c r="B243" s="1">
        <v>470</v>
      </c>
      <c r="C243" s="1">
        <v>97</v>
      </c>
      <c r="D243" s="1" t="s">
        <v>85</v>
      </c>
      <c r="E243" s="1" t="s">
        <v>86</v>
      </c>
      <c r="F243" s="1" t="s">
        <v>87</v>
      </c>
      <c r="G243" s="1" t="s">
        <v>46</v>
      </c>
      <c r="H243" s="1" t="s">
        <v>47</v>
      </c>
      <c r="I243" s="1">
        <v>1089</v>
      </c>
      <c r="J243" s="1">
        <v>26566</v>
      </c>
      <c r="K243" s="1">
        <v>1</v>
      </c>
      <c r="L243" s="1">
        <v>96</v>
      </c>
      <c r="M243" s="1">
        <v>1571</v>
      </c>
      <c r="N243" s="1" t="s">
        <v>48</v>
      </c>
      <c r="O243" s="1">
        <v>132942</v>
      </c>
      <c r="P243" s="1">
        <v>93</v>
      </c>
      <c r="Q243" s="1" t="s">
        <v>111</v>
      </c>
      <c r="R243" s="1" t="s">
        <v>50</v>
      </c>
      <c r="S243" s="1">
        <v>0</v>
      </c>
      <c r="T243" s="1">
        <v>0</v>
      </c>
      <c r="U243" s="1">
        <v>88.98</v>
      </c>
      <c r="V243" s="1">
        <v>25.22</v>
      </c>
      <c r="W243" s="1">
        <v>0.53</v>
      </c>
      <c r="X243" s="1">
        <v>0.159</v>
      </c>
      <c r="Y243" s="1">
        <v>25.38</v>
      </c>
      <c r="Z243" s="1">
        <v>0.246</v>
      </c>
      <c r="AA243" s="1">
        <v>-0.6</v>
      </c>
      <c r="AB243" s="1">
        <v>-0.6</v>
      </c>
      <c r="AC243" s="1">
        <v>-0.6</v>
      </c>
      <c r="AD243" s="1">
        <v>0.159</v>
      </c>
      <c r="AE243" s="1">
        <v>0.246</v>
      </c>
      <c r="AF243" s="1">
        <v>3.9E-2</v>
      </c>
      <c r="AG243" s="1">
        <v>-0.6</v>
      </c>
      <c r="AI243" s="1">
        <v>0</v>
      </c>
      <c r="AJ243" s="1">
        <v>0</v>
      </c>
      <c r="AK243" s="1">
        <v>0</v>
      </c>
      <c r="AL243" s="1">
        <v>1</v>
      </c>
      <c r="AM243" s="1">
        <v>86400</v>
      </c>
      <c r="AN243" s="1">
        <v>81584</v>
      </c>
      <c r="AO243" s="1">
        <v>4816</v>
      </c>
      <c r="AP243" s="1">
        <v>46892</v>
      </c>
      <c r="AQ243" s="1">
        <v>13.500253100054801</v>
      </c>
    </row>
    <row r="244" spans="1:43" x14ac:dyDescent="0.45">
      <c r="A244" s="1">
        <v>243</v>
      </c>
      <c r="B244" s="1">
        <v>477</v>
      </c>
      <c r="C244" s="1">
        <v>68</v>
      </c>
      <c r="D244" s="1" t="s">
        <v>107</v>
      </c>
      <c r="E244" s="1" t="s">
        <v>108</v>
      </c>
      <c r="F244" s="1" t="s">
        <v>109</v>
      </c>
      <c r="G244" s="1" t="s">
        <v>46</v>
      </c>
      <c r="H244" s="1" t="s">
        <v>47</v>
      </c>
      <c r="I244" s="1">
        <v>2102</v>
      </c>
      <c r="J244" s="1">
        <v>100258</v>
      </c>
      <c r="K244" s="1">
        <v>1</v>
      </c>
      <c r="L244" s="1">
        <v>67</v>
      </c>
      <c r="M244" s="1">
        <v>1570</v>
      </c>
      <c r="N244" s="1" t="s">
        <v>48</v>
      </c>
      <c r="O244" s="1">
        <v>131335</v>
      </c>
      <c r="P244" s="1">
        <v>93</v>
      </c>
      <c r="Q244" s="1" t="s">
        <v>111</v>
      </c>
      <c r="R244" s="1" t="s">
        <v>50</v>
      </c>
      <c r="S244" s="1">
        <v>0</v>
      </c>
      <c r="T244" s="1">
        <v>0</v>
      </c>
      <c r="U244" s="1">
        <v>322.94299999999998</v>
      </c>
      <c r="V244" s="1">
        <v>50</v>
      </c>
      <c r="W244" s="1">
        <v>0.52</v>
      </c>
      <c r="X244" s="1">
        <v>0.14599999999999999</v>
      </c>
      <c r="Y244" s="1">
        <v>50.146000000000001</v>
      </c>
      <c r="Z244" s="1">
        <v>0.156</v>
      </c>
      <c r="AA244" s="1">
        <v>2.1</v>
      </c>
      <c r="AB244" s="1">
        <v>2.1</v>
      </c>
      <c r="AC244" s="1">
        <v>2.1</v>
      </c>
      <c r="AD244" s="1">
        <v>0.14599999999999999</v>
      </c>
      <c r="AE244" s="1">
        <v>0.04</v>
      </c>
      <c r="AF244" s="1">
        <v>6.0000000000000001E-3</v>
      </c>
      <c r="AI244" s="1">
        <v>0</v>
      </c>
      <c r="AJ244" s="1">
        <v>0</v>
      </c>
      <c r="AK244" s="1">
        <v>0</v>
      </c>
      <c r="AL244" s="1">
        <v>1</v>
      </c>
      <c r="AM244" s="1">
        <v>67967</v>
      </c>
      <c r="AN244" s="1">
        <v>21684</v>
      </c>
      <c r="AO244" s="1">
        <v>46283</v>
      </c>
      <c r="AP244" s="1">
        <v>49953</v>
      </c>
      <c r="AQ244" s="1">
        <v>29.48440096530631</v>
      </c>
    </row>
    <row r="245" spans="1:43" x14ac:dyDescent="0.45">
      <c r="A245" s="1">
        <v>244</v>
      </c>
      <c r="B245" s="1">
        <v>494</v>
      </c>
      <c r="C245" s="1">
        <v>67</v>
      </c>
      <c r="D245" s="1" t="s">
        <v>92</v>
      </c>
      <c r="E245" s="1" t="s">
        <v>93</v>
      </c>
      <c r="F245" s="1" t="s">
        <v>94</v>
      </c>
      <c r="G245" s="1" t="s">
        <v>46</v>
      </c>
      <c r="H245" s="1" t="s">
        <v>47</v>
      </c>
      <c r="I245" s="1">
        <v>1579</v>
      </c>
      <c r="J245" s="1">
        <v>67764</v>
      </c>
      <c r="K245" s="1">
        <v>1</v>
      </c>
      <c r="L245" s="1">
        <v>66</v>
      </c>
      <c r="M245" s="1">
        <v>1566</v>
      </c>
      <c r="N245" s="1" t="s">
        <v>48</v>
      </c>
      <c r="O245" s="1">
        <v>131020</v>
      </c>
      <c r="P245" s="1">
        <v>93</v>
      </c>
      <c r="Q245" s="1" t="s">
        <v>111</v>
      </c>
      <c r="R245" s="1" t="s">
        <v>50</v>
      </c>
      <c r="S245" s="1">
        <v>0</v>
      </c>
      <c r="T245" s="1">
        <v>0</v>
      </c>
      <c r="U245" s="1">
        <v>94.191999999999993</v>
      </c>
      <c r="V245" s="1">
        <v>25.324000000000002</v>
      </c>
      <c r="W245" s="1">
        <v>1.1399999999999999</v>
      </c>
      <c r="X245" s="1">
        <v>0.88600000000000001</v>
      </c>
      <c r="Y245" s="1">
        <v>26.21</v>
      </c>
      <c r="Z245" s="1">
        <v>7.8E-2</v>
      </c>
      <c r="AA245" s="1">
        <v>0.9</v>
      </c>
      <c r="AB245" s="1">
        <v>0.9</v>
      </c>
      <c r="AC245" s="1">
        <v>0.9</v>
      </c>
      <c r="AD245" s="1">
        <v>0.88600000000000001</v>
      </c>
      <c r="AE245" s="1">
        <v>7.8E-2</v>
      </c>
      <c r="AF245" s="1">
        <v>6.9000000000000006E-2</v>
      </c>
      <c r="AG245" s="1">
        <v>0.9</v>
      </c>
      <c r="AI245" s="1">
        <v>0</v>
      </c>
      <c r="AJ245" s="1">
        <v>0</v>
      </c>
      <c r="AK245" s="1">
        <v>0</v>
      </c>
      <c r="AL245" s="1">
        <v>1</v>
      </c>
      <c r="AM245" s="1">
        <v>86400</v>
      </c>
      <c r="AN245" s="1">
        <v>81495</v>
      </c>
      <c r="AO245" s="1">
        <v>4905</v>
      </c>
      <c r="AP245" s="1">
        <v>46829</v>
      </c>
      <c r="AQ245" s="1">
        <v>22.945877289242109</v>
      </c>
    </row>
    <row r="246" spans="1:43" x14ac:dyDescent="0.45">
      <c r="A246" s="1">
        <v>245</v>
      </c>
      <c r="B246" s="1">
        <v>494</v>
      </c>
      <c r="C246" s="1">
        <v>67</v>
      </c>
      <c r="D246" s="1" t="s">
        <v>92</v>
      </c>
      <c r="E246" s="1" t="s">
        <v>93</v>
      </c>
      <c r="F246" s="1" t="s">
        <v>94</v>
      </c>
      <c r="G246" s="1" t="s">
        <v>46</v>
      </c>
      <c r="H246" s="1" t="s">
        <v>47</v>
      </c>
      <c r="I246" s="1">
        <v>1579</v>
      </c>
      <c r="J246" s="1">
        <v>67764</v>
      </c>
      <c r="K246" s="1">
        <v>1</v>
      </c>
      <c r="L246" s="1">
        <v>66</v>
      </c>
      <c r="M246" s="1">
        <v>1567</v>
      </c>
      <c r="N246" s="1" t="s">
        <v>48</v>
      </c>
      <c r="O246" s="1">
        <v>131021</v>
      </c>
      <c r="P246" s="1">
        <v>93</v>
      </c>
      <c r="Q246" s="1" t="s">
        <v>111</v>
      </c>
      <c r="R246" s="1" t="s">
        <v>50</v>
      </c>
      <c r="S246" s="1">
        <v>0</v>
      </c>
      <c r="T246" s="1">
        <v>0</v>
      </c>
      <c r="U246" s="1">
        <v>89.78</v>
      </c>
      <c r="V246" s="1">
        <v>25.841999999999999</v>
      </c>
      <c r="W246" s="1">
        <v>0.56000000000000005</v>
      </c>
      <c r="X246" s="1">
        <v>0.36899999999999999</v>
      </c>
      <c r="Y246" s="1">
        <v>26.210999999999999</v>
      </c>
      <c r="Z246" s="1">
        <v>5.1999999999999998E-2</v>
      </c>
      <c r="AA246" s="1">
        <v>-2.8</v>
      </c>
      <c r="AB246" s="1">
        <v>-3</v>
      </c>
      <c r="AC246" s="1">
        <v>-3</v>
      </c>
      <c r="AD246" s="1">
        <v>0.36899999999999999</v>
      </c>
      <c r="AE246" s="1">
        <v>4.3999999999999997E-2</v>
      </c>
      <c r="AF246" s="1">
        <v>1.7999999999999999E-2</v>
      </c>
      <c r="AG246" s="1">
        <v>-2.8</v>
      </c>
      <c r="AI246" s="1">
        <v>0</v>
      </c>
      <c r="AJ246" s="1">
        <v>0</v>
      </c>
      <c r="AK246" s="1">
        <v>0</v>
      </c>
      <c r="AL246" s="1">
        <v>1</v>
      </c>
      <c r="AM246" s="1">
        <v>86400</v>
      </c>
      <c r="AN246" s="1">
        <v>74143</v>
      </c>
      <c r="AO246" s="1">
        <v>12257</v>
      </c>
      <c r="AP246" s="1">
        <v>43605</v>
      </c>
      <c r="AQ246" s="1">
        <v>6.4043930915015341</v>
      </c>
    </row>
    <row r="247" spans="1:43" x14ac:dyDescent="0.45">
      <c r="A247" s="1">
        <v>246</v>
      </c>
      <c r="B247" s="1">
        <v>494</v>
      </c>
      <c r="C247" s="1">
        <v>67</v>
      </c>
      <c r="D247" s="1" t="s">
        <v>92</v>
      </c>
      <c r="E247" s="1" t="s">
        <v>93</v>
      </c>
      <c r="F247" s="1" t="s">
        <v>94</v>
      </c>
      <c r="G247" s="1" t="s">
        <v>46</v>
      </c>
      <c r="H247" s="1" t="s">
        <v>47</v>
      </c>
      <c r="I247" s="1">
        <v>1579</v>
      </c>
      <c r="J247" s="1">
        <v>67764</v>
      </c>
      <c r="K247" s="1">
        <v>1</v>
      </c>
      <c r="L247" s="1">
        <v>66</v>
      </c>
      <c r="M247" s="1">
        <v>1568</v>
      </c>
      <c r="N247" s="1" t="s">
        <v>48</v>
      </c>
      <c r="O247" s="1">
        <v>131025</v>
      </c>
      <c r="P247" s="1">
        <v>93</v>
      </c>
      <c r="Q247" s="1" t="s">
        <v>111</v>
      </c>
      <c r="R247" s="1" t="s">
        <v>50</v>
      </c>
      <c r="S247" s="1">
        <v>0</v>
      </c>
      <c r="T247" s="1">
        <v>0</v>
      </c>
      <c r="U247" s="1">
        <v>51.036999999999999</v>
      </c>
      <c r="V247" s="1">
        <v>25.751999999999999</v>
      </c>
      <c r="W247" s="1">
        <v>0.57999999999999996</v>
      </c>
      <c r="X247" s="1">
        <v>0.45800000000000002</v>
      </c>
      <c r="Y247" s="1">
        <v>26.21</v>
      </c>
      <c r="Z247" s="1">
        <v>0.23599999999999999</v>
      </c>
      <c r="AA247" s="1">
        <v>-1.6</v>
      </c>
      <c r="AB247" s="1">
        <v>-1.6</v>
      </c>
      <c r="AC247" s="1">
        <v>-1.6</v>
      </c>
      <c r="AD247" s="1">
        <v>0.45800000000000002</v>
      </c>
      <c r="AE247" s="1">
        <v>0.23499999999999999</v>
      </c>
      <c r="AF247" s="1">
        <v>0.108</v>
      </c>
      <c r="AG247" s="1">
        <v>-1.6</v>
      </c>
      <c r="AI247" s="1">
        <v>0</v>
      </c>
      <c r="AJ247" s="1">
        <v>0</v>
      </c>
      <c r="AK247" s="1">
        <v>0</v>
      </c>
      <c r="AL247" s="1">
        <v>1</v>
      </c>
      <c r="AM247" s="1">
        <v>86400</v>
      </c>
      <c r="AN247" s="1">
        <v>75619</v>
      </c>
      <c r="AO247" s="1">
        <v>10781</v>
      </c>
      <c r="AP247" s="1">
        <v>47785</v>
      </c>
      <c r="AQ247" s="1">
        <v>12.58488408496922</v>
      </c>
    </row>
  </sheetData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EAF11-2A65-4FEE-B7E8-E010DAC6B142}">
  <sheetPr codeName="Sheet7"/>
  <dimension ref="A1:AQ261"/>
  <sheetViews>
    <sheetView workbookViewId="0"/>
  </sheetViews>
  <sheetFormatPr defaultColWidth="9.1328125" defaultRowHeight="14.25" customHeight="1" x14ac:dyDescent="0.45"/>
  <cols>
    <col min="1" max="1" width="9.1328125" style="1" customWidth="1"/>
    <col min="2" max="16384" width="9.1328125" style="1"/>
  </cols>
  <sheetData>
    <row r="1" spans="1:43" ht="16.149999999999999" thickBot="1" x14ac:dyDescent="0.5500000000000000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124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</row>
    <row r="2" spans="1:43" x14ac:dyDescent="0.45">
      <c r="A2" s="1">
        <v>1</v>
      </c>
      <c r="B2" s="1">
        <v>1</v>
      </c>
      <c r="C2" s="1">
        <v>90</v>
      </c>
      <c r="D2" s="1" t="s">
        <v>43</v>
      </c>
      <c r="E2" s="1" t="s">
        <v>44</v>
      </c>
      <c r="F2" s="1" t="s">
        <v>45</v>
      </c>
      <c r="G2" s="1" t="s">
        <v>46</v>
      </c>
      <c r="H2" s="1" t="s">
        <v>47</v>
      </c>
      <c r="I2" s="1">
        <v>535</v>
      </c>
      <c r="J2" s="1">
        <v>12723</v>
      </c>
      <c r="K2" s="1">
        <v>1</v>
      </c>
      <c r="L2" s="1">
        <v>89</v>
      </c>
      <c r="M2" s="1">
        <v>1602</v>
      </c>
      <c r="N2" s="1" t="s">
        <v>48</v>
      </c>
      <c r="O2" s="1">
        <v>20364</v>
      </c>
      <c r="P2" s="1">
        <v>94</v>
      </c>
      <c r="Q2" s="1" t="s">
        <v>125</v>
      </c>
      <c r="R2" s="1" t="s">
        <v>50</v>
      </c>
      <c r="S2" s="1">
        <v>0</v>
      </c>
      <c r="T2" s="1">
        <v>0</v>
      </c>
      <c r="U2" s="1">
        <v>205.73699999999999</v>
      </c>
      <c r="V2" s="1">
        <v>24.99</v>
      </c>
      <c r="W2" s="1">
        <v>0.52</v>
      </c>
      <c r="X2" s="1">
        <v>0.14799999999999999</v>
      </c>
      <c r="Y2" s="1">
        <v>25.138999999999999</v>
      </c>
      <c r="Z2" s="1">
        <v>7.8E-2</v>
      </c>
      <c r="AA2" s="1">
        <v>-2.7</v>
      </c>
      <c r="AB2" s="1">
        <v>-2.7</v>
      </c>
      <c r="AC2" s="1">
        <v>-2.7</v>
      </c>
      <c r="AD2" s="1">
        <v>0.14799999999999999</v>
      </c>
      <c r="AE2" s="1">
        <v>7.8E-2</v>
      </c>
      <c r="AF2" s="1">
        <v>1.2E-2</v>
      </c>
      <c r="AG2" s="1">
        <v>-2.7</v>
      </c>
      <c r="AI2" s="1">
        <v>0</v>
      </c>
      <c r="AJ2" s="1">
        <v>0</v>
      </c>
      <c r="AK2" s="1">
        <v>0</v>
      </c>
      <c r="AL2" s="1">
        <v>1</v>
      </c>
      <c r="AM2" s="1">
        <v>86400</v>
      </c>
      <c r="AN2" s="1">
        <v>77729</v>
      </c>
      <c r="AO2" s="1">
        <v>8671</v>
      </c>
      <c r="AP2" s="1">
        <v>43411</v>
      </c>
      <c r="AQ2" s="1">
        <v>1.6932807555292719</v>
      </c>
    </row>
    <row r="3" spans="1:43" x14ac:dyDescent="0.45">
      <c r="A3" s="1">
        <v>2</v>
      </c>
      <c r="B3" s="1">
        <v>1</v>
      </c>
      <c r="C3" s="1">
        <v>90</v>
      </c>
      <c r="D3" s="1" t="s">
        <v>43</v>
      </c>
      <c r="E3" s="1" t="s">
        <v>44</v>
      </c>
      <c r="F3" s="1" t="s">
        <v>45</v>
      </c>
      <c r="G3" s="1" t="s">
        <v>46</v>
      </c>
      <c r="H3" s="1" t="s">
        <v>47</v>
      </c>
      <c r="I3" s="1">
        <v>535</v>
      </c>
      <c r="J3" s="1">
        <v>12723</v>
      </c>
      <c r="K3" s="1">
        <v>1</v>
      </c>
      <c r="L3" s="1">
        <v>89</v>
      </c>
      <c r="M3" s="1">
        <v>1603</v>
      </c>
      <c r="N3" s="1" t="s">
        <v>48</v>
      </c>
      <c r="O3" s="1">
        <v>20405</v>
      </c>
      <c r="P3" s="1">
        <v>94</v>
      </c>
      <c r="Q3" s="1" t="s">
        <v>125</v>
      </c>
      <c r="R3" s="1" t="s">
        <v>50</v>
      </c>
      <c r="S3" s="1">
        <v>0</v>
      </c>
      <c r="T3" s="1">
        <v>0</v>
      </c>
      <c r="U3" s="1">
        <v>63.332999999999998</v>
      </c>
      <c r="V3" s="1">
        <v>24.972999999999999</v>
      </c>
      <c r="W3" s="1">
        <v>0.53</v>
      </c>
      <c r="X3" s="1">
        <v>0.16600000000000001</v>
      </c>
      <c r="Y3" s="1">
        <v>25.138999999999999</v>
      </c>
      <c r="Z3" s="1">
        <v>7.1999999999999995E-2</v>
      </c>
      <c r="AA3" s="1">
        <v>-3</v>
      </c>
      <c r="AB3" s="1">
        <v>-3</v>
      </c>
      <c r="AC3" s="1">
        <v>-3</v>
      </c>
      <c r="AD3" s="1">
        <v>0.16600000000000001</v>
      </c>
      <c r="AE3" s="1">
        <v>7.1999999999999995E-2</v>
      </c>
      <c r="AF3" s="1">
        <v>1.2E-2</v>
      </c>
      <c r="AG3" s="1">
        <v>-3</v>
      </c>
      <c r="AI3" s="1">
        <v>0</v>
      </c>
      <c r="AJ3" s="1">
        <v>0</v>
      </c>
      <c r="AK3" s="1">
        <v>0</v>
      </c>
      <c r="AL3" s="1">
        <v>1</v>
      </c>
      <c r="AM3" s="1">
        <v>86400</v>
      </c>
      <c r="AN3" s="1">
        <v>78480</v>
      </c>
      <c r="AO3" s="1">
        <v>7920</v>
      </c>
      <c r="AP3" s="1">
        <v>43381</v>
      </c>
      <c r="AQ3" s="1">
        <v>4.7032532732046244</v>
      </c>
    </row>
    <row r="4" spans="1:43" x14ac:dyDescent="0.45">
      <c r="A4" s="1">
        <v>3</v>
      </c>
      <c r="B4" s="1">
        <v>1</v>
      </c>
      <c r="C4" s="1">
        <v>90</v>
      </c>
      <c r="D4" s="1" t="s">
        <v>43</v>
      </c>
      <c r="E4" s="1" t="s">
        <v>44</v>
      </c>
      <c r="F4" s="1" t="s">
        <v>45</v>
      </c>
      <c r="G4" s="1" t="s">
        <v>46</v>
      </c>
      <c r="H4" s="1" t="s">
        <v>47</v>
      </c>
      <c r="I4" s="1">
        <v>535</v>
      </c>
      <c r="J4" s="1">
        <v>12723</v>
      </c>
      <c r="K4" s="1">
        <v>1</v>
      </c>
      <c r="L4" s="1">
        <v>89</v>
      </c>
      <c r="M4" s="1">
        <v>1604</v>
      </c>
      <c r="N4" s="1" t="s">
        <v>48</v>
      </c>
      <c r="O4" s="1">
        <v>20406</v>
      </c>
      <c r="P4" s="1">
        <v>94</v>
      </c>
      <c r="Q4" s="1" t="s">
        <v>125</v>
      </c>
      <c r="R4" s="1" t="s">
        <v>50</v>
      </c>
      <c r="S4" s="1">
        <v>0</v>
      </c>
      <c r="T4" s="1">
        <v>0</v>
      </c>
      <c r="U4" s="1">
        <v>69.885999999999996</v>
      </c>
      <c r="V4" s="1">
        <v>24.724</v>
      </c>
      <c r="W4" s="1">
        <v>0.56999999999999995</v>
      </c>
      <c r="X4" s="1">
        <v>0.41399999999999998</v>
      </c>
      <c r="Y4" s="1">
        <v>25.138999999999999</v>
      </c>
      <c r="Z4" s="1">
        <v>8.4000000000000005E-2</v>
      </c>
      <c r="AA4" s="1">
        <v>-2.7</v>
      </c>
      <c r="AB4" s="1">
        <v>-2.7</v>
      </c>
      <c r="AC4" s="1">
        <v>-2.7</v>
      </c>
      <c r="AD4" s="1">
        <v>0.41399999999999998</v>
      </c>
      <c r="AE4" s="1">
        <v>8.4000000000000005E-2</v>
      </c>
      <c r="AF4" s="1">
        <v>3.5000000000000003E-2</v>
      </c>
      <c r="AG4" s="1">
        <v>-2.7</v>
      </c>
      <c r="AI4" s="1">
        <v>0</v>
      </c>
      <c r="AJ4" s="1">
        <v>0</v>
      </c>
      <c r="AK4" s="1">
        <v>0</v>
      </c>
      <c r="AL4" s="1">
        <v>1</v>
      </c>
      <c r="AM4" s="1">
        <v>86400</v>
      </c>
      <c r="AN4" s="1">
        <v>81739</v>
      </c>
      <c r="AO4" s="1">
        <v>4661</v>
      </c>
      <c r="AP4" s="1">
        <v>43400</v>
      </c>
      <c r="AQ4" s="1">
        <v>14.25374788192698</v>
      </c>
    </row>
    <row r="5" spans="1:43" x14ac:dyDescent="0.45">
      <c r="A5" s="1">
        <v>4</v>
      </c>
      <c r="B5" s="1">
        <v>1</v>
      </c>
      <c r="C5" s="1">
        <v>90</v>
      </c>
      <c r="D5" s="1" t="s">
        <v>43</v>
      </c>
      <c r="E5" s="1" t="s">
        <v>44</v>
      </c>
      <c r="F5" s="1" t="s">
        <v>45</v>
      </c>
      <c r="G5" s="1" t="s">
        <v>46</v>
      </c>
      <c r="H5" s="1" t="s">
        <v>47</v>
      </c>
      <c r="I5" s="1">
        <v>535</v>
      </c>
      <c r="J5" s="1">
        <v>12723</v>
      </c>
      <c r="K5" s="1">
        <v>1</v>
      </c>
      <c r="L5" s="1">
        <v>89</v>
      </c>
      <c r="M5" s="1">
        <v>1605</v>
      </c>
      <c r="N5" s="1" t="s">
        <v>48</v>
      </c>
      <c r="O5" s="1">
        <v>20409</v>
      </c>
      <c r="P5" s="1">
        <v>94</v>
      </c>
      <c r="Q5" s="1" t="s">
        <v>125</v>
      </c>
      <c r="R5" s="1" t="s">
        <v>50</v>
      </c>
      <c r="S5" s="1">
        <v>0</v>
      </c>
      <c r="T5" s="1">
        <v>0</v>
      </c>
      <c r="U5" s="1">
        <v>197.97900000000001</v>
      </c>
      <c r="V5" s="1">
        <v>24.911999999999999</v>
      </c>
      <c r="W5" s="1">
        <v>0.54</v>
      </c>
      <c r="X5" s="1">
        <v>0.22800000000000001</v>
      </c>
      <c r="Y5" s="1">
        <v>25.138999999999999</v>
      </c>
      <c r="Z5" s="1">
        <v>0.23</v>
      </c>
      <c r="AA5" s="1">
        <v>-2.2999999999999998</v>
      </c>
      <c r="AB5" s="1">
        <v>-2.2999999999999998</v>
      </c>
      <c r="AC5" s="1">
        <v>-2.2999999999999998</v>
      </c>
      <c r="AD5" s="1">
        <v>0.22800000000000001</v>
      </c>
      <c r="AE5" s="1">
        <v>0.22900000000000001</v>
      </c>
      <c r="AF5" s="1">
        <v>5.1999999999999998E-2</v>
      </c>
      <c r="AG5" s="1">
        <v>-2.2999999999999998</v>
      </c>
      <c r="AI5" s="1">
        <v>0</v>
      </c>
      <c r="AJ5" s="1">
        <v>0</v>
      </c>
      <c r="AK5" s="1">
        <v>0</v>
      </c>
      <c r="AL5" s="1">
        <v>1</v>
      </c>
      <c r="AM5" s="1">
        <v>86400</v>
      </c>
      <c r="AN5" s="1">
        <v>81104</v>
      </c>
      <c r="AO5" s="1">
        <v>5296</v>
      </c>
      <c r="AP5" s="1">
        <v>43396</v>
      </c>
      <c r="AQ5" s="1">
        <v>15.34256373566652</v>
      </c>
    </row>
    <row r="6" spans="1:43" x14ac:dyDescent="0.45">
      <c r="A6" s="1">
        <v>5</v>
      </c>
      <c r="B6" s="1">
        <v>1</v>
      </c>
      <c r="C6" s="1">
        <v>90</v>
      </c>
      <c r="D6" s="1" t="s">
        <v>43</v>
      </c>
      <c r="E6" s="1" t="s">
        <v>44</v>
      </c>
      <c r="F6" s="1" t="s">
        <v>45</v>
      </c>
      <c r="G6" s="1" t="s">
        <v>46</v>
      </c>
      <c r="H6" s="1" t="s">
        <v>47</v>
      </c>
      <c r="I6" s="1">
        <v>535</v>
      </c>
      <c r="J6" s="1">
        <v>12723</v>
      </c>
      <c r="K6" s="1">
        <v>1</v>
      </c>
      <c r="L6" s="1">
        <v>89</v>
      </c>
      <c r="M6" s="1">
        <v>1606</v>
      </c>
      <c r="N6" s="1" t="s">
        <v>48</v>
      </c>
      <c r="O6" s="1">
        <v>20411</v>
      </c>
      <c r="P6" s="1">
        <v>94</v>
      </c>
      <c r="Q6" s="1" t="s">
        <v>125</v>
      </c>
      <c r="R6" s="1" t="s">
        <v>50</v>
      </c>
      <c r="S6" s="1">
        <v>0</v>
      </c>
      <c r="T6" s="1">
        <v>0</v>
      </c>
      <c r="U6" s="1">
        <v>128.02099999999999</v>
      </c>
      <c r="V6" s="1">
        <v>24.83</v>
      </c>
      <c r="W6" s="1">
        <v>0.55000000000000004</v>
      </c>
      <c r="X6" s="1">
        <v>0.30499999999999999</v>
      </c>
      <c r="Y6" s="1">
        <v>25.135000000000002</v>
      </c>
      <c r="Z6" s="1">
        <v>0.20399999999999999</v>
      </c>
      <c r="AA6" s="1">
        <v>-1.4</v>
      </c>
      <c r="AB6" s="1">
        <v>-1.4</v>
      </c>
      <c r="AC6" s="1">
        <v>-1.4</v>
      </c>
      <c r="AD6" s="1">
        <v>0.30499999999999999</v>
      </c>
      <c r="AE6" s="1">
        <v>0.20300000000000001</v>
      </c>
      <c r="AF6" s="1">
        <v>6.2E-2</v>
      </c>
      <c r="AG6" s="1">
        <v>-1.4</v>
      </c>
      <c r="AI6" s="1">
        <v>0</v>
      </c>
      <c r="AJ6" s="1">
        <v>0</v>
      </c>
      <c r="AK6" s="1">
        <v>0</v>
      </c>
      <c r="AL6" s="1">
        <v>1</v>
      </c>
      <c r="AM6" s="1">
        <v>86400</v>
      </c>
      <c r="AN6" s="1">
        <v>81315</v>
      </c>
      <c r="AO6" s="1">
        <v>5085</v>
      </c>
      <c r="AP6" s="1">
        <v>43455</v>
      </c>
      <c r="AQ6" s="1">
        <v>28.711608171234531</v>
      </c>
    </row>
    <row r="7" spans="1:43" x14ac:dyDescent="0.45">
      <c r="A7" s="1">
        <v>6</v>
      </c>
      <c r="B7" s="1">
        <v>26</v>
      </c>
      <c r="C7" s="1">
        <v>126</v>
      </c>
      <c r="D7" s="1" t="s">
        <v>51</v>
      </c>
      <c r="E7" s="1" t="s">
        <v>52</v>
      </c>
      <c r="F7" s="1" t="s">
        <v>53</v>
      </c>
      <c r="G7" s="1" t="s">
        <v>54</v>
      </c>
      <c r="H7" s="1" t="s">
        <v>47</v>
      </c>
      <c r="I7" s="1">
        <v>1113</v>
      </c>
      <c r="J7" s="1">
        <v>60690</v>
      </c>
      <c r="K7" s="1">
        <v>1</v>
      </c>
      <c r="L7" s="1">
        <v>125</v>
      </c>
      <c r="M7" s="1">
        <v>787</v>
      </c>
      <c r="N7" s="1" t="s">
        <v>48</v>
      </c>
      <c r="O7" s="1">
        <v>13852</v>
      </c>
      <c r="P7" s="1">
        <v>94</v>
      </c>
      <c r="Q7" s="1" t="s">
        <v>125</v>
      </c>
      <c r="R7" s="1" t="s">
        <v>50</v>
      </c>
      <c r="S7" s="1">
        <v>0</v>
      </c>
      <c r="T7" s="1">
        <v>0</v>
      </c>
      <c r="U7" s="1">
        <v>170.934</v>
      </c>
      <c r="V7" s="1">
        <v>24.483000000000001</v>
      </c>
      <c r="W7" s="1">
        <v>0.52</v>
      </c>
      <c r="X7" s="1">
        <v>0.127</v>
      </c>
      <c r="Y7" s="1">
        <v>24.61</v>
      </c>
      <c r="Z7" s="1">
        <v>0.46400000000000002</v>
      </c>
      <c r="AA7" s="1">
        <v>0.1</v>
      </c>
      <c r="AB7" s="1">
        <v>-0.1</v>
      </c>
      <c r="AC7" s="1">
        <v>-0.1</v>
      </c>
      <c r="AD7" s="1">
        <v>0.127</v>
      </c>
      <c r="AE7" s="1">
        <v>0.45100000000000001</v>
      </c>
      <c r="AF7" s="1">
        <v>5.7000000000000002E-2</v>
      </c>
      <c r="AG7" s="1">
        <v>0.1</v>
      </c>
      <c r="AI7" s="1">
        <v>0</v>
      </c>
      <c r="AJ7" s="1">
        <v>0</v>
      </c>
      <c r="AK7" s="1">
        <v>0</v>
      </c>
      <c r="AL7" s="1">
        <v>1</v>
      </c>
      <c r="AM7" s="1">
        <v>50942</v>
      </c>
      <c r="AN7" s="1">
        <v>7646</v>
      </c>
      <c r="AO7" s="1">
        <v>43296</v>
      </c>
      <c r="AP7" s="1">
        <v>50135</v>
      </c>
      <c r="AQ7" s="1">
        <v>1.0166460238070201</v>
      </c>
    </row>
    <row r="8" spans="1:43" x14ac:dyDescent="0.45">
      <c r="A8" s="1">
        <v>7</v>
      </c>
      <c r="B8" s="1">
        <v>26</v>
      </c>
      <c r="C8" s="1">
        <v>126</v>
      </c>
      <c r="D8" s="1" t="s">
        <v>51</v>
      </c>
      <c r="E8" s="1" t="s">
        <v>52</v>
      </c>
      <c r="F8" s="1" t="s">
        <v>53</v>
      </c>
      <c r="G8" s="1" t="s">
        <v>54</v>
      </c>
      <c r="H8" s="1" t="s">
        <v>47</v>
      </c>
      <c r="I8" s="1">
        <v>1113</v>
      </c>
      <c r="J8" s="1">
        <v>60690</v>
      </c>
      <c r="K8" s="1">
        <v>1</v>
      </c>
      <c r="L8" s="1">
        <v>125</v>
      </c>
      <c r="M8" s="1">
        <v>803</v>
      </c>
      <c r="N8" s="1" t="s">
        <v>48</v>
      </c>
      <c r="O8" s="1">
        <v>13931</v>
      </c>
      <c r="P8" s="1">
        <v>94</v>
      </c>
      <c r="Q8" s="1" t="s">
        <v>125</v>
      </c>
      <c r="R8" s="1" t="s">
        <v>50</v>
      </c>
      <c r="S8" s="1">
        <v>0</v>
      </c>
      <c r="T8" s="1">
        <v>0</v>
      </c>
      <c r="U8" s="1">
        <v>114.378</v>
      </c>
      <c r="V8" s="1">
        <v>26.774000000000001</v>
      </c>
      <c r="W8" s="1">
        <v>0.64</v>
      </c>
      <c r="X8" s="1">
        <v>0.58599999999999997</v>
      </c>
      <c r="Y8" s="1">
        <v>27.359000000000002</v>
      </c>
      <c r="Z8" s="1">
        <v>0.96</v>
      </c>
      <c r="AA8" s="1">
        <v>0.9</v>
      </c>
      <c r="AB8" s="1">
        <v>0.9</v>
      </c>
      <c r="AC8" s="1">
        <v>0.9</v>
      </c>
      <c r="AD8" s="1">
        <v>0.58599999999999997</v>
      </c>
      <c r="AE8" s="1">
        <v>0.95899999999999996</v>
      </c>
      <c r="AF8" s="1">
        <v>0.56200000000000006</v>
      </c>
      <c r="AG8" s="1">
        <v>0.9</v>
      </c>
      <c r="AI8" s="1">
        <v>0</v>
      </c>
      <c r="AJ8" s="1">
        <v>0</v>
      </c>
      <c r="AK8" s="1">
        <v>0</v>
      </c>
      <c r="AL8" s="1">
        <v>1</v>
      </c>
      <c r="AM8" s="1">
        <v>86400</v>
      </c>
      <c r="AN8" s="1">
        <v>81640</v>
      </c>
      <c r="AO8" s="1">
        <v>4760</v>
      </c>
      <c r="AP8" s="1">
        <v>47051</v>
      </c>
      <c r="AQ8" s="1">
        <v>14.726650808541009</v>
      </c>
    </row>
    <row r="9" spans="1:43" x14ac:dyDescent="0.45">
      <c r="A9" s="1">
        <v>8</v>
      </c>
      <c r="B9" s="1">
        <v>26</v>
      </c>
      <c r="C9" s="1">
        <v>126</v>
      </c>
      <c r="D9" s="1" t="s">
        <v>51</v>
      </c>
      <c r="E9" s="1" t="s">
        <v>52</v>
      </c>
      <c r="F9" s="1" t="s">
        <v>53</v>
      </c>
      <c r="G9" s="1" t="s">
        <v>54</v>
      </c>
      <c r="H9" s="1" t="s">
        <v>47</v>
      </c>
      <c r="I9" s="1">
        <v>1113</v>
      </c>
      <c r="J9" s="1">
        <v>60690</v>
      </c>
      <c r="K9" s="1">
        <v>1</v>
      </c>
      <c r="L9" s="1">
        <v>125</v>
      </c>
      <c r="M9" s="1">
        <v>804</v>
      </c>
      <c r="N9" s="1" t="s">
        <v>48</v>
      </c>
      <c r="O9" s="1">
        <v>13937</v>
      </c>
      <c r="P9" s="1">
        <v>94</v>
      </c>
      <c r="Q9" s="1" t="s">
        <v>125</v>
      </c>
      <c r="R9" s="1" t="s">
        <v>50</v>
      </c>
      <c r="S9" s="1">
        <v>0</v>
      </c>
      <c r="T9" s="1">
        <v>0</v>
      </c>
      <c r="U9" s="1">
        <v>96.623000000000005</v>
      </c>
      <c r="V9" s="1">
        <v>25.923999999999999</v>
      </c>
      <c r="W9" s="1">
        <v>1.26</v>
      </c>
      <c r="X9" s="1">
        <v>1.0209999999999999</v>
      </c>
      <c r="Y9" s="1">
        <v>26.945</v>
      </c>
      <c r="Z9" s="1">
        <v>1.113</v>
      </c>
      <c r="AA9" s="1">
        <v>0.5</v>
      </c>
      <c r="AB9" s="1">
        <v>0.5</v>
      </c>
      <c r="AC9" s="1">
        <v>0.5</v>
      </c>
      <c r="AD9" s="1">
        <v>1.0209999999999999</v>
      </c>
      <c r="AE9" s="1">
        <v>1.1120000000000001</v>
      </c>
      <c r="AF9" s="1">
        <v>1.135</v>
      </c>
      <c r="AG9" s="1">
        <v>0.5</v>
      </c>
      <c r="AI9" s="1">
        <v>0</v>
      </c>
      <c r="AJ9" s="1">
        <v>0</v>
      </c>
      <c r="AK9" s="1">
        <v>0</v>
      </c>
      <c r="AL9" s="1">
        <v>1</v>
      </c>
      <c r="AM9" s="1">
        <v>86400</v>
      </c>
      <c r="AN9" s="1">
        <v>81743</v>
      </c>
      <c r="AO9" s="1">
        <v>4657</v>
      </c>
      <c r="AP9" s="1">
        <v>46864</v>
      </c>
      <c r="AQ9" s="1">
        <v>13.826346560234111</v>
      </c>
    </row>
    <row r="10" spans="1:43" x14ac:dyDescent="0.45">
      <c r="A10" s="1">
        <v>9</v>
      </c>
      <c r="B10" s="1">
        <v>26</v>
      </c>
      <c r="C10" s="1">
        <v>126</v>
      </c>
      <c r="D10" s="1" t="s">
        <v>51</v>
      </c>
      <c r="E10" s="1" t="s">
        <v>52</v>
      </c>
      <c r="F10" s="1" t="s">
        <v>53</v>
      </c>
      <c r="G10" s="1" t="s">
        <v>54</v>
      </c>
      <c r="H10" s="1" t="s">
        <v>47</v>
      </c>
      <c r="I10" s="1">
        <v>1113</v>
      </c>
      <c r="J10" s="1">
        <v>60690</v>
      </c>
      <c r="K10" s="1">
        <v>1</v>
      </c>
      <c r="L10" s="1">
        <v>125</v>
      </c>
      <c r="M10" s="1">
        <v>805</v>
      </c>
      <c r="N10" s="1" t="s">
        <v>48</v>
      </c>
      <c r="O10" s="1">
        <v>13939</v>
      </c>
      <c r="P10" s="1">
        <v>94</v>
      </c>
      <c r="Q10" s="1" t="s">
        <v>125</v>
      </c>
      <c r="R10" s="1" t="s">
        <v>50</v>
      </c>
      <c r="S10" s="1">
        <v>0</v>
      </c>
      <c r="T10" s="1">
        <v>0</v>
      </c>
      <c r="U10" s="1">
        <v>50.188000000000002</v>
      </c>
      <c r="V10" s="1">
        <v>26.661999999999999</v>
      </c>
      <c r="W10" s="1">
        <v>0.56999999999999995</v>
      </c>
      <c r="X10" s="1">
        <v>0.28899999999999998</v>
      </c>
      <c r="Y10" s="1">
        <v>26.95</v>
      </c>
      <c r="Z10" s="1">
        <v>1.1120000000000001</v>
      </c>
      <c r="AA10" s="1">
        <v>0.5</v>
      </c>
      <c r="AB10" s="1">
        <v>0.5</v>
      </c>
      <c r="AC10" s="1">
        <v>0.5</v>
      </c>
      <c r="AD10" s="1">
        <v>0.28899999999999998</v>
      </c>
      <c r="AE10" s="1">
        <v>1.111</v>
      </c>
      <c r="AF10" s="1">
        <v>0.32</v>
      </c>
      <c r="AG10" s="1">
        <v>0.5</v>
      </c>
      <c r="AI10" s="1">
        <v>0</v>
      </c>
      <c r="AJ10" s="1">
        <v>0</v>
      </c>
      <c r="AK10" s="1">
        <v>0</v>
      </c>
      <c r="AL10" s="1">
        <v>1</v>
      </c>
      <c r="AM10" s="1">
        <v>86400</v>
      </c>
      <c r="AN10" s="1">
        <v>75788</v>
      </c>
      <c r="AO10" s="1">
        <v>10612</v>
      </c>
      <c r="AP10" s="1">
        <v>46915</v>
      </c>
      <c r="AQ10" s="1">
        <v>2.0159687930275378</v>
      </c>
    </row>
    <row r="11" spans="1:43" x14ac:dyDescent="0.45">
      <c r="A11" s="1">
        <v>10</v>
      </c>
      <c r="B11" s="1">
        <v>26</v>
      </c>
      <c r="C11" s="1">
        <v>126</v>
      </c>
      <c r="D11" s="1" t="s">
        <v>51</v>
      </c>
      <c r="E11" s="1" t="s">
        <v>52</v>
      </c>
      <c r="F11" s="1" t="s">
        <v>53</v>
      </c>
      <c r="G11" s="1" t="s">
        <v>54</v>
      </c>
      <c r="H11" s="1" t="s">
        <v>47</v>
      </c>
      <c r="I11" s="1">
        <v>1113</v>
      </c>
      <c r="J11" s="1">
        <v>60690</v>
      </c>
      <c r="K11" s="1">
        <v>1</v>
      </c>
      <c r="L11" s="1">
        <v>125</v>
      </c>
      <c r="M11" s="1">
        <v>806</v>
      </c>
      <c r="N11" s="1" t="s">
        <v>48</v>
      </c>
      <c r="O11" s="1">
        <v>13942</v>
      </c>
      <c r="P11" s="1">
        <v>94</v>
      </c>
      <c r="Q11" s="1" t="s">
        <v>125</v>
      </c>
      <c r="R11" s="1" t="s">
        <v>50</v>
      </c>
      <c r="S11" s="1">
        <v>0</v>
      </c>
      <c r="T11" s="1">
        <v>0</v>
      </c>
      <c r="U11" s="1">
        <v>103.935</v>
      </c>
      <c r="V11" s="1">
        <v>26.231999999999999</v>
      </c>
      <c r="W11" s="1">
        <v>0.55000000000000004</v>
      </c>
      <c r="X11" s="1">
        <v>0.187</v>
      </c>
      <c r="Y11" s="1">
        <v>26.419</v>
      </c>
      <c r="Z11" s="1">
        <v>1.4570000000000001</v>
      </c>
      <c r="AA11" s="1">
        <v>0.7</v>
      </c>
      <c r="AB11" s="1">
        <v>0.7</v>
      </c>
      <c r="AC11" s="1">
        <v>0.7</v>
      </c>
      <c r="AD11" s="1">
        <v>0.187</v>
      </c>
      <c r="AE11" s="1">
        <v>1.454</v>
      </c>
      <c r="AF11" s="1">
        <v>0.27300000000000002</v>
      </c>
      <c r="AG11" s="1">
        <v>0.7</v>
      </c>
      <c r="AI11" s="1">
        <v>0</v>
      </c>
      <c r="AJ11" s="1">
        <v>0</v>
      </c>
      <c r="AK11" s="1">
        <v>0</v>
      </c>
      <c r="AL11" s="1">
        <v>1</v>
      </c>
      <c r="AM11" s="1">
        <v>86400</v>
      </c>
      <c r="AN11" s="1">
        <v>81647</v>
      </c>
      <c r="AO11" s="1">
        <v>4753</v>
      </c>
      <c r="AP11" s="1">
        <v>46867</v>
      </c>
      <c r="AQ11" s="1">
        <v>13.86191296548439</v>
      </c>
    </row>
    <row r="12" spans="1:43" x14ac:dyDescent="0.45">
      <c r="A12" s="1">
        <v>11</v>
      </c>
      <c r="B12" s="1">
        <v>26</v>
      </c>
      <c r="C12" s="1">
        <v>126</v>
      </c>
      <c r="D12" s="1" t="s">
        <v>51</v>
      </c>
      <c r="E12" s="1" t="s">
        <v>52</v>
      </c>
      <c r="F12" s="1" t="s">
        <v>53</v>
      </c>
      <c r="G12" s="1" t="s">
        <v>54</v>
      </c>
      <c r="H12" s="1" t="s">
        <v>47</v>
      </c>
      <c r="I12" s="1">
        <v>1113</v>
      </c>
      <c r="J12" s="1">
        <v>60690</v>
      </c>
      <c r="K12" s="1">
        <v>1</v>
      </c>
      <c r="L12" s="1">
        <v>125</v>
      </c>
      <c r="M12" s="1">
        <v>807</v>
      </c>
      <c r="N12" s="1" t="s">
        <v>48</v>
      </c>
      <c r="O12" s="1">
        <v>13945</v>
      </c>
      <c r="P12" s="1">
        <v>94</v>
      </c>
      <c r="Q12" s="1" t="s">
        <v>125</v>
      </c>
      <c r="R12" s="1" t="s">
        <v>50</v>
      </c>
      <c r="S12" s="1">
        <v>0</v>
      </c>
      <c r="T12" s="1">
        <v>0</v>
      </c>
      <c r="U12" s="1">
        <v>106.988</v>
      </c>
      <c r="V12" s="1">
        <v>25.702000000000002</v>
      </c>
      <c r="W12" s="1">
        <v>0.53</v>
      </c>
      <c r="X12" s="1">
        <v>0.106</v>
      </c>
      <c r="Y12" s="1">
        <v>25.808</v>
      </c>
      <c r="Z12" s="1">
        <v>1.3959999999999999</v>
      </c>
      <c r="AA12" s="1">
        <v>0.6</v>
      </c>
      <c r="AB12" s="1">
        <v>0.6</v>
      </c>
      <c r="AC12" s="1">
        <v>0.6</v>
      </c>
      <c r="AD12" s="1">
        <v>0.106</v>
      </c>
      <c r="AE12" s="1">
        <v>1.393</v>
      </c>
      <c r="AF12" s="1">
        <v>0.14799999999999999</v>
      </c>
      <c r="AG12" s="1">
        <v>0.6</v>
      </c>
      <c r="AI12" s="1">
        <v>0</v>
      </c>
      <c r="AJ12" s="1">
        <v>0</v>
      </c>
      <c r="AK12" s="1">
        <v>0</v>
      </c>
      <c r="AL12" s="1">
        <v>1</v>
      </c>
      <c r="AM12" s="1">
        <v>61206</v>
      </c>
      <c r="AN12" s="1">
        <v>25142</v>
      </c>
      <c r="AO12" s="1">
        <v>36065</v>
      </c>
      <c r="AP12" s="1">
        <v>46863</v>
      </c>
      <c r="AQ12" s="1">
        <v>13.749771714924229</v>
      </c>
    </row>
    <row r="13" spans="1:43" x14ac:dyDescent="0.45">
      <c r="A13" s="1">
        <v>12</v>
      </c>
      <c r="B13" s="1">
        <v>26</v>
      </c>
      <c r="C13" s="1">
        <v>126</v>
      </c>
      <c r="D13" s="1" t="s">
        <v>51</v>
      </c>
      <c r="E13" s="1" t="s">
        <v>52</v>
      </c>
      <c r="F13" s="1" t="s">
        <v>53</v>
      </c>
      <c r="G13" s="1" t="s">
        <v>54</v>
      </c>
      <c r="H13" s="1" t="s">
        <v>47</v>
      </c>
      <c r="I13" s="1">
        <v>1113</v>
      </c>
      <c r="J13" s="1">
        <v>60690</v>
      </c>
      <c r="K13" s="1">
        <v>1</v>
      </c>
      <c r="L13" s="1">
        <v>125</v>
      </c>
      <c r="M13" s="1">
        <v>808</v>
      </c>
      <c r="N13" s="1" t="s">
        <v>48</v>
      </c>
      <c r="O13" s="1">
        <v>13947</v>
      </c>
      <c r="P13" s="1">
        <v>94</v>
      </c>
      <c r="Q13" s="1" t="s">
        <v>125</v>
      </c>
      <c r="R13" s="1" t="s">
        <v>50</v>
      </c>
      <c r="S13" s="1">
        <v>0</v>
      </c>
      <c r="T13" s="1">
        <v>0</v>
      </c>
      <c r="U13" s="1">
        <v>65.254999999999995</v>
      </c>
      <c r="V13" s="1">
        <v>25.541</v>
      </c>
      <c r="W13" s="1">
        <v>0.55000000000000004</v>
      </c>
      <c r="X13" s="1">
        <v>0.185</v>
      </c>
      <c r="Y13" s="1">
        <v>25.725999999999999</v>
      </c>
      <c r="Z13" s="1">
        <v>1.262</v>
      </c>
      <c r="AA13" s="1">
        <v>1</v>
      </c>
      <c r="AB13" s="1">
        <v>1</v>
      </c>
      <c r="AC13" s="1">
        <v>1</v>
      </c>
      <c r="AD13" s="1">
        <v>0.185</v>
      </c>
      <c r="AE13" s="1">
        <v>1.26</v>
      </c>
      <c r="AF13" s="1">
        <v>0.23300000000000001</v>
      </c>
      <c r="AG13" s="1">
        <v>1</v>
      </c>
      <c r="AI13" s="1">
        <v>0</v>
      </c>
      <c r="AJ13" s="1">
        <v>0</v>
      </c>
      <c r="AK13" s="1">
        <v>0</v>
      </c>
      <c r="AL13" s="1">
        <v>1</v>
      </c>
      <c r="AM13" s="1">
        <v>86400</v>
      </c>
      <c r="AN13" s="1">
        <v>81907</v>
      </c>
      <c r="AO13" s="1">
        <v>4493</v>
      </c>
      <c r="AP13" s="1">
        <v>46858</v>
      </c>
      <c r="AQ13" s="1">
        <v>8.1583103042716871</v>
      </c>
    </row>
    <row r="14" spans="1:43" x14ac:dyDescent="0.45">
      <c r="A14" s="1">
        <v>13</v>
      </c>
      <c r="B14" s="1">
        <v>26</v>
      </c>
      <c r="C14" s="1">
        <v>126</v>
      </c>
      <c r="D14" s="1" t="s">
        <v>51</v>
      </c>
      <c r="E14" s="1" t="s">
        <v>52</v>
      </c>
      <c r="F14" s="1" t="s">
        <v>53</v>
      </c>
      <c r="G14" s="1" t="s">
        <v>54</v>
      </c>
      <c r="H14" s="1" t="s">
        <v>47</v>
      </c>
      <c r="I14" s="1">
        <v>1113</v>
      </c>
      <c r="J14" s="1">
        <v>60690</v>
      </c>
      <c r="K14" s="1">
        <v>1</v>
      </c>
      <c r="L14" s="1">
        <v>125</v>
      </c>
      <c r="M14" s="1">
        <v>809</v>
      </c>
      <c r="N14" s="1" t="s">
        <v>48</v>
      </c>
      <c r="O14" s="1">
        <v>13948</v>
      </c>
      <c r="P14" s="1">
        <v>94</v>
      </c>
      <c r="Q14" s="1" t="s">
        <v>125</v>
      </c>
      <c r="R14" s="1" t="s">
        <v>50</v>
      </c>
      <c r="S14" s="1">
        <v>0</v>
      </c>
      <c r="T14" s="1">
        <v>0</v>
      </c>
      <c r="U14" s="1">
        <v>78.772000000000006</v>
      </c>
      <c r="V14" s="1">
        <v>25.585000000000001</v>
      </c>
      <c r="W14" s="1">
        <v>0.54</v>
      </c>
      <c r="X14" s="1">
        <v>0.125</v>
      </c>
      <c r="Y14" s="1">
        <v>25.71</v>
      </c>
      <c r="Z14" s="1">
        <v>1.514</v>
      </c>
      <c r="AA14" s="1">
        <v>0.9</v>
      </c>
      <c r="AB14" s="1">
        <v>0.9</v>
      </c>
      <c r="AC14" s="1">
        <v>0.9</v>
      </c>
      <c r="AD14" s="1">
        <v>0.125</v>
      </c>
      <c r="AE14" s="1">
        <v>1.5129999999999999</v>
      </c>
      <c r="AF14" s="1">
        <v>0.189</v>
      </c>
      <c r="AG14" s="1">
        <v>0.9</v>
      </c>
      <c r="AI14" s="1">
        <v>0</v>
      </c>
      <c r="AJ14" s="1">
        <v>0</v>
      </c>
      <c r="AK14" s="1">
        <v>0</v>
      </c>
      <c r="AL14" s="1">
        <v>1</v>
      </c>
      <c r="AM14" s="1">
        <v>86400</v>
      </c>
      <c r="AN14" s="1">
        <v>69108</v>
      </c>
      <c r="AO14" s="1">
        <v>17292</v>
      </c>
      <c r="AP14" s="1">
        <v>46854</v>
      </c>
      <c r="AQ14" s="1">
        <v>3.1463352407707261</v>
      </c>
    </row>
    <row r="15" spans="1:43" x14ac:dyDescent="0.45">
      <c r="A15" s="1">
        <v>14</v>
      </c>
      <c r="B15" s="1">
        <v>26</v>
      </c>
      <c r="C15" s="1">
        <v>126</v>
      </c>
      <c r="D15" s="1" t="s">
        <v>51</v>
      </c>
      <c r="E15" s="1" t="s">
        <v>52</v>
      </c>
      <c r="F15" s="1" t="s">
        <v>53</v>
      </c>
      <c r="G15" s="1" t="s">
        <v>54</v>
      </c>
      <c r="H15" s="1" t="s">
        <v>47</v>
      </c>
      <c r="I15" s="1">
        <v>1113</v>
      </c>
      <c r="J15" s="1">
        <v>60690</v>
      </c>
      <c r="K15" s="1">
        <v>1</v>
      </c>
      <c r="L15" s="1">
        <v>125</v>
      </c>
      <c r="M15" s="1">
        <v>811</v>
      </c>
      <c r="N15" s="1" t="s">
        <v>48</v>
      </c>
      <c r="O15" s="1">
        <v>13980</v>
      </c>
      <c r="P15" s="1">
        <v>94</v>
      </c>
      <c r="Q15" s="1" t="s">
        <v>125</v>
      </c>
      <c r="R15" s="1" t="s">
        <v>50</v>
      </c>
      <c r="S15" s="1">
        <v>0</v>
      </c>
      <c r="T15" s="1">
        <v>0</v>
      </c>
      <c r="U15" s="1">
        <v>129.672</v>
      </c>
      <c r="V15" s="1">
        <v>26.687000000000001</v>
      </c>
      <c r="W15" s="1">
        <v>1.25</v>
      </c>
      <c r="X15" s="1">
        <v>1.2649999999999999</v>
      </c>
      <c r="Y15" s="1">
        <v>27.952000000000002</v>
      </c>
      <c r="Z15" s="1">
        <v>0.48499999999999999</v>
      </c>
      <c r="AA15" s="1">
        <v>1.7</v>
      </c>
      <c r="AB15" s="1">
        <v>1.7</v>
      </c>
      <c r="AC15" s="1">
        <v>1.7</v>
      </c>
      <c r="AD15" s="1">
        <v>1.2649999999999999</v>
      </c>
      <c r="AE15" s="1">
        <v>0.48399999999999999</v>
      </c>
      <c r="AF15" s="1">
        <v>0.61299999999999999</v>
      </c>
      <c r="AG15" s="1">
        <v>1.7</v>
      </c>
      <c r="AI15" s="1">
        <v>0</v>
      </c>
      <c r="AJ15" s="1">
        <v>0</v>
      </c>
      <c r="AK15" s="1">
        <v>0</v>
      </c>
      <c r="AL15" s="1">
        <v>1</v>
      </c>
      <c r="AM15" s="1">
        <v>86400</v>
      </c>
      <c r="AN15" s="1">
        <v>81798</v>
      </c>
      <c r="AO15" s="1">
        <v>4602</v>
      </c>
      <c r="AP15" s="1">
        <v>46959</v>
      </c>
      <c r="AQ15" s="1">
        <v>16.446085103472111</v>
      </c>
    </row>
    <row r="16" spans="1:43" x14ac:dyDescent="0.45">
      <c r="A16" s="1">
        <v>15</v>
      </c>
      <c r="B16" s="1">
        <v>26</v>
      </c>
      <c r="C16" s="1">
        <v>126</v>
      </c>
      <c r="D16" s="1" t="s">
        <v>51</v>
      </c>
      <c r="E16" s="1" t="s">
        <v>52</v>
      </c>
      <c r="F16" s="1" t="s">
        <v>53</v>
      </c>
      <c r="G16" s="1" t="s">
        <v>54</v>
      </c>
      <c r="H16" s="1" t="s">
        <v>47</v>
      </c>
      <c r="I16" s="1">
        <v>1113</v>
      </c>
      <c r="J16" s="1">
        <v>60690</v>
      </c>
      <c r="K16" s="1">
        <v>1</v>
      </c>
      <c r="L16" s="1">
        <v>125</v>
      </c>
      <c r="M16" s="1">
        <v>812</v>
      </c>
      <c r="N16" s="1" t="s">
        <v>48</v>
      </c>
      <c r="O16" s="1">
        <v>13981</v>
      </c>
      <c r="P16" s="1">
        <v>94</v>
      </c>
      <c r="Q16" s="1" t="s">
        <v>125</v>
      </c>
      <c r="R16" s="1" t="s">
        <v>50</v>
      </c>
      <c r="S16" s="1">
        <v>0</v>
      </c>
      <c r="T16" s="1">
        <v>0</v>
      </c>
      <c r="U16" s="1">
        <v>101.494</v>
      </c>
      <c r="V16" s="1">
        <v>27.503</v>
      </c>
      <c r="W16" s="1">
        <v>0.56999999999999995</v>
      </c>
      <c r="X16" s="1">
        <v>0.45</v>
      </c>
      <c r="Y16" s="1">
        <v>27.952999999999999</v>
      </c>
      <c r="Z16" s="1">
        <v>0.109</v>
      </c>
      <c r="AA16" s="1">
        <v>1</v>
      </c>
      <c r="AB16" s="1">
        <v>1</v>
      </c>
      <c r="AC16" s="1">
        <v>1</v>
      </c>
      <c r="AD16" s="1">
        <v>0.45</v>
      </c>
      <c r="AE16" s="1">
        <v>0.109</v>
      </c>
      <c r="AF16" s="1">
        <v>4.9000000000000002E-2</v>
      </c>
      <c r="AG16" s="1">
        <v>1</v>
      </c>
      <c r="AI16" s="1">
        <v>0</v>
      </c>
      <c r="AJ16" s="1">
        <v>0</v>
      </c>
      <c r="AK16" s="1">
        <v>0</v>
      </c>
      <c r="AL16" s="1">
        <v>1</v>
      </c>
      <c r="AM16" s="1">
        <v>86400</v>
      </c>
      <c r="AN16" s="1">
        <v>72672</v>
      </c>
      <c r="AO16" s="1">
        <v>13728</v>
      </c>
      <c r="AP16" s="1">
        <v>46861</v>
      </c>
      <c r="AQ16" s="1">
        <v>2.550246115372929</v>
      </c>
    </row>
    <row r="17" spans="1:43" x14ac:dyDescent="0.45">
      <c r="A17" s="1">
        <v>16</v>
      </c>
      <c r="B17" s="1">
        <v>26</v>
      </c>
      <c r="C17" s="1">
        <v>126</v>
      </c>
      <c r="D17" s="1" t="s">
        <v>51</v>
      </c>
      <c r="E17" s="1" t="s">
        <v>52</v>
      </c>
      <c r="F17" s="1" t="s">
        <v>53</v>
      </c>
      <c r="G17" s="1" t="s">
        <v>54</v>
      </c>
      <c r="H17" s="1" t="s">
        <v>47</v>
      </c>
      <c r="I17" s="1">
        <v>1113</v>
      </c>
      <c r="J17" s="1">
        <v>60690</v>
      </c>
      <c r="K17" s="1">
        <v>1</v>
      </c>
      <c r="L17" s="1">
        <v>125</v>
      </c>
      <c r="M17" s="1">
        <v>813</v>
      </c>
      <c r="N17" s="1" t="s">
        <v>48</v>
      </c>
      <c r="O17" s="1">
        <v>13983</v>
      </c>
      <c r="P17" s="1">
        <v>94</v>
      </c>
      <c r="Q17" s="1" t="s">
        <v>125</v>
      </c>
      <c r="R17" s="1" t="s">
        <v>50</v>
      </c>
      <c r="S17" s="1">
        <v>0</v>
      </c>
      <c r="T17" s="1">
        <v>0</v>
      </c>
      <c r="U17" s="1">
        <v>120.179</v>
      </c>
      <c r="V17" s="1">
        <v>26.143000000000001</v>
      </c>
      <c r="W17" s="1">
        <v>1.28</v>
      </c>
      <c r="X17" s="1">
        <v>1.8089999999999999</v>
      </c>
      <c r="Y17" s="1">
        <v>27.952000000000002</v>
      </c>
      <c r="Z17" s="1">
        <v>2.8000000000000001E-2</v>
      </c>
      <c r="AA17" s="1">
        <v>0.4</v>
      </c>
      <c r="AB17" s="1">
        <v>0.4</v>
      </c>
      <c r="AC17" s="1">
        <v>0.4</v>
      </c>
      <c r="AD17" s="1">
        <v>1.8089999999999999</v>
      </c>
      <c r="AE17" s="1">
        <v>2.8000000000000001E-2</v>
      </c>
      <c r="AF17" s="1">
        <v>0.05</v>
      </c>
      <c r="AG17" s="1">
        <v>0.4</v>
      </c>
      <c r="AI17" s="1">
        <v>0</v>
      </c>
      <c r="AJ17" s="1">
        <v>0</v>
      </c>
      <c r="AK17" s="1">
        <v>0</v>
      </c>
      <c r="AL17" s="1">
        <v>1</v>
      </c>
      <c r="AM17" s="1">
        <v>86400</v>
      </c>
      <c r="AN17" s="1">
        <v>81902</v>
      </c>
      <c r="AO17" s="1">
        <v>4498</v>
      </c>
      <c r="AP17" s="1">
        <v>43828</v>
      </c>
      <c r="AQ17" s="1">
        <v>18.214009098420071</v>
      </c>
    </row>
    <row r="18" spans="1:43" x14ac:dyDescent="0.45">
      <c r="A18" s="1">
        <v>17</v>
      </c>
      <c r="B18" s="1">
        <v>26</v>
      </c>
      <c r="C18" s="1">
        <v>126</v>
      </c>
      <c r="D18" s="1" t="s">
        <v>51</v>
      </c>
      <c r="E18" s="1" t="s">
        <v>52</v>
      </c>
      <c r="F18" s="1" t="s">
        <v>53</v>
      </c>
      <c r="G18" s="1" t="s">
        <v>54</v>
      </c>
      <c r="H18" s="1" t="s">
        <v>47</v>
      </c>
      <c r="I18" s="1">
        <v>1113</v>
      </c>
      <c r="J18" s="1">
        <v>60690</v>
      </c>
      <c r="K18" s="1">
        <v>1</v>
      </c>
      <c r="L18" s="1">
        <v>125</v>
      </c>
      <c r="M18" s="1">
        <v>814</v>
      </c>
      <c r="N18" s="1" t="s">
        <v>48</v>
      </c>
      <c r="O18" s="1">
        <v>13984</v>
      </c>
      <c r="P18" s="1">
        <v>94</v>
      </c>
      <c r="Q18" s="1" t="s">
        <v>125</v>
      </c>
      <c r="R18" s="1" t="s">
        <v>50</v>
      </c>
      <c r="S18" s="1">
        <v>0</v>
      </c>
      <c r="T18" s="1">
        <v>0</v>
      </c>
      <c r="U18" s="1">
        <v>56.768999999999998</v>
      </c>
      <c r="V18" s="1">
        <v>26.436</v>
      </c>
      <c r="W18" s="1">
        <v>1.25</v>
      </c>
      <c r="X18" s="1">
        <v>1.516</v>
      </c>
      <c r="Y18" s="1">
        <v>27.952999999999999</v>
      </c>
      <c r="Z18" s="1">
        <v>0.11899999999999999</v>
      </c>
      <c r="AA18" s="1">
        <v>2</v>
      </c>
      <c r="AB18" s="1">
        <v>2</v>
      </c>
      <c r="AC18" s="1">
        <v>2</v>
      </c>
      <c r="AD18" s="1">
        <v>1.516</v>
      </c>
      <c r="AE18" s="1">
        <v>0.11899999999999999</v>
      </c>
      <c r="AF18" s="1">
        <v>0.18099999999999999</v>
      </c>
      <c r="AG18" s="1">
        <v>2</v>
      </c>
      <c r="AI18" s="1">
        <v>0</v>
      </c>
      <c r="AJ18" s="1">
        <v>0</v>
      </c>
      <c r="AK18" s="1">
        <v>0</v>
      </c>
      <c r="AL18" s="1">
        <v>1</v>
      </c>
      <c r="AM18" s="1">
        <v>86400</v>
      </c>
      <c r="AN18" s="1">
        <v>80504</v>
      </c>
      <c r="AO18" s="1">
        <v>5896</v>
      </c>
      <c r="AP18" s="1">
        <v>46846</v>
      </c>
      <c r="AQ18" s="1">
        <v>8.1239243294216497</v>
      </c>
    </row>
    <row r="19" spans="1:43" x14ac:dyDescent="0.45">
      <c r="A19" s="1">
        <v>18</v>
      </c>
      <c r="B19" s="1">
        <v>26</v>
      </c>
      <c r="C19" s="1">
        <v>126</v>
      </c>
      <c r="D19" s="1" t="s">
        <v>51</v>
      </c>
      <c r="E19" s="1" t="s">
        <v>52</v>
      </c>
      <c r="F19" s="1" t="s">
        <v>53</v>
      </c>
      <c r="G19" s="1" t="s">
        <v>54</v>
      </c>
      <c r="H19" s="1" t="s">
        <v>47</v>
      </c>
      <c r="I19" s="1">
        <v>1113</v>
      </c>
      <c r="J19" s="1">
        <v>60690</v>
      </c>
      <c r="K19" s="1">
        <v>1</v>
      </c>
      <c r="L19" s="1">
        <v>125</v>
      </c>
      <c r="M19" s="1">
        <v>815</v>
      </c>
      <c r="N19" s="1" t="s">
        <v>48</v>
      </c>
      <c r="O19" s="1">
        <v>13985</v>
      </c>
      <c r="P19" s="1">
        <v>94</v>
      </c>
      <c r="Q19" s="1" t="s">
        <v>125</v>
      </c>
      <c r="R19" s="1" t="s">
        <v>50</v>
      </c>
      <c r="S19" s="1">
        <v>0</v>
      </c>
      <c r="T19" s="1">
        <v>0</v>
      </c>
      <c r="U19" s="1">
        <v>123.34399999999999</v>
      </c>
      <c r="V19" s="1">
        <v>26.719000000000001</v>
      </c>
      <c r="W19" s="1">
        <v>1.22</v>
      </c>
      <c r="X19" s="1">
        <v>1.234</v>
      </c>
      <c r="Y19" s="1">
        <v>27.952999999999999</v>
      </c>
      <c r="Z19" s="1">
        <v>0.27900000000000003</v>
      </c>
      <c r="AA19" s="1">
        <v>1</v>
      </c>
      <c r="AB19" s="1">
        <v>1</v>
      </c>
      <c r="AC19" s="1">
        <v>1</v>
      </c>
      <c r="AD19" s="1">
        <v>1.234</v>
      </c>
      <c r="AE19" s="1">
        <v>0.27700000000000002</v>
      </c>
      <c r="AF19" s="1">
        <v>0.34200000000000003</v>
      </c>
      <c r="AG19" s="1">
        <v>1</v>
      </c>
      <c r="AI19" s="1">
        <v>0</v>
      </c>
      <c r="AJ19" s="1">
        <v>0</v>
      </c>
      <c r="AK19" s="1">
        <v>0</v>
      </c>
      <c r="AL19" s="1">
        <v>1</v>
      </c>
      <c r="AM19" s="1">
        <v>86400</v>
      </c>
      <c r="AN19" s="1">
        <v>78637</v>
      </c>
      <c r="AO19" s="1">
        <v>7763</v>
      </c>
      <c r="AP19" s="1">
        <v>46881</v>
      </c>
      <c r="AQ19" s="1">
        <v>19.124216548558131</v>
      </c>
    </row>
    <row r="20" spans="1:43" x14ac:dyDescent="0.45">
      <c r="A20" s="1">
        <v>19</v>
      </c>
      <c r="B20" s="1">
        <v>26</v>
      </c>
      <c r="C20" s="1">
        <v>126</v>
      </c>
      <c r="D20" s="1" t="s">
        <v>51</v>
      </c>
      <c r="E20" s="1" t="s">
        <v>52</v>
      </c>
      <c r="F20" s="1" t="s">
        <v>53</v>
      </c>
      <c r="G20" s="1" t="s">
        <v>54</v>
      </c>
      <c r="H20" s="1" t="s">
        <v>47</v>
      </c>
      <c r="I20" s="1">
        <v>1113</v>
      </c>
      <c r="J20" s="1">
        <v>60690</v>
      </c>
      <c r="K20" s="1">
        <v>1</v>
      </c>
      <c r="L20" s="1">
        <v>125</v>
      </c>
      <c r="M20" s="1">
        <v>816</v>
      </c>
      <c r="N20" s="1" t="s">
        <v>48</v>
      </c>
      <c r="O20" s="1">
        <v>13991</v>
      </c>
      <c r="P20" s="1">
        <v>94</v>
      </c>
      <c r="Q20" s="1" t="s">
        <v>125</v>
      </c>
      <c r="R20" s="1" t="s">
        <v>50</v>
      </c>
      <c r="S20" s="1">
        <v>0</v>
      </c>
      <c r="T20" s="1">
        <v>0</v>
      </c>
      <c r="U20" s="1">
        <v>207.12200000000001</v>
      </c>
      <c r="V20" s="1">
        <v>27.35</v>
      </c>
      <c r="W20" s="1">
        <v>0.63</v>
      </c>
      <c r="X20" s="1">
        <v>0.752</v>
      </c>
      <c r="Y20" s="1">
        <v>28.102</v>
      </c>
      <c r="Z20" s="1">
        <v>0.25</v>
      </c>
      <c r="AA20" s="1">
        <v>1</v>
      </c>
      <c r="AB20" s="1">
        <v>1</v>
      </c>
      <c r="AC20" s="1">
        <v>1</v>
      </c>
      <c r="AD20" s="1">
        <v>0.752</v>
      </c>
      <c r="AE20" s="1">
        <v>0.25</v>
      </c>
      <c r="AF20" s="1">
        <v>0.188</v>
      </c>
      <c r="AG20" s="1">
        <v>1</v>
      </c>
      <c r="AI20" s="1">
        <v>0</v>
      </c>
      <c r="AJ20" s="1">
        <v>0</v>
      </c>
      <c r="AK20" s="1">
        <v>0</v>
      </c>
      <c r="AL20" s="1">
        <v>1</v>
      </c>
      <c r="AM20" s="1">
        <v>86400</v>
      </c>
      <c r="AN20" s="1">
        <v>81246</v>
      </c>
      <c r="AO20" s="1">
        <v>5154</v>
      </c>
      <c r="AP20" s="1">
        <v>43442</v>
      </c>
      <c r="AQ20" s="1">
        <v>19.211231599200559</v>
      </c>
    </row>
    <row r="21" spans="1:43" x14ac:dyDescent="0.45">
      <c r="A21" s="1">
        <v>20</v>
      </c>
      <c r="B21" s="1">
        <v>26</v>
      </c>
      <c r="C21" s="1">
        <v>126</v>
      </c>
      <c r="D21" s="1" t="s">
        <v>51</v>
      </c>
      <c r="E21" s="1" t="s">
        <v>52</v>
      </c>
      <c r="F21" s="1" t="s">
        <v>53</v>
      </c>
      <c r="G21" s="1" t="s">
        <v>54</v>
      </c>
      <c r="H21" s="1" t="s">
        <v>47</v>
      </c>
      <c r="I21" s="1">
        <v>1113</v>
      </c>
      <c r="J21" s="1">
        <v>60690</v>
      </c>
      <c r="K21" s="1">
        <v>1</v>
      </c>
      <c r="L21" s="1">
        <v>125</v>
      </c>
      <c r="M21" s="1">
        <v>818</v>
      </c>
      <c r="N21" s="1" t="s">
        <v>48</v>
      </c>
      <c r="O21" s="1">
        <v>13995</v>
      </c>
      <c r="P21" s="1">
        <v>94</v>
      </c>
      <c r="Q21" s="1" t="s">
        <v>125</v>
      </c>
      <c r="R21" s="1" t="s">
        <v>50</v>
      </c>
      <c r="S21" s="1">
        <v>0</v>
      </c>
      <c r="T21" s="1">
        <v>0</v>
      </c>
      <c r="U21" s="1">
        <v>115.254</v>
      </c>
      <c r="V21" s="1">
        <v>27.329000000000001</v>
      </c>
      <c r="W21" s="1">
        <v>0.59</v>
      </c>
      <c r="X21" s="1">
        <v>0.48099999999999998</v>
      </c>
      <c r="Y21" s="1">
        <v>27.809000000000001</v>
      </c>
      <c r="Z21" s="1">
        <v>0.36599999999999999</v>
      </c>
      <c r="AA21" s="1">
        <v>-2.4</v>
      </c>
      <c r="AB21" s="1">
        <v>-2.4</v>
      </c>
      <c r="AC21" s="1">
        <v>-2.4</v>
      </c>
      <c r="AD21" s="1">
        <v>0.48099999999999998</v>
      </c>
      <c r="AE21" s="1">
        <v>0.36499999999999999</v>
      </c>
      <c r="AF21" s="1">
        <v>0.17499999999999999</v>
      </c>
      <c r="AG21" s="1">
        <v>-2.4</v>
      </c>
      <c r="AI21" s="1">
        <v>0</v>
      </c>
      <c r="AJ21" s="1">
        <v>0</v>
      </c>
      <c r="AK21" s="1">
        <v>0</v>
      </c>
      <c r="AL21" s="1">
        <v>1</v>
      </c>
      <c r="AM21" s="1">
        <v>86400</v>
      </c>
      <c r="AN21" s="1">
        <v>76246</v>
      </c>
      <c r="AO21" s="1">
        <v>10154</v>
      </c>
      <c r="AP21" s="1">
        <v>46982</v>
      </c>
      <c r="AQ21" s="1">
        <v>6.4405774991027416</v>
      </c>
    </row>
    <row r="22" spans="1:43" x14ac:dyDescent="0.45">
      <c r="A22" s="1">
        <v>21</v>
      </c>
      <c r="B22" s="1">
        <v>26</v>
      </c>
      <c r="C22" s="1">
        <v>126</v>
      </c>
      <c r="D22" s="1" t="s">
        <v>51</v>
      </c>
      <c r="E22" s="1" t="s">
        <v>52</v>
      </c>
      <c r="F22" s="1" t="s">
        <v>53</v>
      </c>
      <c r="G22" s="1" t="s">
        <v>54</v>
      </c>
      <c r="H22" s="1" t="s">
        <v>47</v>
      </c>
      <c r="I22" s="1">
        <v>1113</v>
      </c>
      <c r="J22" s="1">
        <v>60690</v>
      </c>
      <c r="K22" s="1">
        <v>1</v>
      </c>
      <c r="L22" s="1">
        <v>125</v>
      </c>
      <c r="M22" s="1">
        <v>820</v>
      </c>
      <c r="N22" s="1" t="s">
        <v>48</v>
      </c>
      <c r="O22" s="1">
        <v>13998</v>
      </c>
      <c r="P22" s="1">
        <v>94</v>
      </c>
      <c r="Q22" s="1" t="s">
        <v>125</v>
      </c>
      <c r="R22" s="1" t="s">
        <v>50</v>
      </c>
      <c r="S22" s="1">
        <v>0</v>
      </c>
      <c r="T22" s="1">
        <v>0</v>
      </c>
      <c r="U22" s="1">
        <v>119.096</v>
      </c>
      <c r="V22" s="1">
        <v>27.666</v>
      </c>
      <c r="W22" s="1">
        <v>0.53</v>
      </c>
      <c r="X22" s="1">
        <v>0.151</v>
      </c>
      <c r="Y22" s="1">
        <v>27.817</v>
      </c>
      <c r="Z22" s="1">
        <v>0.57199999999999995</v>
      </c>
      <c r="AA22" s="1">
        <v>1.1000000000000001</v>
      </c>
      <c r="AB22" s="1">
        <v>1</v>
      </c>
      <c r="AC22" s="1">
        <v>1</v>
      </c>
      <c r="AD22" s="1">
        <v>0.151</v>
      </c>
      <c r="AE22" s="1">
        <v>0.54200000000000004</v>
      </c>
      <c r="AF22" s="1">
        <v>8.2000000000000003E-2</v>
      </c>
      <c r="AG22" s="1">
        <v>1.1000000000000001</v>
      </c>
      <c r="AI22" s="1">
        <v>0</v>
      </c>
      <c r="AJ22" s="1">
        <v>0</v>
      </c>
      <c r="AK22" s="1">
        <v>0</v>
      </c>
      <c r="AL22" s="1">
        <v>1</v>
      </c>
      <c r="AM22" s="1">
        <v>86400</v>
      </c>
      <c r="AN22" s="1">
        <v>81045</v>
      </c>
      <c r="AO22" s="1">
        <v>5355</v>
      </c>
      <c r="AP22" s="1">
        <v>47045</v>
      </c>
      <c r="AQ22" s="1">
        <v>10.97122603180012</v>
      </c>
    </row>
    <row r="23" spans="1:43" x14ac:dyDescent="0.45">
      <c r="A23" s="1">
        <v>22</v>
      </c>
      <c r="B23" s="1">
        <v>26</v>
      </c>
      <c r="C23" s="1">
        <v>126</v>
      </c>
      <c r="D23" s="1" t="s">
        <v>51</v>
      </c>
      <c r="E23" s="1" t="s">
        <v>52</v>
      </c>
      <c r="F23" s="1" t="s">
        <v>53</v>
      </c>
      <c r="G23" s="1" t="s">
        <v>54</v>
      </c>
      <c r="H23" s="1" t="s">
        <v>47</v>
      </c>
      <c r="I23" s="1">
        <v>1113</v>
      </c>
      <c r="J23" s="1">
        <v>60690</v>
      </c>
      <c r="K23" s="1">
        <v>1</v>
      </c>
      <c r="L23" s="1">
        <v>125</v>
      </c>
      <c r="M23" s="1">
        <v>821</v>
      </c>
      <c r="N23" s="1" t="s">
        <v>48</v>
      </c>
      <c r="O23" s="1">
        <v>14003</v>
      </c>
      <c r="P23" s="1">
        <v>94</v>
      </c>
      <c r="Q23" s="1" t="s">
        <v>125</v>
      </c>
      <c r="R23" s="1" t="s">
        <v>50</v>
      </c>
      <c r="S23" s="1">
        <v>0</v>
      </c>
      <c r="T23" s="1">
        <v>0</v>
      </c>
      <c r="U23" s="1">
        <v>228.09399999999999</v>
      </c>
      <c r="V23" s="1">
        <v>27.916</v>
      </c>
      <c r="W23" s="1">
        <v>0.54</v>
      </c>
      <c r="X23" s="1">
        <v>0.20499999999999999</v>
      </c>
      <c r="Y23" s="1">
        <v>28.120999999999999</v>
      </c>
      <c r="Z23" s="1">
        <v>0.45800000000000002</v>
      </c>
      <c r="AA23" s="1">
        <v>1</v>
      </c>
      <c r="AB23" s="1">
        <v>1</v>
      </c>
      <c r="AC23" s="1">
        <v>1</v>
      </c>
      <c r="AD23" s="1">
        <v>0.20499999999999999</v>
      </c>
      <c r="AE23" s="1">
        <v>0.45700000000000002</v>
      </c>
      <c r="AF23" s="1">
        <v>9.4E-2</v>
      </c>
      <c r="AG23" s="1">
        <v>1</v>
      </c>
      <c r="AI23" s="1">
        <v>0</v>
      </c>
      <c r="AJ23" s="1">
        <v>0</v>
      </c>
      <c r="AK23" s="1">
        <v>0</v>
      </c>
      <c r="AL23" s="1">
        <v>1</v>
      </c>
      <c r="AM23" s="1">
        <v>86400</v>
      </c>
      <c r="AN23" s="1">
        <v>81311</v>
      </c>
      <c r="AO23" s="1">
        <v>5089</v>
      </c>
      <c r="AP23" s="1">
        <v>47128</v>
      </c>
      <c r="AQ23" s="1">
        <v>19.374882702662571</v>
      </c>
    </row>
    <row r="24" spans="1:43" x14ac:dyDescent="0.45">
      <c r="A24" s="1">
        <v>23</v>
      </c>
      <c r="B24" s="1">
        <v>26</v>
      </c>
      <c r="C24" s="1">
        <v>126</v>
      </c>
      <c r="D24" s="1" t="s">
        <v>51</v>
      </c>
      <c r="E24" s="1" t="s">
        <v>52</v>
      </c>
      <c r="F24" s="1" t="s">
        <v>53</v>
      </c>
      <c r="G24" s="1" t="s">
        <v>54</v>
      </c>
      <c r="H24" s="1" t="s">
        <v>47</v>
      </c>
      <c r="I24" s="1">
        <v>1113</v>
      </c>
      <c r="J24" s="1">
        <v>60690</v>
      </c>
      <c r="K24" s="1">
        <v>1</v>
      </c>
      <c r="L24" s="1">
        <v>125</v>
      </c>
      <c r="M24" s="1">
        <v>823</v>
      </c>
      <c r="N24" s="1" t="s">
        <v>48</v>
      </c>
      <c r="O24" s="1">
        <v>14013</v>
      </c>
      <c r="P24" s="1">
        <v>94</v>
      </c>
      <c r="Q24" s="1" t="s">
        <v>125</v>
      </c>
      <c r="R24" s="1" t="s">
        <v>50</v>
      </c>
      <c r="S24" s="1">
        <v>0</v>
      </c>
      <c r="T24" s="1">
        <v>0</v>
      </c>
      <c r="U24" s="1">
        <v>294.262</v>
      </c>
      <c r="V24" s="1">
        <v>27.864000000000001</v>
      </c>
      <c r="W24" s="1">
        <v>0.52</v>
      </c>
      <c r="X24" s="1">
        <v>0.113</v>
      </c>
      <c r="Y24" s="1">
        <v>27.977</v>
      </c>
      <c r="Z24" s="1">
        <v>0.52</v>
      </c>
      <c r="AA24" s="1">
        <v>1</v>
      </c>
      <c r="AB24" s="1">
        <v>1</v>
      </c>
      <c r="AC24" s="1">
        <v>1</v>
      </c>
      <c r="AD24" s="1">
        <v>0.113</v>
      </c>
      <c r="AE24" s="1">
        <v>0.51900000000000002</v>
      </c>
      <c r="AF24" s="1">
        <v>5.8000000000000003E-2</v>
      </c>
      <c r="AG24" s="1">
        <v>1</v>
      </c>
      <c r="AI24" s="1">
        <v>0</v>
      </c>
      <c r="AJ24" s="1">
        <v>0</v>
      </c>
      <c r="AK24" s="1">
        <v>0</v>
      </c>
      <c r="AL24" s="1">
        <v>1</v>
      </c>
      <c r="AM24" s="1">
        <v>86400</v>
      </c>
      <c r="AN24" s="1">
        <v>80893</v>
      </c>
      <c r="AO24" s="1">
        <v>5507</v>
      </c>
      <c r="AP24" s="1">
        <v>43594</v>
      </c>
      <c r="AQ24" s="1">
        <v>22.582569825451209</v>
      </c>
    </row>
    <row r="25" spans="1:43" x14ac:dyDescent="0.45">
      <c r="A25" s="1">
        <v>24</v>
      </c>
      <c r="B25" s="1">
        <v>26</v>
      </c>
      <c r="C25" s="1">
        <v>126</v>
      </c>
      <c r="D25" s="1" t="s">
        <v>51</v>
      </c>
      <c r="E25" s="1" t="s">
        <v>52</v>
      </c>
      <c r="F25" s="1" t="s">
        <v>53</v>
      </c>
      <c r="G25" s="1" t="s">
        <v>54</v>
      </c>
      <c r="H25" s="1" t="s">
        <v>47</v>
      </c>
      <c r="I25" s="1">
        <v>1113</v>
      </c>
      <c r="J25" s="1">
        <v>60690</v>
      </c>
      <c r="K25" s="1">
        <v>1</v>
      </c>
      <c r="L25" s="1">
        <v>125</v>
      </c>
      <c r="M25" s="1">
        <v>825</v>
      </c>
      <c r="N25" s="1" t="s">
        <v>48</v>
      </c>
      <c r="O25" s="1">
        <v>14028</v>
      </c>
      <c r="P25" s="1">
        <v>94</v>
      </c>
      <c r="Q25" s="1" t="s">
        <v>125</v>
      </c>
      <c r="R25" s="1" t="s">
        <v>50</v>
      </c>
      <c r="S25" s="1">
        <v>0</v>
      </c>
      <c r="T25" s="1">
        <v>0</v>
      </c>
      <c r="U25" s="1">
        <v>53.363999999999997</v>
      </c>
      <c r="V25" s="1">
        <v>26.815000000000001</v>
      </c>
      <c r="W25" s="1">
        <v>1.1599999999999999</v>
      </c>
      <c r="X25" s="1">
        <v>0.997</v>
      </c>
      <c r="Y25" s="1">
        <v>27.812000000000001</v>
      </c>
      <c r="Z25" s="1">
        <v>0.157</v>
      </c>
      <c r="AA25" s="1">
        <v>-0.8</v>
      </c>
      <c r="AB25" s="1">
        <v>-0.6</v>
      </c>
      <c r="AC25" s="1">
        <v>-0.6</v>
      </c>
      <c r="AD25" s="1">
        <v>0.997</v>
      </c>
      <c r="AE25" s="1">
        <v>0.121</v>
      </c>
      <c r="AF25" s="1">
        <v>0.14799999999999999</v>
      </c>
      <c r="AG25" s="1">
        <v>-0.8</v>
      </c>
      <c r="AI25" s="1">
        <v>0</v>
      </c>
      <c r="AJ25" s="1">
        <v>0</v>
      </c>
      <c r="AK25" s="1">
        <v>0</v>
      </c>
      <c r="AL25" s="1">
        <v>1</v>
      </c>
      <c r="AM25" s="1">
        <v>86400</v>
      </c>
      <c r="AN25" s="1">
        <v>81144</v>
      </c>
      <c r="AO25" s="1">
        <v>5256</v>
      </c>
      <c r="AP25" s="1">
        <v>47130</v>
      </c>
      <c r="AQ25" s="1">
        <v>8.9482359510857084</v>
      </c>
    </row>
    <row r="26" spans="1:43" x14ac:dyDescent="0.45">
      <c r="A26" s="1">
        <v>25</v>
      </c>
      <c r="B26" s="1">
        <v>26</v>
      </c>
      <c r="C26" s="1">
        <v>126</v>
      </c>
      <c r="D26" s="1" t="s">
        <v>51</v>
      </c>
      <c r="E26" s="1" t="s">
        <v>52</v>
      </c>
      <c r="F26" s="1" t="s">
        <v>53</v>
      </c>
      <c r="G26" s="1" t="s">
        <v>54</v>
      </c>
      <c r="H26" s="1" t="s">
        <v>47</v>
      </c>
      <c r="I26" s="1">
        <v>1113</v>
      </c>
      <c r="J26" s="1">
        <v>60690</v>
      </c>
      <c r="K26" s="1">
        <v>1</v>
      </c>
      <c r="L26" s="1">
        <v>125</v>
      </c>
      <c r="M26" s="1">
        <v>826</v>
      </c>
      <c r="N26" s="1" t="s">
        <v>48</v>
      </c>
      <c r="O26" s="1">
        <v>14029</v>
      </c>
      <c r="P26" s="1">
        <v>94</v>
      </c>
      <c r="Q26" s="1" t="s">
        <v>125</v>
      </c>
      <c r="R26" s="1" t="s">
        <v>50</v>
      </c>
      <c r="S26" s="1">
        <v>0</v>
      </c>
      <c r="T26" s="1">
        <v>0</v>
      </c>
      <c r="U26" s="1">
        <v>87.582999999999998</v>
      </c>
      <c r="V26" s="1">
        <v>26.785</v>
      </c>
      <c r="W26" s="1">
        <v>1.17</v>
      </c>
      <c r="X26" s="1">
        <v>1.0229999999999999</v>
      </c>
      <c r="Y26" s="1">
        <v>27.808</v>
      </c>
      <c r="Z26" s="1">
        <v>0.114</v>
      </c>
      <c r="AA26" s="1">
        <v>2.2000000000000002</v>
      </c>
      <c r="AB26" s="1">
        <v>2.2000000000000002</v>
      </c>
      <c r="AC26" s="1">
        <v>2.2000000000000002</v>
      </c>
      <c r="AD26" s="1">
        <v>1.0229999999999999</v>
      </c>
      <c r="AE26" s="1">
        <v>0.114</v>
      </c>
      <c r="AF26" s="1">
        <v>0.11700000000000001</v>
      </c>
      <c r="AG26" s="1">
        <v>2.2000000000000002</v>
      </c>
      <c r="AI26" s="1">
        <v>0</v>
      </c>
      <c r="AJ26" s="1">
        <v>0</v>
      </c>
      <c r="AK26" s="1">
        <v>0</v>
      </c>
      <c r="AL26" s="1">
        <v>1</v>
      </c>
      <c r="AM26" s="1">
        <v>86400</v>
      </c>
      <c r="AN26" s="1">
        <v>81750</v>
      </c>
      <c r="AO26" s="1">
        <v>4650</v>
      </c>
      <c r="AP26" s="1">
        <v>47111</v>
      </c>
      <c r="AQ26" s="1">
        <v>5.2917711164931864</v>
      </c>
    </row>
    <row r="27" spans="1:43" x14ac:dyDescent="0.45">
      <c r="A27" s="1">
        <v>26</v>
      </c>
      <c r="B27" s="1">
        <v>26</v>
      </c>
      <c r="C27" s="1">
        <v>126</v>
      </c>
      <c r="D27" s="1" t="s">
        <v>51</v>
      </c>
      <c r="E27" s="1" t="s">
        <v>52</v>
      </c>
      <c r="F27" s="1" t="s">
        <v>53</v>
      </c>
      <c r="G27" s="1" t="s">
        <v>54</v>
      </c>
      <c r="H27" s="1" t="s">
        <v>47</v>
      </c>
      <c r="I27" s="1">
        <v>1113</v>
      </c>
      <c r="J27" s="1">
        <v>60690</v>
      </c>
      <c r="K27" s="1">
        <v>1</v>
      </c>
      <c r="L27" s="1">
        <v>125</v>
      </c>
      <c r="M27" s="1">
        <v>1241</v>
      </c>
      <c r="N27" s="1" t="s">
        <v>48</v>
      </c>
      <c r="O27" s="1">
        <v>14674</v>
      </c>
      <c r="P27" s="1">
        <v>94</v>
      </c>
      <c r="Q27" s="1" t="s">
        <v>125</v>
      </c>
      <c r="R27" s="1" t="s">
        <v>50</v>
      </c>
      <c r="S27" s="1">
        <v>0</v>
      </c>
      <c r="T27" s="1">
        <v>0</v>
      </c>
      <c r="U27" s="1">
        <v>161.94</v>
      </c>
      <c r="V27" s="1">
        <v>27.719000000000001</v>
      </c>
      <c r="W27" s="1">
        <v>0.56999999999999995</v>
      </c>
      <c r="X27" s="1">
        <v>0.36499999999999999</v>
      </c>
      <c r="Y27" s="1">
        <v>28.084</v>
      </c>
      <c r="Z27" s="1">
        <v>0.48799999999999999</v>
      </c>
      <c r="AA27" s="1">
        <v>-2.4</v>
      </c>
      <c r="AB27" s="1">
        <v>-2.4</v>
      </c>
      <c r="AC27" s="1">
        <v>-2.4</v>
      </c>
      <c r="AD27" s="1">
        <v>0.36499999999999999</v>
      </c>
      <c r="AE27" s="1">
        <v>0.48699999999999999</v>
      </c>
      <c r="AF27" s="1">
        <v>0.17799999999999999</v>
      </c>
      <c r="AG27" s="1">
        <v>-2.4</v>
      </c>
      <c r="AI27" s="1">
        <v>0</v>
      </c>
      <c r="AJ27" s="1">
        <v>0</v>
      </c>
      <c r="AK27" s="1">
        <v>0</v>
      </c>
      <c r="AL27" s="1">
        <v>1</v>
      </c>
      <c r="AM27" s="1">
        <v>86400</v>
      </c>
      <c r="AN27" s="1">
        <v>80983</v>
      </c>
      <c r="AO27" s="1">
        <v>5417</v>
      </c>
      <c r="AP27" s="1">
        <v>43495</v>
      </c>
      <c r="AQ27" s="1">
        <v>18.43219016539382</v>
      </c>
    </row>
    <row r="28" spans="1:43" x14ac:dyDescent="0.45">
      <c r="A28" s="1">
        <v>27</v>
      </c>
      <c r="B28" s="1">
        <v>26</v>
      </c>
      <c r="C28" s="1">
        <v>126</v>
      </c>
      <c r="D28" s="1" t="s">
        <v>51</v>
      </c>
      <c r="E28" s="1" t="s">
        <v>52</v>
      </c>
      <c r="F28" s="1" t="s">
        <v>53</v>
      </c>
      <c r="G28" s="1" t="s">
        <v>54</v>
      </c>
      <c r="H28" s="1" t="s">
        <v>47</v>
      </c>
      <c r="I28" s="1">
        <v>1113</v>
      </c>
      <c r="J28" s="1">
        <v>60690</v>
      </c>
      <c r="K28" s="1">
        <v>1</v>
      </c>
      <c r="L28" s="1">
        <v>125</v>
      </c>
      <c r="M28" s="1">
        <v>1242</v>
      </c>
      <c r="N28" s="1" t="s">
        <v>48</v>
      </c>
      <c r="O28" s="1">
        <v>14682</v>
      </c>
      <c r="P28" s="1">
        <v>94</v>
      </c>
      <c r="Q28" s="1" t="s">
        <v>125</v>
      </c>
      <c r="R28" s="1" t="s">
        <v>50</v>
      </c>
      <c r="S28" s="1">
        <v>0</v>
      </c>
      <c r="T28" s="1">
        <v>0</v>
      </c>
      <c r="U28" s="1">
        <v>108.435</v>
      </c>
      <c r="V28" s="1">
        <v>26.504999999999999</v>
      </c>
      <c r="W28" s="1">
        <v>0.55000000000000004</v>
      </c>
      <c r="X28" s="1">
        <v>0.11899999999999999</v>
      </c>
      <c r="Y28" s="1">
        <v>26.623999999999999</v>
      </c>
      <c r="Z28" s="1">
        <v>2.5070000000000001</v>
      </c>
      <c r="AA28" s="1">
        <v>-0.3</v>
      </c>
      <c r="AB28" s="1">
        <v>-0.3</v>
      </c>
      <c r="AC28" s="1">
        <v>-0.3</v>
      </c>
      <c r="AD28" s="1">
        <v>0.11899999999999999</v>
      </c>
      <c r="AE28" s="1">
        <v>2.5019999999999998</v>
      </c>
      <c r="AF28" s="1">
        <v>0.29699999999999999</v>
      </c>
      <c r="AG28" s="1">
        <v>-0.3</v>
      </c>
      <c r="AI28" s="1">
        <v>0</v>
      </c>
      <c r="AJ28" s="1">
        <v>0</v>
      </c>
      <c r="AK28" s="1">
        <v>0</v>
      </c>
      <c r="AL28" s="1">
        <v>1</v>
      </c>
      <c r="AM28" s="1">
        <v>52201</v>
      </c>
      <c r="AN28" s="1">
        <v>8455</v>
      </c>
      <c r="AO28" s="1">
        <v>43746</v>
      </c>
      <c r="AP28" s="1">
        <v>47400</v>
      </c>
      <c r="AQ28" s="1">
        <v>9.6151972878007541</v>
      </c>
    </row>
    <row r="29" spans="1:43" x14ac:dyDescent="0.45">
      <c r="A29" s="1">
        <v>28</v>
      </c>
      <c r="B29" s="1">
        <v>26</v>
      </c>
      <c r="C29" s="1">
        <v>126</v>
      </c>
      <c r="D29" s="1" t="s">
        <v>51</v>
      </c>
      <c r="E29" s="1" t="s">
        <v>52</v>
      </c>
      <c r="F29" s="1" t="s">
        <v>53</v>
      </c>
      <c r="G29" s="1" t="s">
        <v>54</v>
      </c>
      <c r="H29" s="1" t="s">
        <v>47</v>
      </c>
      <c r="I29" s="1">
        <v>1113</v>
      </c>
      <c r="J29" s="1">
        <v>60690</v>
      </c>
      <c r="K29" s="1">
        <v>1</v>
      </c>
      <c r="L29" s="1">
        <v>125</v>
      </c>
      <c r="M29" s="1">
        <v>1245</v>
      </c>
      <c r="N29" s="1" t="s">
        <v>48</v>
      </c>
      <c r="O29" s="1">
        <v>14686</v>
      </c>
      <c r="P29" s="1">
        <v>94</v>
      </c>
      <c r="Q29" s="1" t="s">
        <v>125</v>
      </c>
      <c r="R29" s="1" t="s">
        <v>50</v>
      </c>
      <c r="S29" s="1">
        <v>0</v>
      </c>
      <c r="T29" s="1">
        <v>0</v>
      </c>
      <c r="U29" s="1">
        <v>116.11799999999999</v>
      </c>
      <c r="V29" s="1">
        <v>26.023</v>
      </c>
      <c r="W29" s="1">
        <v>0.57999999999999996</v>
      </c>
      <c r="X29" s="1">
        <v>0.18</v>
      </c>
      <c r="Y29" s="1">
        <v>26.202999999999999</v>
      </c>
      <c r="Z29" s="1">
        <v>3.004</v>
      </c>
      <c r="AA29" s="1">
        <v>-0.2</v>
      </c>
      <c r="AB29" s="1">
        <v>-0.2</v>
      </c>
      <c r="AC29" s="1">
        <v>-0.2</v>
      </c>
      <c r="AD29" s="1">
        <v>0.18</v>
      </c>
      <c r="AE29" s="1">
        <v>3</v>
      </c>
      <c r="AF29" s="1">
        <v>0.53900000000000003</v>
      </c>
      <c r="AG29" s="1">
        <v>-0.2</v>
      </c>
      <c r="AI29" s="1">
        <v>0</v>
      </c>
      <c r="AJ29" s="1">
        <v>0</v>
      </c>
      <c r="AK29" s="1">
        <v>0</v>
      </c>
      <c r="AL29" s="1">
        <v>1</v>
      </c>
      <c r="AM29" s="1">
        <v>55582</v>
      </c>
      <c r="AN29" s="1">
        <v>12357</v>
      </c>
      <c r="AO29" s="1">
        <v>43225</v>
      </c>
      <c r="AP29" s="1">
        <v>48495</v>
      </c>
      <c r="AQ29" s="1">
        <v>12.08164785479444</v>
      </c>
    </row>
    <row r="30" spans="1:43" x14ac:dyDescent="0.45">
      <c r="A30" s="1">
        <v>29</v>
      </c>
      <c r="B30" s="1">
        <v>26</v>
      </c>
      <c r="C30" s="1">
        <v>126</v>
      </c>
      <c r="D30" s="1" t="s">
        <v>51</v>
      </c>
      <c r="E30" s="1" t="s">
        <v>52</v>
      </c>
      <c r="F30" s="1" t="s">
        <v>53</v>
      </c>
      <c r="G30" s="1" t="s">
        <v>54</v>
      </c>
      <c r="H30" s="1" t="s">
        <v>47</v>
      </c>
      <c r="I30" s="1">
        <v>1113</v>
      </c>
      <c r="J30" s="1">
        <v>60690</v>
      </c>
      <c r="K30" s="1">
        <v>1</v>
      </c>
      <c r="L30" s="1">
        <v>125</v>
      </c>
      <c r="M30" s="1">
        <v>1473</v>
      </c>
      <c r="N30" s="1" t="s">
        <v>48</v>
      </c>
      <c r="O30" s="1">
        <v>15184</v>
      </c>
      <c r="P30" s="1">
        <v>94</v>
      </c>
      <c r="Q30" s="1" t="s">
        <v>125</v>
      </c>
      <c r="R30" s="1" t="s">
        <v>50</v>
      </c>
      <c r="S30" s="1">
        <v>0</v>
      </c>
      <c r="T30" s="1">
        <v>0</v>
      </c>
      <c r="U30" s="1">
        <v>94.39</v>
      </c>
      <c r="V30" s="1">
        <v>24.486000000000001</v>
      </c>
      <c r="W30" s="1">
        <v>0.62</v>
      </c>
      <c r="X30" s="1">
        <v>0.25700000000000001</v>
      </c>
      <c r="Y30" s="1">
        <v>24.742999999999999</v>
      </c>
      <c r="Z30" s="1">
        <v>3.5750000000000002</v>
      </c>
      <c r="AA30" s="1">
        <v>-0.6</v>
      </c>
      <c r="AB30" s="1">
        <v>-0.6</v>
      </c>
      <c r="AC30" s="1">
        <v>-0.6</v>
      </c>
      <c r="AD30" s="1">
        <v>0.25700000000000001</v>
      </c>
      <c r="AE30" s="1">
        <v>3.5710000000000002</v>
      </c>
      <c r="AF30" s="1">
        <v>0.91800000000000004</v>
      </c>
      <c r="AG30" s="1">
        <v>-0.6</v>
      </c>
      <c r="AI30" s="1">
        <v>0</v>
      </c>
      <c r="AJ30" s="1">
        <v>0</v>
      </c>
      <c r="AK30" s="1">
        <v>0</v>
      </c>
      <c r="AL30" s="1">
        <v>1</v>
      </c>
      <c r="AM30" s="1">
        <v>55832</v>
      </c>
      <c r="AN30" s="1">
        <v>15917</v>
      </c>
      <c r="AO30" s="1">
        <v>39915</v>
      </c>
      <c r="AP30" s="1">
        <v>48302</v>
      </c>
      <c r="AQ30" s="1">
        <v>12.83758631169958</v>
      </c>
    </row>
    <row r="31" spans="1:43" x14ac:dyDescent="0.45">
      <c r="A31" s="1">
        <v>30</v>
      </c>
      <c r="B31" s="1">
        <v>26</v>
      </c>
      <c r="C31" s="1">
        <v>126</v>
      </c>
      <c r="D31" s="1" t="s">
        <v>51</v>
      </c>
      <c r="E31" s="1" t="s">
        <v>52</v>
      </c>
      <c r="F31" s="1" t="s">
        <v>53</v>
      </c>
      <c r="G31" s="1" t="s">
        <v>54</v>
      </c>
      <c r="H31" s="1" t="s">
        <v>47</v>
      </c>
      <c r="I31" s="1">
        <v>1113</v>
      </c>
      <c r="J31" s="1">
        <v>60690</v>
      </c>
      <c r="K31" s="1">
        <v>1</v>
      </c>
      <c r="L31" s="1">
        <v>125</v>
      </c>
      <c r="M31" s="1">
        <v>1474</v>
      </c>
      <c r="N31" s="1" t="s">
        <v>48</v>
      </c>
      <c r="O31" s="1">
        <v>15185</v>
      </c>
      <c r="P31" s="1">
        <v>94</v>
      </c>
      <c r="Q31" s="1" t="s">
        <v>125</v>
      </c>
      <c r="R31" s="1" t="s">
        <v>50</v>
      </c>
      <c r="S31" s="1">
        <v>0</v>
      </c>
      <c r="T31" s="1">
        <v>0</v>
      </c>
      <c r="U31" s="1">
        <v>93.272000000000006</v>
      </c>
      <c r="V31" s="1">
        <v>24.382000000000001</v>
      </c>
      <c r="W31" s="1">
        <v>0.57999999999999996</v>
      </c>
      <c r="X31" s="1">
        <v>0.159</v>
      </c>
      <c r="Y31" s="1">
        <v>24.541</v>
      </c>
      <c r="Z31" s="1">
        <v>3.782</v>
      </c>
      <c r="AA31" s="1">
        <v>-0.8</v>
      </c>
      <c r="AB31" s="1">
        <v>-0.8</v>
      </c>
      <c r="AC31" s="1">
        <v>-0.8</v>
      </c>
      <c r="AD31" s="1">
        <v>0.159</v>
      </c>
      <c r="AE31" s="1">
        <v>3.7789999999999999</v>
      </c>
      <c r="AF31" s="1">
        <v>0.60099999999999998</v>
      </c>
      <c r="AG31" s="1">
        <v>-0.8</v>
      </c>
      <c r="AI31" s="1">
        <v>0</v>
      </c>
      <c r="AJ31" s="1">
        <v>0</v>
      </c>
      <c r="AK31" s="1">
        <v>0</v>
      </c>
      <c r="AL31" s="1">
        <v>1</v>
      </c>
      <c r="AM31" s="1">
        <v>54607</v>
      </c>
      <c r="AN31" s="1">
        <v>11314</v>
      </c>
      <c r="AO31" s="1">
        <v>43293</v>
      </c>
      <c r="AP31" s="1">
        <v>50400</v>
      </c>
      <c r="AQ31" s="1">
        <v>12.84040706273565</v>
      </c>
    </row>
    <row r="32" spans="1:43" x14ac:dyDescent="0.45">
      <c r="A32" s="1">
        <v>31</v>
      </c>
      <c r="B32" s="1">
        <v>26</v>
      </c>
      <c r="C32" s="1">
        <v>126</v>
      </c>
      <c r="D32" s="1" t="s">
        <v>51</v>
      </c>
      <c r="E32" s="1" t="s">
        <v>52</v>
      </c>
      <c r="F32" s="1" t="s">
        <v>53</v>
      </c>
      <c r="G32" s="1" t="s">
        <v>54</v>
      </c>
      <c r="H32" s="1" t="s">
        <v>47</v>
      </c>
      <c r="I32" s="1">
        <v>1113</v>
      </c>
      <c r="J32" s="1">
        <v>60690</v>
      </c>
      <c r="K32" s="1">
        <v>1</v>
      </c>
      <c r="L32" s="1">
        <v>125</v>
      </c>
      <c r="M32" s="1">
        <v>1476</v>
      </c>
      <c r="N32" s="1" t="s">
        <v>48</v>
      </c>
      <c r="O32" s="1">
        <v>15191</v>
      </c>
      <c r="P32" s="1">
        <v>94</v>
      </c>
      <c r="Q32" s="1" t="s">
        <v>125</v>
      </c>
      <c r="R32" s="1" t="s">
        <v>50</v>
      </c>
      <c r="S32" s="1">
        <v>0</v>
      </c>
      <c r="T32" s="1">
        <v>0</v>
      </c>
      <c r="U32" s="1">
        <v>107.297</v>
      </c>
      <c r="V32" s="1">
        <v>23.977</v>
      </c>
      <c r="W32" s="1">
        <v>0.56000000000000005</v>
      </c>
      <c r="X32" s="1">
        <v>0.13200000000000001</v>
      </c>
      <c r="Y32" s="1">
        <v>24.108000000000001</v>
      </c>
      <c r="Z32" s="1">
        <v>3.3580000000000001</v>
      </c>
      <c r="AA32" s="1">
        <v>-0.9</v>
      </c>
      <c r="AB32" s="1">
        <v>-0.9</v>
      </c>
      <c r="AC32" s="1">
        <v>-0.9</v>
      </c>
      <c r="AD32" s="1">
        <v>0.13200000000000001</v>
      </c>
      <c r="AE32" s="1">
        <v>3.3540000000000001</v>
      </c>
      <c r="AF32" s="1">
        <v>0.442</v>
      </c>
      <c r="AG32" s="1">
        <v>-0.9</v>
      </c>
      <c r="AI32" s="1">
        <v>0</v>
      </c>
      <c r="AJ32" s="1">
        <v>0</v>
      </c>
      <c r="AK32" s="1">
        <v>0</v>
      </c>
      <c r="AL32" s="1">
        <v>1</v>
      </c>
      <c r="AM32" s="1">
        <v>53462</v>
      </c>
      <c r="AN32" s="1">
        <v>10073</v>
      </c>
      <c r="AO32" s="1">
        <v>43389</v>
      </c>
      <c r="AP32" s="1">
        <v>47665</v>
      </c>
      <c r="AQ32" s="1">
        <v>12.987854143834699</v>
      </c>
    </row>
    <row r="33" spans="1:43" x14ac:dyDescent="0.45">
      <c r="A33" s="1">
        <v>32</v>
      </c>
      <c r="B33" s="1">
        <v>26</v>
      </c>
      <c r="C33" s="1">
        <v>126</v>
      </c>
      <c r="D33" s="1" t="s">
        <v>51</v>
      </c>
      <c r="E33" s="1" t="s">
        <v>52</v>
      </c>
      <c r="F33" s="1" t="s">
        <v>53</v>
      </c>
      <c r="G33" s="1" t="s">
        <v>54</v>
      </c>
      <c r="H33" s="1" t="s">
        <v>47</v>
      </c>
      <c r="I33" s="1">
        <v>1113</v>
      </c>
      <c r="J33" s="1">
        <v>60690</v>
      </c>
      <c r="K33" s="1">
        <v>1</v>
      </c>
      <c r="L33" s="1">
        <v>125</v>
      </c>
      <c r="M33" s="1">
        <v>1484</v>
      </c>
      <c r="N33" s="1" t="s">
        <v>48</v>
      </c>
      <c r="O33" s="1">
        <v>15204</v>
      </c>
      <c r="P33" s="1">
        <v>94</v>
      </c>
      <c r="Q33" s="1" t="s">
        <v>125</v>
      </c>
      <c r="R33" s="1" t="s">
        <v>50</v>
      </c>
      <c r="S33" s="1">
        <v>0</v>
      </c>
      <c r="T33" s="1">
        <v>0</v>
      </c>
      <c r="U33" s="1">
        <v>79.594999999999999</v>
      </c>
      <c r="V33" s="1">
        <v>24.753</v>
      </c>
      <c r="W33" s="1">
        <v>0.62</v>
      </c>
      <c r="X33" s="1">
        <v>0.248</v>
      </c>
      <c r="Y33" s="1">
        <v>25.001000000000001</v>
      </c>
      <c r="Z33" s="1">
        <v>3.4329999999999998</v>
      </c>
      <c r="AA33" s="1">
        <v>-0.4</v>
      </c>
      <c r="AB33" s="1">
        <v>-0.4</v>
      </c>
      <c r="AC33" s="1">
        <v>-0.4</v>
      </c>
      <c r="AD33" s="1">
        <v>0.248</v>
      </c>
      <c r="AE33" s="1">
        <v>3.4289999999999998</v>
      </c>
      <c r="AF33" s="1">
        <v>0.85</v>
      </c>
      <c r="AG33" s="1">
        <v>-0.4</v>
      </c>
      <c r="AI33" s="1">
        <v>0</v>
      </c>
      <c r="AJ33" s="1">
        <v>0</v>
      </c>
      <c r="AK33" s="1">
        <v>0</v>
      </c>
      <c r="AL33" s="1">
        <v>1</v>
      </c>
      <c r="AM33" s="1">
        <v>55137</v>
      </c>
      <c r="AN33" s="1">
        <v>11887</v>
      </c>
      <c r="AO33" s="1">
        <v>43250</v>
      </c>
      <c r="AP33" s="1">
        <v>50141</v>
      </c>
      <c r="AQ33" s="1">
        <v>19.459536924004158</v>
      </c>
    </row>
    <row r="34" spans="1:43" x14ac:dyDescent="0.45">
      <c r="A34" s="1">
        <v>33</v>
      </c>
      <c r="B34" s="1">
        <v>26</v>
      </c>
      <c r="C34" s="1">
        <v>126</v>
      </c>
      <c r="D34" s="1" t="s">
        <v>51</v>
      </c>
      <c r="E34" s="1" t="s">
        <v>52</v>
      </c>
      <c r="F34" s="1" t="s">
        <v>53</v>
      </c>
      <c r="G34" s="1" t="s">
        <v>54</v>
      </c>
      <c r="H34" s="1" t="s">
        <v>47</v>
      </c>
      <c r="I34" s="1">
        <v>1113</v>
      </c>
      <c r="J34" s="1">
        <v>60690</v>
      </c>
      <c r="K34" s="1">
        <v>1</v>
      </c>
      <c r="L34" s="1">
        <v>125</v>
      </c>
      <c r="M34" s="1">
        <v>1485</v>
      </c>
      <c r="N34" s="1" t="s">
        <v>48</v>
      </c>
      <c r="O34" s="1">
        <v>15206</v>
      </c>
      <c r="P34" s="1">
        <v>94</v>
      </c>
      <c r="Q34" s="1" t="s">
        <v>125</v>
      </c>
      <c r="R34" s="1" t="s">
        <v>50</v>
      </c>
      <c r="S34" s="1">
        <v>0</v>
      </c>
      <c r="T34" s="1">
        <v>0</v>
      </c>
      <c r="U34" s="1">
        <v>97.302999999999997</v>
      </c>
      <c r="V34" s="1">
        <v>25.012</v>
      </c>
      <c r="W34" s="1">
        <v>0.57999999999999996</v>
      </c>
      <c r="X34" s="1">
        <v>0.16700000000000001</v>
      </c>
      <c r="Y34" s="1">
        <v>25.178999999999998</v>
      </c>
      <c r="Z34" s="1">
        <v>3.2909999999999999</v>
      </c>
      <c r="AA34" s="1">
        <v>-0.6</v>
      </c>
      <c r="AB34" s="1">
        <v>-0.6</v>
      </c>
      <c r="AC34" s="1">
        <v>-0.6</v>
      </c>
      <c r="AD34" s="1">
        <v>0.16700000000000001</v>
      </c>
      <c r="AE34" s="1">
        <v>3.2879999999999998</v>
      </c>
      <c r="AF34" s="1">
        <v>0.54900000000000004</v>
      </c>
      <c r="AG34" s="1">
        <v>-0.6</v>
      </c>
      <c r="AI34" s="1">
        <v>0</v>
      </c>
      <c r="AJ34" s="1">
        <v>0</v>
      </c>
      <c r="AK34" s="1">
        <v>0</v>
      </c>
      <c r="AL34" s="1">
        <v>1</v>
      </c>
      <c r="AM34" s="1">
        <v>54628</v>
      </c>
      <c r="AN34" s="1">
        <v>11280</v>
      </c>
      <c r="AO34" s="1">
        <v>43348</v>
      </c>
      <c r="AP34" s="1">
        <v>47960</v>
      </c>
      <c r="AQ34" s="1">
        <v>1.078657226174325</v>
      </c>
    </row>
    <row r="35" spans="1:43" x14ac:dyDescent="0.45">
      <c r="A35" s="1">
        <v>34</v>
      </c>
      <c r="B35" s="1">
        <v>26</v>
      </c>
      <c r="C35" s="1">
        <v>126</v>
      </c>
      <c r="D35" s="1" t="s">
        <v>51</v>
      </c>
      <c r="E35" s="1" t="s">
        <v>52</v>
      </c>
      <c r="F35" s="1" t="s">
        <v>53</v>
      </c>
      <c r="G35" s="1" t="s">
        <v>54</v>
      </c>
      <c r="H35" s="1" t="s">
        <v>47</v>
      </c>
      <c r="I35" s="1">
        <v>1113</v>
      </c>
      <c r="J35" s="1">
        <v>60690</v>
      </c>
      <c r="K35" s="1">
        <v>1</v>
      </c>
      <c r="L35" s="1">
        <v>125</v>
      </c>
      <c r="M35" s="1">
        <v>1488</v>
      </c>
      <c r="N35" s="1" t="s">
        <v>48</v>
      </c>
      <c r="O35" s="1">
        <v>15209</v>
      </c>
      <c r="P35" s="1">
        <v>94</v>
      </c>
      <c r="Q35" s="1" t="s">
        <v>125</v>
      </c>
      <c r="R35" s="1" t="s">
        <v>50</v>
      </c>
      <c r="S35" s="1">
        <v>0</v>
      </c>
      <c r="T35" s="1">
        <v>0</v>
      </c>
      <c r="U35" s="1">
        <v>81.462000000000003</v>
      </c>
      <c r="V35" s="1">
        <v>25.463000000000001</v>
      </c>
      <c r="W35" s="1">
        <v>0.61</v>
      </c>
      <c r="X35" s="1">
        <v>0.23100000000000001</v>
      </c>
      <c r="Y35" s="1">
        <v>25.693999999999999</v>
      </c>
      <c r="Z35" s="1">
        <v>3.282</v>
      </c>
      <c r="AA35" s="1">
        <v>-0.3</v>
      </c>
      <c r="AB35" s="1">
        <v>-0.3</v>
      </c>
      <c r="AC35" s="1">
        <v>-0.3</v>
      </c>
      <c r="AD35" s="1">
        <v>0.23100000000000001</v>
      </c>
      <c r="AE35" s="1">
        <v>3.2789999999999999</v>
      </c>
      <c r="AF35" s="1">
        <v>0.75800000000000001</v>
      </c>
      <c r="AG35" s="1">
        <v>-0.3</v>
      </c>
      <c r="AI35" s="1">
        <v>0</v>
      </c>
      <c r="AJ35" s="1">
        <v>0</v>
      </c>
      <c r="AK35" s="1">
        <v>0</v>
      </c>
      <c r="AL35" s="1">
        <v>1</v>
      </c>
      <c r="AM35" s="1">
        <v>55703</v>
      </c>
      <c r="AN35" s="1">
        <v>12486</v>
      </c>
      <c r="AO35" s="1">
        <v>43217</v>
      </c>
      <c r="AP35" s="1">
        <v>47521</v>
      </c>
      <c r="AQ35" s="1">
        <v>19.44385401632449</v>
      </c>
    </row>
    <row r="36" spans="1:43" x14ac:dyDescent="0.45">
      <c r="A36" s="1">
        <v>35</v>
      </c>
      <c r="B36" s="1">
        <v>26</v>
      </c>
      <c r="C36" s="1">
        <v>126</v>
      </c>
      <c r="D36" s="1" t="s">
        <v>51</v>
      </c>
      <c r="E36" s="1" t="s">
        <v>52</v>
      </c>
      <c r="F36" s="1" t="s">
        <v>53</v>
      </c>
      <c r="G36" s="1" t="s">
        <v>54</v>
      </c>
      <c r="H36" s="1" t="s">
        <v>47</v>
      </c>
      <c r="I36" s="1">
        <v>1113</v>
      </c>
      <c r="J36" s="1">
        <v>60690</v>
      </c>
      <c r="K36" s="1">
        <v>1</v>
      </c>
      <c r="L36" s="1">
        <v>125</v>
      </c>
      <c r="M36" s="1">
        <v>1489</v>
      </c>
      <c r="N36" s="1" t="s">
        <v>48</v>
      </c>
      <c r="O36" s="1">
        <v>15210</v>
      </c>
      <c r="P36" s="1">
        <v>94</v>
      </c>
      <c r="Q36" s="1" t="s">
        <v>125</v>
      </c>
      <c r="R36" s="1" t="s">
        <v>50</v>
      </c>
      <c r="S36" s="1">
        <v>0</v>
      </c>
      <c r="T36" s="1">
        <v>0</v>
      </c>
      <c r="U36" s="1">
        <v>105.574</v>
      </c>
      <c r="V36" s="1">
        <v>25.87</v>
      </c>
      <c r="W36" s="1">
        <v>0.56999999999999995</v>
      </c>
      <c r="X36" s="1">
        <v>0.154</v>
      </c>
      <c r="Y36" s="1">
        <v>26.023</v>
      </c>
      <c r="Z36" s="1">
        <v>2.9860000000000002</v>
      </c>
      <c r="AA36" s="1">
        <v>-0.3</v>
      </c>
      <c r="AB36" s="1">
        <v>-0.3</v>
      </c>
      <c r="AC36" s="1">
        <v>-0.3</v>
      </c>
      <c r="AD36" s="1">
        <v>0.154</v>
      </c>
      <c r="AE36" s="1">
        <v>2.9830000000000001</v>
      </c>
      <c r="AF36" s="1">
        <v>0.45800000000000002</v>
      </c>
      <c r="AG36" s="1">
        <v>-0.3</v>
      </c>
      <c r="AI36" s="1">
        <v>0</v>
      </c>
      <c r="AJ36" s="1">
        <v>0</v>
      </c>
      <c r="AK36" s="1">
        <v>0</v>
      </c>
      <c r="AL36" s="1">
        <v>1</v>
      </c>
      <c r="AM36" s="1">
        <v>55009</v>
      </c>
      <c r="AN36" s="1">
        <v>11729</v>
      </c>
      <c r="AO36" s="1">
        <v>43279</v>
      </c>
      <c r="AP36" s="1">
        <v>48077</v>
      </c>
      <c r="AQ36" s="1">
        <v>11.96136608012406</v>
      </c>
    </row>
    <row r="37" spans="1:43" x14ac:dyDescent="0.45">
      <c r="A37" s="1">
        <v>36</v>
      </c>
      <c r="B37" s="1">
        <v>26</v>
      </c>
      <c r="C37" s="1">
        <v>126</v>
      </c>
      <c r="D37" s="1" t="s">
        <v>51</v>
      </c>
      <c r="E37" s="1" t="s">
        <v>52</v>
      </c>
      <c r="F37" s="1" t="s">
        <v>53</v>
      </c>
      <c r="G37" s="1" t="s">
        <v>54</v>
      </c>
      <c r="H37" s="1" t="s">
        <v>47</v>
      </c>
      <c r="I37" s="1">
        <v>1113</v>
      </c>
      <c r="J37" s="1">
        <v>60690</v>
      </c>
      <c r="K37" s="1">
        <v>1</v>
      </c>
      <c r="L37" s="1">
        <v>125</v>
      </c>
      <c r="M37" s="1">
        <v>1490</v>
      </c>
      <c r="N37" s="1" t="s">
        <v>48</v>
      </c>
      <c r="O37" s="1">
        <v>15219</v>
      </c>
      <c r="P37" s="1">
        <v>94</v>
      </c>
      <c r="Q37" s="1" t="s">
        <v>125</v>
      </c>
      <c r="R37" s="1" t="s">
        <v>50</v>
      </c>
      <c r="S37" s="1">
        <v>0</v>
      </c>
      <c r="T37" s="1">
        <v>0</v>
      </c>
      <c r="U37" s="1">
        <v>162.55099999999999</v>
      </c>
      <c r="V37" s="1">
        <v>27.558</v>
      </c>
      <c r="W37" s="1">
        <v>0.62</v>
      </c>
      <c r="X37" s="1">
        <v>0.65300000000000002</v>
      </c>
      <c r="Y37" s="1">
        <v>28.210999999999999</v>
      </c>
      <c r="Z37" s="1">
        <v>0.3</v>
      </c>
      <c r="AA37" s="1">
        <v>-3.1</v>
      </c>
      <c r="AB37" s="1">
        <v>-3.1</v>
      </c>
      <c r="AC37" s="1">
        <v>-3.1</v>
      </c>
      <c r="AD37" s="1">
        <v>0.65300000000000002</v>
      </c>
      <c r="AE37" s="1">
        <v>0.3</v>
      </c>
      <c r="AF37" s="1">
        <v>0.19600000000000001</v>
      </c>
      <c r="AG37" s="1">
        <v>-3.1</v>
      </c>
      <c r="AI37" s="1">
        <v>0</v>
      </c>
      <c r="AJ37" s="1">
        <v>0</v>
      </c>
      <c r="AK37" s="1">
        <v>0</v>
      </c>
      <c r="AL37" s="1">
        <v>1</v>
      </c>
      <c r="AM37" s="1">
        <v>86400</v>
      </c>
      <c r="AN37" s="1">
        <v>81479</v>
      </c>
      <c r="AO37" s="1">
        <v>4921</v>
      </c>
      <c r="AP37" s="1">
        <v>43438</v>
      </c>
      <c r="AQ37" s="1">
        <v>18.413686504200541</v>
      </c>
    </row>
    <row r="38" spans="1:43" x14ac:dyDescent="0.45">
      <c r="A38" s="1">
        <v>37</v>
      </c>
      <c r="B38" s="1">
        <v>26</v>
      </c>
      <c r="C38" s="1">
        <v>126</v>
      </c>
      <c r="D38" s="1" t="s">
        <v>51</v>
      </c>
      <c r="E38" s="1" t="s">
        <v>52</v>
      </c>
      <c r="F38" s="1" t="s">
        <v>53</v>
      </c>
      <c r="G38" s="1" t="s">
        <v>54</v>
      </c>
      <c r="H38" s="1" t="s">
        <v>47</v>
      </c>
      <c r="I38" s="1">
        <v>1113</v>
      </c>
      <c r="J38" s="1">
        <v>60690</v>
      </c>
      <c r="K38" s="1">
        <v>1</v>
      </c>
      <c r="L38" s="1">
        <v>125</v>
      </c>
      <c r="M38" s="1">
        <v>1491</v>
      </c>
      <c r="N38" s="1" t="s">
        <v>48</v>
      </c>
      <c r="O38" s="1">
        <v>15220</v>
      </c>
      <c r="P38" s="1">
        <v>94</v>
      </c>
      <c r="Q38" s="1" t="s">
        <v>125</v>
      </c>
      <c r="R38" s="1" t="s">
        <v>50</v>
      </c>
      <c r="S38" s="1">
        <v>0</v>
      </c>
      <c r="T38" s="1">
        <v>0</v>
      </c>
      <c r="U38" s="1">
        <v>214.108</v>
      </c>
      <c r="V38" s="1">
        <v>28.081</v>
      </c>
      <c r="W38" s="1">
        <v>0.52</v>
      </c>
      <c r="X38" s="1">
        <v>0.13100000000000001</v>
      </c>
      <c r="Y38" s="1">
        <v>28.212</v>
      </c>
      <c r="Z38" s="1">
        <v>4.7E-2</v>
      </c>
      <c r="AA38" s="1">
        <v>-1.7</v>
      </c>
      <c r="AB38" s="1">
        <v>-1.7</v>
      </c>
      <c r="AC38" s="1">
        <v>-1.7</v>
      </c>
      <c r="AD38" s="1">
        <v>0.13100000000000001</v>
      </c>
      <c r="AE38" s="1">
        <v>4.7E-2</v>
      </c>
      <c r="AF38" s="1">
        <v>6.0000000000000001E-3</v>
      </c>
      <c r="AG38" s="1">
        <v>-1.7</v>
      </c>
      <c r="AI38" s="1">
        <v>0</v>
      </c>
      <c r="AJ38" s="1">
        <v>0</v>
      </c>
      <c r="AK38" s="1">
        <v>0</v>
      </c>
      <c r="AL38" s="1">
        <v>1</v>
      </c>
      <c r="AM38" s="1">
        <v>86400</v>
      </c>
      <c r="AN38" s="1">
        <v>74487</v>
      </c>
      <c r="AO38" s="1">
        <v>11913</v>
      </c>
      <c r="AP38" s="1">
        <v>43626</v>
      </c>
      <c r="AQ38" s="1">
        <v>4.3455347958324149</v>
      </c>
    </row>
    <row r="39" spans="1:43" x14ac:dyDescent="0.45">
      <c r="A39" s="1">
        <v>38</v>
      </c>
      <c r="B39" s="1">
        <v>26</v>
      </c>
      <c r="C39" s="1">
        <v>126</v>
      </c>
      <c r="D39" s="1" t="s">
        <v>51</v>
      </c>
      <c r="E39" s="1" t="s">
        <v>52</v>
      </c>
      <c r="F39" s="1" t="s">
        <v>53</v>
      </c>
      <c r="G39" s="1" t="s">
        <v>54</v>
      </c>
      <c r="H39" s="1" t="s">
        <v>47</v>
      </c>
      <c r="I39" s="1">
        <v>1113</v>
      </c>
      <c r="J39" s="1">
        <v>60690</v>
      </c>
      <c r="K39" s="1">
        <v>1</v>
      </c>
      <c r="L39" s="1">
        <v>125</v>
      </c>
      <c r="M39" s="1">
        <v>1492</v>
      </c>
      <c r="N39" s="1" t="s">
        <v>48</v>
      </c>
      <c r="O39" s="1">
        <v>15221</v>
      </c>
      <c r="P39" s="1">
        <v>94</v>
      </c>
      <c r="Q39" s="1" t="s">
        <v>125</v>
      </c>
      <c r="R39" s="1" t="s">
        <v>50</v>
      </c>
      <c r="S39" s="1">
        <v>0</v>
      </c>
      <c r="T39" s="1">
        <v>0</v>
      </c>
      <c r="U39" s="1">
        <v>173.398</v>
      </c>
      <c r="V39" s="1">
        <v>27.64</v>
      </c>
      <c r="W39" s="1">
        <v>0.6</v>
      </c>
      <c r="X39" s="1">
        <v>0.57199999999999995</v>
      </c>
      <c r="Y39" s="1">
        <v>28.210999999999999</v>
      </c>
      <c r="Z39" s="1">
        <v>0.307</v>
      </c>
      <c r="AA39" s="1">
        <v>1.7</v>
      </c>
      <c r="AB39" s="1">
        <v>1.7</v>
      </c>
      <c r="AC39" s="1">
        <v>1.7</v>
      </c>
      <c r="AD39" s="1">
        <v>0.57199999999999995</v>
      </c>
      <c r="AE39" s="1">
        <v>0.307</v>
      </c>
      <c r="AF39" s="1">
        <v>0.17499999999999999</v>
      </c>
      <c r="AG39" s="1">
        <v>1.7</v>
      </c>
      <c r="AI39" s="1">
        <v>0</v>
      </c>
      <c r="AJ39" s="1">
        <v>0</v>
      </c>
      <c r="AK39" s="1">
        <v>0</v>
      </c>
      <c r="AL39" s="1">
        <v>1</v>
      </c>
      <c r="AM39" s="1">
        <v>86400</v>
      </c>
      <c r="AN39" s="1">
        <v>81671</v>
      </c>
      <c r="AO39" s="1">
        <v>4729</v>
      </c>
      <c r="AP39" s="1">
        <v>43422</v>
      </c>
      <c r="AQ39" s="1">
        <v>18.611463029148041</v>
      </c>
    </row>
    <row r="40" spans="1:43" x14ac:dyDescent="0.45">
      <c r="A40" s="1">
        <v>39</v>
      </c>
      <c r="B40" s="1">
        <v>73</v>
      </c>
      <c r="C40" s="1">
        <v>83</v>
      </c>
      <c r="D40" s="1" t="s">
        <v>55</v>
      </c>
      <c r="E40" s="1" t="s">
        <v>56</v>
      </c>
      <c r="F40" s="1" t="s">
        <v>57</v>
      </c>
      <c r="G40" s="1" t="s">
        <v>46</v>
      </c>
      <c r="H40" s="1" t="s">
        <v>47</v>
      </c>
      <c r="I40" s="1">
        <v>1176</v>
      </c>
      <c r="J40" s="1">
        <v>30288</v>
      </c>
      <c r="K40" s="1">
        <v>1</v>
      </c>
      <c r="L40" s="1">
        <v>82</v>
      </c>
      <c r="M40" s="1">
        <v>2082</v>
      </c>
      <c r="N40" s="1" t="s">
        <v>48</v>
      </c>
      <c r="O40" s="1">
        <v>197185</v>
      </c>
      <c r="P40" s="1">
        <v>94</v>
      </c>
      <c r="Q40" s="1" t="s">
        <v>125</v>
      </c>
      <c r="R40" s="1" t="s">
        <v>50</v>
      </c>
      <c r="S40" s="1">
        <v>0</v>
      </c>
      <c r="T40" s="1">
        <v>0</v>
      </c>
      <c r="U40" s="1">
        <v>51.997</v>
      </c>
      <c r="V40" s="1">
        <v>25.521000000000001</v>
      </c>
      <c r="W40" s="1">
        <v>0.52</v>
      </c>
      <c r="X40" s="1">
        <v>0.11899999999999999</v>
      </c>
      <c r="Y40" s="1">
        <v>25.64</v>
      </c>
      <c r="Z40" s="1">
        <v>0.115</v>
      </c>
      <c r="AA40" s="1">
        <v>0.2</v>
      </c>
      <c r="AB40" s="1">
        <v>0.3</v>
      </c>
      <c r="AC40" s="1">
        <v>0.3</v>
      </c>
      <c r="AD40" s="1">
        <v>0.11899999999999999</v>
      </c>
      <c r="AE40" s="1">
        <v>0.108</v>
      </c>
      <c r="AF40" s="1">
        <v>1.2999999999999999E-2</v>
      </c>
      <c r="AG40" s="1">
        <v>0.2</v>
      </c>
      <c r="AI40" s="1">
        <v>0</v>
      </c>
      <c r="AJ40" s="1">
        <v>0</v>
      </c>
      <c r="AK40" s="1">
        <v>0</v>
      </c>
      <c r="AL40" s="1">
        <v>1</v>
      </c>
      <c r="AM40" s="1">
        <v>86400</v>
      </c>
      <c r="AN40" s="1">
        <v>78021</v>
      </c>
      <c r="AO40" s="1">
        <v>8379</v>
      </c>
      <c r="AP40" s="1">
        <v>46871</v>
      </c>
      <c r="AQ40" s="1">
        <v>6.099070999539685</v>
      </c>
    </row>
    <row r="41" spans="1:43" x14ac:dyDescent="0.45">
      <c r="A41" s="1">
        <v>40</v>
      </c>
      <c r="B41" s="1">
        <v>73</v>
      </c>
      <c r="C41" s="1">
        <v>83</v>
      </c>
      <c r="D41" s="1" t="s">
        <v>55</v>
      </c>
      <c r="E41" s="1" t="s">
        <v>56</v>
      </c>
      <c r="F41" s="1" t="s">
        <v>57</v>
      </c>
      <c r="G41" s="1" t="s">
        <v>46</v>
      </c>
      <c r="H41" s="1" t="s">
        <v>47</v>
      </c>
      <c r="I41" s="1">
        <v>1176</v>
      </c>
      <c r="J41" s="1">
        <v>30288</v>
      </c>
      <c r="K41" s="1">
        <v>1</v>
      </c>
      <c r="L41" s="1">
        <v>82</v>
      </c>
      <c r="M41" s="1">
        <v>2083</v>
      </c>
      <c r="N41" s="1" t="s">
        <v>48</v>
      </c>
      <c r="O41" s="1">
        <v>197186</v>
      </c>
      <c r="P41" s="1">
        <v>94</v>
      </c>
      <c r="Q41" s="1" t="s">
        <v>125</v>
      </c>
      <c r="R41" s="1" t="s">
        <v>50</v>
      </c>
      <c r="S41" s="1">
        <v>0</v>
      </c>
      <c r="T41" s="1">
        <v>0</v>
      </c>
      <c r="U41" s="1">
        <v>86.650999999999996</v>
      </c>
      <c r="V41" s="1">
        <v>25.417000000000002</v>
      </c>
      <c r="W41" s="1">
        <v>0.54</v>
      </c>
      <c r="X41" s="1">
        <v>0.223</v>
      </c>
      <c r="Y41" s="1">
        <v>25.64</v>
      </c>
      <c r="Z41" s="1">
        <v>0.15</v>
      </c>
      <c r="AA41" s="1">
        <v>0.6</v>
      </c>
      <c r="AB41" s="1">
        <v>0.6</v>
      </c>
      <c r="AC41" s="1">
        <v>0.6</v>
      </c>
      <c r="AD41" s="1">
        <v>0.223</v>
      </c>
      <c r="AE41" s="1">
        <v>0.13300000000000001</v>
      </c>
      <c r="AF41" s="1">
        <v>3.1E-2</v>
      </c>
      <c r="AG41" s="1">
        <v>0.6</v>
      </c>
      <c r="AI41" s="1">
        <v>0</v>
      </c>
      <c r="AJ41" s="1">
        <v>0</v>
      </c>
      <c r="AK41" s="1">
        <v>0</v>
      </c>
      <c r="AL41" s="1">
        <v>1</v>
      </c>
      <c r="AM41" s="1">
        <v>86400</v>
      </c>
      <c r="AN41" s="1">
        <v>81726</v>
      </c>
      <c r="AO41" s="1">
        <v>4674</v>
      </c>
      <c r="AP41" s="1">
        <v>47080</v>
      </c>
      <c r="AQ41" s="1">
        <v>18.19739861676883</v>
      </c>
    </row>
    <row r="42" spans="1:43" x14ac:dyDescent="0.45">
      <c r="A42" s="1">
        <v>41</v>
      </c>
      <c r="B42" s="1">
        <v>73</v>
      </c>
      <c r="C42" s="1">
        <v>83</v>
      </c>
      <c r="D42" s="1" t="s">
        <v>55</v>
      </c>
      <c r="E42" s="1" t="s">
        <v>56</v>
      </c>
      <c r="F42" s="1" t="s">
        <v>57</v>
      </c>
      <c r="G42" s="1" t="s">
        <v>46</v>
      </c>
      <c r="H42" s="1" t="s">
        <v>47</v>
      </c>
      <c r="I42" s="1">
        <v>1176</v>
      </c>
      <c r="J42" s="1">
        <v>30288</v>
      </c>
      <c r="K42" s="1">
        <v>1</v>
      </c>
      <c r="L42" s="1">
        <v>82</v>
      </c>
      <c r="M42" s="1">
        <v>2084</v>
      </c>
      <c r="N42" s="1" t="s">
        <v>48</v>
      </c>
      <c r="O42" s="1">
        <v>197191</v>
      </c>
      <c r="P42" s="1">
        <v>94</v>
      </c>
      <c r="Q42" s="1" t="s">
        <v>125</v>
      </c>
      <c r="R42" s="1" t="s">
        <v>50</v>
      </c>
      <c r="S42" s="1">
        <v>0</v>
      </c>
      <c r="T42" s="1">
        <v>0</v>
      </c>
      <c r="U42" s="1">
        <v>337.67399999999998</v>
      </c>
      <c r="V42" s="1">
        <v>25.428000000000001</v>
      </c>
      <c r="W42" s="1">
        <v>0.53</v>
      </c>
      <c r="X42" s="1">
        <v>0.21099999999999999</v>
      </c>
      <c r="Y42" s="1">
        <v>25.638999999999999</v>
      </c>
      <c r="Z42" s="1">
        <v>0.13300000000000001</v>
      </c>
      <c r="AA42" s="1">
        <v>1</v>
      </c>
      <c r="AB42" s="1">
        <v>1.1000000000000001</v>
      </c>
      <c r="AC42" s="1">
        <v>1.1000000000000001</v>
      </c>
      <c r="AD42" s="1">
        <v>0.21099999999999999</v>
      </c>
      <c r="AE42" s="1">
        <v>0.128</v>
      </c>
      <c r="AF42" s="1">
        <v>2.7E-2</v>
      </c>
      <c r="AG42" s="1">
        <v>1</v>
      </c>
      <c r="AI42" s="1">
        <v>0</v>
      </c>
      <c r="AJ42" s="1">
        <v>0</v>
      </c>
      <c r="AK42" s="1">
        <v>0</v>
      </c>
      <c r="AL42" s="1">
        <v>1</v>
      </c>
      <c r="AM42" s="1">
        <v>86400</v>
      </c>
      <c r="AN42" s="1">
        <v>80227</v>
      </c>
      <c r="AO42" s="1">
        <v>6173</v>
      </c>
      <c r="AP42" s="1">
        <v>46884</v>
      </c>
      <c r="AQ42" s="1">
        <v>22.042314828065258</v>
      </c>
    </row>
    <row r="43" spans="1:43" x14ac:dyDescent="0.45">
      <c r="A43" s="1">
        <v>42</v>
      </c>
      <c r="B43" s="1">
        <v>73</v>
      </c>
      <c r="C43" s="1">
        <v>83</v>
      </c>
      <c r="D43" s="1" t="s">
        <v>55</v>
      </c>
      <c r="E43" s="1" t="s">
        <v>56</v>
      </c>
      <c r="F43" s="1" t="s">
        <v>57</v>
      </c>
      <c r="G43" s="1" t="s">
        <v>46</v>
      </c>
      <c r="H43" s="1" t="s">
        <v>47</v>
      </c>
      <c r="I43" s="1">
        <v>1176</v>
      </c>
      <c r="J43" s="1">
        <v>30288</v>
      </c>
      <c r="K43" s="1">
        <v>1</v>
      </c>
      <c r="L43" s="1">
        <v>82</v>
      </c>
      <c r="M43" s="1">
        <v>2085</v>
      </c>
      <c r="N43" s="1" t="s">
        <v>48</v>
      </c>
      <c r="O43" s="1">
        <v>197193</v>
      </c>
      <c r="P43" s="1">
        <v>94</v>
      </c>
      <c r="Q43" s="1" t="s">
        <v>125</v>
      </c>
      <c r="R43" s="1" t="s">
        <v>50</v>
      </c>
      <c r="S43" s="1">
        <v>0</v>
      </c>
      <c r="T43" s="1">
        <v>0</v>
      </c>
      <c r="U43" s="1">
        <v>187.57</v>
      </c>
      <c r="V43" s="1">
        <v>25.488</v>
      </c>
      <c r="W43" s="1">
        <v>0.52</v>
      </c>
      <c r="X43" s="1">
        <v>0.15</v>
      </c>
      <c r="Y43" s="1">
        <v>25.638999999999999</v>
      </c>
      <c r="Z43" s="1">
        <v>0.109</v>
      </c>
      <c r="AA43" s="1">
        <v>0.6</v>
      </c>
      <c r="AB43" s="1">
        <v>0.6</v>
      </c>
      <c r="AC43" s="1">
        <v>0.6</v>
      </c>
      <c r="AD43" s="1">
        <v>0.15</v>
      </c>
      <c r="AE43" s="1">
        <v>0.10199999999999999</v>
      </c>
      <c r="AF43" s="1">
        <v>1.4999999999999999E-2</v>
      </c>
      <c r="AG43" s="1">
        <v>0.6</v>
      </c>
      <c r="AI43" s="1">
        <v>0</v>
      </c>
      <c r="AJ43" s="1">
        <v>0</v>
      </c>
      <c r="AK43" s="1">
        <v>0</v>
      </c>
      <c r="AL43" s="1">
        <v>1</v>
      </c>
      <c r="AM43" s="1">
        <v>86400</v>
      </c>
      <c r="AN43" s="1">
        <v>78793</v>
      </c>
      <c r="AO43" s="1">
        <v>7607</v>
      </c>
      <c r="AP43" s="1">
        <v>47123</v>
      </c>
      <c r="AQ43" s="1">
        <v>2.9982988472460508</v>
      </c>
    </row>
    <row r="44" spans="1:43" x14ac:dyDescent="0.45">
      <c r="A44" s="1">
        <v>43</v>
      </c>
      <c r="B44" s="1">
        <v>73</v>
      </c>
      <c r="C44" s="1">
        <v>83</v>
      </c>
      <c r="D44" s="1" t="s">
        <v>55</v>
      </c>
      <c r="E44" s="1" t="s">
        <v>56</v>
      </c>
      <c r="F44" s="1" t="s">
        <v>57</v>
      </c>
      <c r="G44" s="1" t="s">
        <v>46</v>
      </c>
      <c r="H44" s="1" t="s">
        <v>47</v>
      </c>
      <c r="I44" s="1">
        <v>1176</v>
      </c>
      <c r="J44" s="1">
        <v>30288</v>
      </c>
      <c r="K44" s="1">
        <v>1</v>
      </c>
      <c r="L44" s="1">
        <v>82</v>
      </c>
      <c r="M44" s="1">
        <v>2099</v>
      </c>
      <c r="N44" s="1" t="s">
        <v>48</v>
      </c>
      <c r="O44" s="1">
        <v>197574</v>
      </c>
      <c r="P44" s="1">
        <v>94</v>
      </c>
      <c r="Q44" s="1" t="s">
        <v>125</v>
      </c>
      <c r="R44" s="1" t="s">
        <v>50</v>
      </c>
      <c r="S44" s="1">
        <v>0</v>
      </c>
      <c r="T44" s="1">
        <v>0</v>
      </c>
      <c r="U44" s="1">
        <v>452.05500000000001</v>
      </c>
      <c r="V44" s="1">
        <v>25.53</v>
      </c>
      <c r="W44" s="1">
        <v>0.52</v>
      </c>
      <c r="X44" s="1">
        <v>0.10299999999999999</v>
      </c>
      <c r="Y44" s="1">
        <v>25.632000000000001</v>
      </c>
      <c r="Z44" s="1">
        <v>9.6000000000000002E-2</v>
      </c>
      <c r="AA44" s="1">
        <v>0.8</v>
      </c>
      <c r="AB44" s="1">
        <v>0.8</v>
      </c>
      <c r="AC44" s="1">
        <v>0.8</v>
      </c>
      <c r="AD44" s="1">
        <v>0.10299999999999999</v>
      </c>
      <c r="AE44" s="1">
        <v>9.6000000000000002E-2</v>
      </c>
      <c r="AF44" s="1">
        <v>0.01</v>
      </c>
      <c r="AG44" s="1">
        <v>0.8</v>
      </c>
      <c r="AI44" s="1">
        <v>0</v>
      </c>
      <c r="AJ44" s="1">
        <v>0</v>
      </c>
      <c r="AK44" s="1">
        <v>0</v>
      </c>
      <c r="AL44" s="1">
        <v>1</v>
      </c>
      <c r="AM44" s="1">
        <v>54137</v>
      </c>
      <c r="AN44" s="1">
        <v>10907</v>
      </c>
      <c r="AO44" s="1">
        <v>43229</v>
      </c>
      <c r="AP44" s="1">
        <v>46908</v>
      </c>
      <c r="AQ44" s="1">
        <v>1.603727782574899</v>
      </c>
    </row>
    <row r="45" spans="1:43" x14ac:dyDescent="0.45">
      <c r="A45" s="1">
        <v>44</v>
      </c>
      <c r="B45" s="1">
        <v>73</v>
      </c>
      <c r="C45" s="1">
        <v>83</v>
      </c>
      <c r="D45" s="1" t="s">
        <v>55</v>
      </c>
      <c r="E45" s="1" t="s">
        <v>56</v>
      </c>
      <c r="F45" s="1" t="s">
        <v>57</v>
      </c>
      <c r="G45" s="1" t="s">
        <v>46</v>
      </c>
      <c r="H45" s="1" t="s">
        <v>47</v>
      </c>
      <c r="I45" s="1">
        <v>1176</v>
      </c>
      <c r="J45" s="1">
        <v>30288</v>
      </c>
      <c r="K45" s="1">
        <v>1</v>
      </c>
      <c r="L45" s="1">
        <v>82</v>
      </c>
      <c r="M45" s="1">
        <v>2103</v>
      </c>
      <c r="N45" s="1" t="s">
        <v>48</v>
      </c>
      <c r="O45" s="1">
        <v>197607</v>
      </c>
      <c r="P45" s="1">
        <v>94</v>
      </c>
      <c r="Q45" s="1" t="s">
        <v>125</v>
      </c>
      <c r="R45" s="1" t="s">
        <v>50</v>
      </c>
      <c r="S45" s="1">
        <v>0</v>
      </c>
      <c r="T45" s="1">
        <v>0</v>
      </c>
      <c r="U45" s="1">
        <v>321.52999999999997</v>
      </c>
      <c r="V45" s="1">
        <v>25.452000000000002</v>
      </c>
      <c r="W45" s="1">
        <v>0.53</v>
      </c>
      <c r="X45" s="1">
        <v>0.17100000000000001</v>
      </c>
      <c r="Y45" s="1">
        <v>25.623000000000001</v>
      </c>
      <c r="Z45" s="1">
        <v>0.14399999999999999</v>
      </c>
      <c r="AA45" s="1">
        <v>0.1</v>
      </c>
      <c r="AB45" s="1">
        <v>0.1</v>
      </c>
      <c r="AC45" s="1">
        <v>0.1</v>
      </c>
      <c r="AD45" s="1">
        <v>0.17100000000000001</v>
      </c>
      <c r="AE45" s="1">
        <v>0.13300000000000001</v>
      </c>
      <c r="AF45" s="1">
        <v>2.3E-2</v>
      </c>
      <c r="AG45" s="1">
        <v>0.1</v>
      </c>
      <c r="AI45" s="1">
        <v>0</v>
      </c>
      <c r="AJ45" s="1">
        <v>0</v>
      </c>
      <c r="AK45" s="1">
        <v>0</v>
      </c>
      <c r="AL45" s="1">
        <v>1</v>
      </c>
      <c r="AM45" s="1">
        <v>86400</v>
      </c>
      <c r="AN45" s="1">
        <v>77989</v>
      </c>
      <c r="AO45" s="1">
        <v>8411</v>
      </c>
      <c r="AP45" s="1">
        <v>47058</v>
      </c>
      <c r="AQ45" s="1">
        <v>24.308660373477451</v>
      </c>
    </row>
    <row r="46" spans="1:43" x14ac:dyDescent="0.45">
      <c r="A46" s="1">
        <v>45</v>
      </c>
      <c r="B46" s="1">
        <v>73</v>
      </c>
      <c r="C46" s="1">
        <v>83</v>
      </c>
      <c r="D46" s="1" t="s">
        <v>55</v>
      </c>
      <c r="E46" s="1" t="s">
        <v>56</v>
      </c>
      <c r="F46" s="1" t="s">
        <v>57</v>
      </c>
      <c r="G46" s="1" t="s">
        <v>46</v>
      </c>
      <c r="H46" s="1" t="s">
        <v>47</v>
      </c>
      <c r="I46" s="1">
        <v>1176</v>
      </c>
      <c r="J46" s="1">
        <v>30288</v>
      </c>
      <c r="K46" s="1">
        <v>1</v>
      </c>
      <c r="L46" s="1">
        <v>82</v>
      </c>
      <c r="M46" s="1">
        <v>2104</v>
      </c>
      <c r="N46" s="1" t="s">
        <v>48</v>
      </c>
      <c r="O46" s="1">
        <v>197609</v>
      </c>
      <c r="P46" s="1">
        <v>94</v>
      </c>
      <c r="Q46" s="1" t="s">
        <v>125</v>
      </c>
      <c r="R46" s="1" t="s">
        <v>50</v>
      </c>
      <c r="S46" s="1">
        <v>0</v>
      </c>
      <c r="T46" s="1">
        <v>0</v>
      </c>
      <c r="U46" s="1">
        <v>222.179</v>
      </c>
      <c r="V46" s="1">
        <v>25.413</v>
      </c>
      <c r="W46" s="1">
        <v>0.53</v>
      </c>
      <c r="X46" s="1">
        <v>0.20799999999999999</v>
      </c>
      <c r="Y46" s="1">
        <v>25.622</v>
      </c>
      <c r="Z46" s="1">
        <v>0.17</v>
      </c>
      <c r="AA46" s="1">
        <v>1.2</v>
      </c>
      <c r="AB46" s="1">
        <v>1.3</v>
      </c>
      <c r="AC46" s="1">
        <v>1.3</v>
      </c>
      <c r="AD46" s="1">
        <v>0.20799999999999999</v>
      </c>
      <c r="AE46" s="1">
        <v>0.161</v>
      </c>
      <c r="AF46" s="1">
        <v>3.4000000000000002E-2</v>
      </c>
      <c r="AG46" s="1">
        <v>1.2</v>
      </c>
      <c r="AI46" s="1">
        <v>0</v>
      </c>
      <c r="AJ46" s="1">
        <v>0</v>
      </c>
      <c r="AK46" s="1">
        <v>0</v>
      </c>
      <c r="AL46" s="1">
        <v>1</v>
      </c>
      <c r="AM46" s="1">
        <v>86400</v>
      </c>
      <c r="AN46" s="1">
        <v>80116</v>
      </c>
      <c r="AO46" s="1">
        <v>6284</v>
      </c>
      <c r="AP46" s="1">
        <v>47957</v>
      </c>
      <c r="AQ46" s="1">
        <v>3.2914653154281028</v>
      </c>
    </row>
    <row r="47" spans="1:43" x14ac:dyDescent="0.45">
      <c r="A47" s="1">
        <v>46</v>
      </c>
      <c r="B47" s="1">
        <v>73</v>
      </c>
      <c r="C47" s="1">
        <v>83</v>
      </c>
      <c r="D47" s="1" t="s">
        <v>55</v>
      </c>
      <c r="E47" s="1" t="s">
        <v>56</v>
      </c>
      <c r="F47" s="1" t="s">
        <v>57</v>
      </c>
      <c r="G47" s="1" t="s">
        <v>46</v>
      </c>
      <c r="H47" s="1" t="s">
        <v>47</v>
      </c>
      <c r="I47" s="1">
        <v>1176</v>
      </c>
      <c r="J47" s="1">
        <v>30288</v>
      </c>
      <c r="K47" s="1">
        <v>1</v>
      </c>
      <c r="L47" s="1">
        <v>82</v>
      </c>
      <c r="M47" s="1">
        <v>2105</v>
      </c>
      <c r="N47" s="1" t="s">
        <v>48</v>
      </c>
      <c r="O47" s="1">
        <v>197614</v>
      </c>
      <c r="P47" s="1">
        <v>94</v>
      </c>
      <c r="Q47" s="1" t="s">
        <v>125</v>
      </c>
      <c r="R47" s="1" t="s">
        <v>50</v>
      </c>
      <c r="S47" s="1">
        <v>0</v>
      </c>
      <c r="T47" s="1">
        <v>0</v>
      </c>
      <c r="U47" s="1">
        <v>103.658</v>
      </c>
      <c r="V47" s="1">
        <v>25.395</v>
      </c>
      <c r="W47" s="1">
        <v>0.53</v>
      </c>
      <c r="X47" s="1">
        <v>0.191</v>
      </c>
      <c r="Y47" s="1">
        <v>25.587</v>
      </c>
      <c r="Z47" s="1">
        <v>0.19700000000000001</v>
      </c>
      <c r="AA47" s="1">
        <v>0.5</v>
      </c>
      <c r="AB47" s="1">
        <v>0.5</v>
      </c>
      <c r="AC47" s="1">
        <v>0.5</v>
      </c>
      <c r="AD47" s="1">
        <v>0.191</v>
      </c>
      <c r="AE47" s="1">
        <v>0.19700000000000001</v>
      </c>
      <c r="AF47" s="1">
        <v>3.7999999999999999E-2</v>
      </c>
      <c r="AG47" s="1">
        <v>0.5</v>
      </c>
      <c r="AI47" s="1">
        <v>0</v>
      </c>
      <c r="AJ47" s="1">
        <v>0</v>
      </c>
      <c r="AK47" s="1">
        <v>0</v>
      </c>
      <c r="AL47" s="1">
        <v>1</v>
      </c>
      <c r="AM47" s="1">
        <v>86400</v>
      </c>
      <c r="AN47" s="1">
        <v>75426</v>
      </c>
      <c r="AO47" s="1">
        <v>10972</v>
      </c>
      <c r="AP47" s="1">
        <v>47072</v>
      </c>
      <c r="AQ47" s="1">
        <v>20.95314867485412</v>
      </c>
    </row>
    <row r="48" spans="1:43" x14ac:dyDescent="0.45">
      <c r="A48" s="1">
        <v>47</v>
      </c>
      <c r="B48" s="1">
        <v>73</v>
      </c>
      <c r="C48" s="1">
        <v>83</v>
      </c>
      <c r="D48" s="1" t="s">
        <v>55</v>
      </c>
      <c r="E48" s="1" t="s">
        <v>56</v>
      </c>
      <c r="F48" s="1" t="s">
        <v>57</v>
      </c>
      <c r="G48" s="1" t="s">
        <v>46</v>
      </c>
      <c r="H48" s="1" t="s">
        <v>47</v>
      </c>
      <c r="I48" s="1">
        <v>1176</v>
      </c>
      <c r="J48" s="1">
        <v>30288</v>
      </c>
      <c r="K48" s="1">
        <v>1</v>
      </c>
      <c r="L48" s="1">
        <v>82</v>
      </c>
      <c r="M48" s="1">
        <v>2106</v>
      </c>
      <c r="N48" s="1" t="s">
        <v>48</v>
      </c>
      <c r="O48" s="1">
        <v>197615</v>
      </c>
      <c r="P48" s="1">
        <v>94</v>
      </c>
      <c r="Q48" s="1" t="s">
        <v>125</v>
      </c>
      <c r="R48" s="1" t="s">
        <v>50</v>
      </c>
      <c r="S48" s="1">
        <v>0</v>
      </c>
      <c r="T48" s="1">
        <v>0</v>
      </c>
      <c r="U48" s="1">
        <v>56.435000000000002</v>
      </c>
      <c r="V48" s="1">
        <v>25.431999999999999</v>
      </c>
      <c r="W48" s="1">
        <v>0.53</v>
      </c>
      <c r="X48" s="1">
        <v>0.157</v>
      </c>
      <c r="Y48" s="1">
        <v>25.588999999999999</v>
      </c>
      <c r="Z48" s="1">
        <v>0.2</v>
      </c>
      <c r="AA48" s="1">
        <v>0</v>
      </c>
      <c r="AB48" s="1">
        <v>0.1</v>
      </c>
      <c r="AC48" s="1">
        <v>0.1</v>
      </c>
      <c r="AD48" s="1">
        <v>0.157</v>
      </c>
      <c r="AE48" s="1">
        <v>0.183</v>
      </c>
      <c r="AF48" s="1">
        <v>2.9000000000000001E-2</v>
      </c>
      <c r="AG48" s="1">
        <v>0</v>
      </c>
      <c r="AI48" s="1">
        <v>0</v>
      </c>
      <c r="AJ48" s="1">
        <v>0</v>
      </c>
      <c r="AK48" s="1">
        <v>0</v>
      </c>
      <c r="AL48" s="1">
        <v>1</v>
      </c>
      <c r="AM48" s="1">
        <v>57899</v>
      </c>
      <c r="AN48" s="1">
        <v>21521</v>
      </c>
      <c r="AO48" s="1">
        <v>36378</v>
      </c>
      <c r="AP48" s="1">
        <v>47475</v>
      </c>
      <c r="AQ48" s="1">
        <v>2.9781913905105362</v>
      </c>
    </row>
    <row r="49" spans="1:43" x14ac:dyDescent="0.45">
      <c r="A49" s="1">
        <v>48</v>
      </c>
      <c r="B49" s="1">
        <v>73</v>
      </c>
      <c r="C49" s="1">
        <v>83</v>
      </c>
      <c r="D49" s="1" t="s">
        <v>55</v>
      </c>
      <c r="E49" s="1" t="s">
        <v>56</v>
      </c>
      <c r="F49" s="1" t="s">
        <v>57</v>
      </c>
      <c r="G49" s="1" t="s">
        <v>46</v>
      </c>
      <c r="H49" s="1" t="s">
        <v>47</v>
      </c>
      <c r="I49" s="1">
        <v>1176</v>
      </c>
      <c r="J49" s="1">
        <v>30288</v>
      </c>
      <c r="K49" s="1">
        <v>1</v>
      </c>
      <c r="L49" s="1">
        <v>82</v>
      </c>
      <c r="M49" s="1">
        <v>2109</v>
      </c>
      <c r="N49" s="1" t="s">
        <v>48</v>
      </c>
      <c r="O49" s="1">
        <v>197620</v>
      </c>
      <c r="P49" s="1">
        <v>94</v>
      </c>
      <c r="Q49" s="1" t="s">
        <v>125</v>
      </c>
      <c r="R49" s="1" t="s">
        <v>50</v>
      </c>
      <c r="S49" s="1">
        <v>0</v>
      </c>
      <c r="T49" s="1">
        <v>0</v>
      </c>
      <c r="U49" s="1">
        <v>87.173000000000002</v>
      </c>
      <c r="V49" s="1">
        <v>25.33</v>
      </c>
      <c r="W49" s="1">
        <v>0.54</v>
      </c>
      <c r="X49" s="1">
        <v>0.251</v>
      </c>
      <c r="Y49" s="1">
        <v>25.581</v>
      </c>
      <c r="Z49" s="1">
        <v>0.252</v>
      </c>
      <c r="AA49" s="1">
        <v>0.3</v>
      </c>
      <c r="AB49" s="1">
        <v>0.3</v>
      </c>
      <c r="AC49" s="1">
        <v>0.3</v>
      </c>
      <c r="AD49" s="1">
        <v>0.251</v>
      </c>
      <c r="AE49" s="1">
        <v>0.252</v>
      </c>
      <c r="AF49" s="1">
        <v>6.3E-2</v>
      </c>
      <c r="AG49" s="1">
        <v>0.3</v>
      </c>
      <c r="AI49" s="1">
        <v>0</v>
      </c>
      <c r="AJ49" s="1">
        <v>0</v>
      </c>
      <c r="AK49" s="1">
        <v>0</v>
      </c>
      <c r="AL49" s="1">
        <v>1</v>
      </c>
      <c r="AM49" s="1">
        <v>86400</v>
      </c>
      <c r="AN49" s="1">
        <v>79700</v>
      </c>
      <c r="AO49" s="1">
        <v>6700</v>
      </c>
      <c r="AP49" s="1">
        <v>47006</v>
      </c>
      <c r="AQ49" s="1">
        <v>3.5045953332990272</v>
      </c>
    </row>
    <row r="50" spans="1:43" x14ac:dyDescent="0.45">
      <c r="A50" s="1">
        <v>49</v>
      </c>
      <c r="B50" s="1">
        <v>73</v>
      </c>
      <c r="C50" s="1">
        <v>83</v>
      </c>
      <c r="D50" s="1" t="s">
        <v>55</v>
      </c>
      <c r="E50" s="1" t="s">
        <v>56</v>
      </c>
      <c r="F50" s="1" t="s">
        <v>57</v>
      </c>
      <c r="G50" s="1" t="s">
        <v>46</v>
      </c>
      <c r="H50" s="1" t="s">
        <v>47</v>
      </c>
      <c r="I50" s="1">
        <v>1176</v>
      </c>
      <c r="J50" s="1">
        <v>30288</v>
      </c>
      <c r="K50" s="1">
        <v>1</v>
      </c>
      <c r="L50" s="1">
        <v>82</v>
      </c>
      <c r="M50" s="1">
        <v>2110</v>
      </c>
      <c r="N50" s="1" t="s">
        <v>48</v>
      </c>
      <c r="O50" s="1">
        <v>197622</v>
      </c>
      <c r="P50" s="1">
        <v>94</v>
      </c>
      <c r="Q50" s="1" t="s">
        <v>125</v>
      </c>
      <c r="R50" s="1" t="s">
        <v>50</v>
      </c>
      <c r="S50" s="1">
        <v>0</v>
      </c>
      <c r="T50" s="1">
        <v>0</v>
      </c>
      <c r="U50" s="1">
        <v>74.367000000000004</v>
      </c>
      <c r="V50" s="1">
        <v>25.289000000000001</v>
      </c>
      <c r="W50" s="1">
        <v>0.55000000000000004</v>
      </c>
      <c r="X50" s="1">
        <v>0.28899999999999998</v>
      </c>
      <c r="Y50" s="1">
        <v>25.577999999999999</v>
      </c>
      <c r="Z50" s="1">
        <v>0.313</v>
      </c>
      <c r="AA50" s="1">
        <v>0.4</v>
      </c>
      <c r="AB50" s="1">
        <v>0.4</v>
      </c>
      <c r="AC50" s="1">
        <v>0.4</v>
      </c>
      <c r="AD50" s="1">
        <v>0.28899999999999998</v>
      </c>
      <c r="AE50" s="1">
        <v>0.312</v>
      </c>
      <c r="AF50" s="1">
        <v>0.09</v>
      </c>
      <c r="AG50" s="1">
        <v>0.4</v>
      </c>
      <c r="AI50" s="1">
        <v>0</v>
      </c>
      <c r="AJ50" s="1">
        <v>0</v>
      </c>
      <c r="AK50" s="1">
        <v>0</v>
      </c>
      <c r="AL50" s="1">
        <v>1</v>
      </c>
      <c r="AM50" s="1">
        <v>86400</v>
      </c>
      <c r="AN50" s="1">
        <v>80753</v>
      </c>
      <c r="AO50" s="1">
        <v>5647</v>
      </c>
      <c r="AP50" s="1">
        <v>47236</v>
      </c>
      <c r="AQ50" s="1">
        <v>16.15653130558637</v>
      </c>
    </row>
    <row r="51" spans="1:43" x14ac:dyDescent="0.45">
      <c r="A51" s="1">
        <v>50</v>
      </c>
      <c r="B51" s="1">
        <v>73</v>
      </c>
      <c r="C51" s="1">
        <v>83</v>
      </c>
      <c r="D51" s="1" t="s">
        <v>55</v>
      </c>
      <c r="E51" s="1" t="s">
        <v>56</v>
      </c>
      <c r="F51" s="1" t="s">
        <v>57</v>
      </c>
      <c r="G51" s="1" t="s">
        <v>46</v>
      </c>
      <c r="H51" s="1" t="s">
        <v>47</v>
      </c>
      <c r="I51" s="1">
        <v>1176</v>
      </c>
      <c r="J51" s="1">
        <v>30288</v>
      </c>
      <c r="K51" s="1">
        <v>1</v>
      </c>
      <c r="L51" s="1">
        <v>82</v>
      </c>
      <c r="M51" s="1">
        <v>2111</v>
      </c>
      <c r="N51" s="1" t="s">
        <v>48</v>
      </c>
      <c r="O51" s="1">
        <v>197623</v>
      </c>
      <c r="P51" s="1">
        <v>94</v>
      </c>
      <c r="Q51" s="1" t="s">
        <v>125</v>
      </c>
      <c r="R51" s="1" t="s">
        <v>50</v>
      </c>
      <c r="S51" s="1">
        <v>0</v>
      </c>
      <c r="T51" s="1">
        <v>0</v>
      </c>
      <c r="U51" s="1">
        <v>51.329000000000001</v>
      </c>
      <c r="V51" s="1">
        <v>25.263000000000002</v>
      </c>
      <c r="W51" s="1">
        <v>0.56000000000000005</v>
      </c>
      <c r="X51" s="1">
        <v>0.315</v>
      </c>
      <c r="Y51" s="1">
        <v>25.577999999999999</v>
      </c>
      <c r="Z51" s="1">
        <v>0.32800000000000001</v>
      </c>
      <c r="AA51" s="1">
        <v>0.4</v>
      </c>
      <c r="AB51" s="1">
        <v>0.4</v>
      </c>
      <c r="AC51" s="1">
        <v>0.4</v>
      </c>
      <c r="AD51" s="1">
        <v>0.315</v>
      </c>
      <c r="AE51" s="1">
        <v>0.32800000000000001</v>
      </c>
      <c r="AF51" s="1">
        <v>0.10299999999999999</v>
      </c>
      <c r="AG51" s="1">
        <v>0.4</v>
      </c>
      <c r="AI51" s="1">
        <v>0</v>
      </c>
      <c r="AJ51" s="1">
        <v>0</v>
      </c>
      <c r="AK51" s="1">
        <v>0</v>
      </c>
      <c r="AL51" s="1">
        <v>1</v>
      </c>
      <c r="AM51" s="1">
        <v>86400</v>
      </c>
      <c r="AN51" s="1">
        <v>81313</v>
      </c>
      <c r="AO51" s="1">
        <v>5087</v>
      </c>
      <c r="AP51" s="1">
        <v>47158</v>
      </c>
      <c r="AQ51" s="1">
        <v>2.298754340804646</v>
      </c>
    </row>
    <row r="52" spans="1:43" x14ac:dyDescent="0.45">
      <c r="A52" s="1">
        <v>51</v>
      </c>
      <c r="B52" s="1">
        <v>73</v>
      </c>
      <c r="C52" s="1">
        <v>83</v>
      </c>
      <c r="D52" s="1" t="s">
        <v>55</v>
      </c>
      <c r="E52" s="1" t="s">
        <v>56</v>
      </c>
      <c r="F52" s="1" t="s">
        <v>57</v>
      </c>
      <c r="G52" s="1" t="s">
        <v>46</v>
      </c>
      <c r="H52" s="1" t="s">
        <v>47</v>
      </c>
      <c r="I52" s="1">
        <v>1176</v>
      </c>
      <c r="J52" s="1">
        <v>30288</v>
      </c>
      <c r="K52" s="1">
        <v>1</v>
      </c>
      <c r="L52" s="1">
        <v>82</v>
      </c>
      <c r="M52" s="1">
        <v>2115</v>
      </c>
      <c r="N52" s="1" t="s">
        <v>48</v>
      </c>
      <c r="O52" s="1">
        <v>197627</v>
      </c>
      <c r="P52" s="1">
        <v>94</v>
      </c>
      <c r="Q52" s="1" t="s">
        <v>125</v>
      </c>
      <c r="R52" s="1" t="s">
        <v>50</v>
      </c>
      <c r="S52" s="1">
        <v>0</v>
      </c>
      <c r="T52" s="1">
        <v>0</v>
      </c>
      <c r="U52" s="1">
        <v>136.291</v>
      </c>
      <c r="V52" s="1">
        <v>25.402999999999999</v>
      </c>
      <c r="W52" s="1">
        <v>0.53</v>
      </c>
      <c r="X52" s="1">
        <v>0.158</v>
      </c>
      <c r="Y52" s="1">
        <v>25.561</v>
      </c>
      <c r="Z52" s="1">
        <v>0.44700000000000001</v>
      </c>
      <c r="AA52" s="1">
        <v>0.2</v>
      </c>
      <c r="AB52" s="1">
        <v>-0.1</v>
      </c>
      <c r="AC52" s="1">
        <v>-0.1</v>
      </c>
      <c r="AD52" s="1">
        <v>0.158</v>
      </c>
      <c r="AE52" s="1">
        <v>0.30099999999999999</v>
      </c>
      <c r="AF52" s="1">
        <v>4.8000000000000001E-2</v>
      </c>
      <c r="AI52" s="1">
        <v>0</v>
      </c>
      <c r="AJ52" s="1">
        <v>0</v>
      </c>
      <c r="AK52" s="1">
        <v>0</v>
      </c>
      <c r="AL52" s="1">
        <v>1</v>
      </c>
      <c r="AM52" s="1">
        <v>54304</v>
      </c>
      <c r="AN52" s="1">
        <v>11063</v>
      </c>
      <c r="AO52" s="1">
        <v>43241</v>
      </c>
      <c r="AP52" s="1">
        <v>47108</v>
      </c>
      <c r="AQ52" s="1">
        <v>21.6510233080981</v>
      </c>
    </row>
    <row r="53" spans="1:43" x14ac:dyDescent="0.45">
      <c r="A53" s="1">
        <v>52</v>
      </c>
      <c r="B53" s="1">
        <v>73</v>
      </c>
      <c r="C53" s="1">
        <v>83</v>
      </c>
      <c r="D53" s="1" t="s">
        <v>55</v>
      </c>
      <c r="E53" s="1" t="s">
        <v>56</v>
      </c>
      <c r="F53" s="1" t="s">
        <v>57</v>
      </c>
      <c r="G53" s="1" t="s">
        <v>46</v>
      </c>
      <c r="H53" s="1" t="s">
        <v>47</v>
      </c>
      <c r="I53" s="1">
        <v>1176</v>
      </c>
      <c r="J53" s="1">
        <v>30288</v>
      </c>
      <c r="K53" s="1">
        <v>1</v>
      </c>
      <c r="L53" s="1">
        <v>82</v>
      </c>
      <c r="M53" s="1">
        <v>2116</v>
      </c>
      <c r="N53" s="1" t="s">
        <v>48</v>
      </c>
      <c r="O53" s="1">
        <v>197634</v>
      </c>
      <c r="P53" s="1">
        <v>94</v>
      </c>
      <c r="Q53" s="1" t="s">
        <v>125</v>
      </c>
      <c r="R53" s="1" t="s">
        <v>50</v>
      </c>
      <c r="S53" s="1">
        <v>0</v>
      </c>
      <c r="T53" s="1">
        <v>0</v>
      </c>
      <c r="U53" s="1">
        <v>62.061999999999998</v>
      </c>
      <c r="V53" s="1">
        <v>25.434999999999999</v>
      </c>
      <c r="W53" s="1">
        <v>0.52</v>
      </c>
      <c r="X53" s="1">
        <v>0.13</v>
      </c>
      <c r="Y53" s="1">
        <v>25.565000000000001</v>
      </c>
      <c r="Z53" s="1">
        <v>7.5999999999999998E-2</v>
      </c>
      <c r="AA53" s="1">
        <v>2.4</v>
      </c>
      <c r="AB53" s="1">
        <v>2.8</v>
      </c>
      <c r="AC53" s="1">
        <v>2.8</v>
      </c>
      <c r="AD53" s="1">
        <v>0.13</v>
      </c>
      <c r="AE53" s="1">
        <v>4.9000000000000002E-2</v>
      </c>
      <c r="AF53" s="1">
        <v>6.0000000000000001E-3</v>
      </c>
      <c r="AI53" s="1">
        <v>0</v>
      </c>
      <c r="AJ53" s="1">
        <v>0</v>
      </c>
      <c r="AK53" s="1">
        <v>0</v>
      </c>
      <c r="AL53" s="1">
        <v>1</v>
      </c>
      <c r="AM53" s="1">
        <v>51516</v>
      </c>
      <c r="AN53" s="1">
        <v>8153</v>
      </c>
      <c r="AO53" s="1">
        <v>43363</v>
      </c>
      <c r="AP53" s="1">
        <v>47521</v>
      </c>
      <c r="AQ53" s="1">
        <v>1.5434652490617771</v>
      </c>
    </row>
    <row r="54" spans="1:43" x14ac:dyDescent="0.45">
      <c r="A54" s="1">
        <v>53</v>
      </c>
      <c r="B54" s="1">
        <v>73</v>
      </c>
      <c r="C54" s="1">
        <v>83</v>
      </c>
      <c r="D54" s="1" t="s">
        <v>55</v>
      </c>
      <c r="E54" s="1" t="s">
        <v>56</v>
      </c>
      <c r="F54" s="1" t="s">
        <v>57</v>
      </c>
      <c r="G54" s="1" t="s">
        <v>46</v>
      </c>
      <c r="H54" s="1" t="s">
        <v>47</v>
      </c>
      <c r="I54" s="1">
        <v>1176</v>
      </c>
      <c r="J54" s="1">
        <v>30288</v>
      </c>
      <c r="K54" s="1">
        <v>1</v>
      </c>
      <c r="L54" s="1">
        <v>82</v>
      </c>
      <c r="M54" s="1">
        <v>2117</v>
      </c>
      <c r="N54" s="1" t="s">
        <v>48</v>
      </c>
      <c r="O54" s="1">
        <v>197648</v>
      </c>
      <c r="P54" s="1">
        <v>94</v>
      </c>
      <c r="Q54" s="1" t="s">
        <v>125</v>
      </c>
      <c r="R54" s="1" t="s">
        <v>50</v>
      </c>
      <c r="S54" s="1">
        <v>0</v>
      </c>
      <c r="T54" s="1">
        <v>0</v>
      </c>
      <c r="U54" s="1">
        <v>50.125999999999998</v>
      </c>
      <c r="V54" s="1">
        <v>25.39</v>
      </c>
      <c r="W54" s="1">
        <v>0.53</v>
      </c>
      <c r="X54" s="1">
        <v>0.17499999999999999</v>
      </c>
      <c r="Y54" s="1">
        <v>25.565000000000001</v>
      </c>
      <c r="Z54" s="1">
        <v>0.17599999999999999</v>
      </c>
      <c r="AA54" s="1">
        <v>0.7</v>
      </c>
      <c r="AB54" s="1">
        <v>0.7</v>
      </c>
      <c r="AC54" s="1">
        <v>0.7</v>
      </c>
      <c r="AD54" s="1">
        <v>0.17499999999999999</v>
      </c>
      <c r="AE54" s="1">
        <v>0.17499999999999999</v>
      </c>
      <c r="AF54" s="1">
        <v>3.1E-2</v>
      </c>
      <c r="AG54" s="1">
        <v>0.7</v>
      </c>
      <c r="AI54" s="1">
        <v>0</v>
      </c>
      <c r="AJ54" s="1">
        <v>0</v>
      </c>
      <c r="AK54" s="1">
        <v>0</v>
      </c>
      <c r="AL54" s="1">
        <v>1</v>
      </c>
      <c r="AM54" s="1">
        <v>54560</v>
      </c>
      <c r="AN54" s="1">
        <v>13592</v>
      </c>
      <c r="AO54" s="1">
        <v>40969</v>
      </c>
      <c r="AP54" s="1">
        <v>47052</v>
      </c>
      <c r="AQ54" s="1">
        <v>3.8051731273319378</v>
      </c>
    </row>
    <row r="55" spans="1:43" x14ac:dyDescent="0.45">
      <c r="A55" s="1">
        <v>54</v>
      </c>
      <c r="B55" s="1">
        <v>74</v>
      </c>
      <c r="C55" s="1">
        <v>83</v>
      </c>
      <c r="D55" s="1" t="s">
        <v>55</v>
      </c>
      <c r="E55" s="1" t="s">
        <v>56</v>
      </c>
      <c r="F55" s="1" t="s">
        <v>57</v>
      </c>
      <c r="G55" s="1" t="s">
        <v>46</v>
      </c>
      <c r="H55" s="1" t="s">
        <v>47</v>
      </c>
      <c r="I55" s="1">
        <v>1176</v>
      </c>
      <c r="J55" s="1">
        <v>30288</v>
      </c>
      <c r="K55" s="1">
        <v>1</v>
      </c>
      <c r="L55" s="1">
        <v>82</v>
      </c>
      <c r="M55" s="1">
        <v>2087</v>
      </c>
      <c r="N55" s="1" t="s">
        <v>48</v>
      </c>
      <c r="O55" s="1">
        <v>197519</v>
      </c>
      <c r="P55" s="1">
        <v>94</v>
      </c>
      <c r="Q55" s="1" t="s">
        <v>125</v>
      </c>
      <c r="R55" s="1" t="s">
        <v>50</v>
      </c>
      <c r="S55" s="1">
        <v>0</v>
      </c>
      <c r="T55" s="1">
        <v>0</v>
      </c>
      <c r="U55" s="1">
        <v>82.207999999999998</v>
      </c>
      <c r="V55" s="1">
        <v>25.507999999999999</v>
      </c>
      <c r="W55" s="1">
        <v>0.52</v>
      </c>
      <c r="X55" s="1">
        <v>0.121</v>
      </c>
      <c r="Y55" s="1">
        <v>25.63</v>
      </c>
      <c r="Z55" s="1">
        <v>0.13600000000000001</v>
      </c>
      <c r="AA55" s="1">
        <v>0.5</v>
      </c>
      <c r="AB55" s="1">
        <v>0.5</v>
      </c>
      <c r="AC55" s="1">
        <v>0.5</v>
      </c>
      <c r="AD55" s="1">
        <v>0.121</v>
      </c>
      <c r="AE55" s="1">
        <v>0.13400000000000001</v>
      </c>
      <c r="AF55" s="1">
        <v>1.6E-2</v>
      </c>
      <c r="AG55" s="1">
        <v>0.5</v>
      </c>
      <c r="AI55" s="1">
        <v>0</v>
      </c>
      <c r="AJ55" s="1">
        <v>0</v>
      </c>
      <c r="AK55" s="1">
        <v>0</v>
      </c>
      <c r="AL55" s="1">
        <v>1</v>
      </c>
      <c r="AM55" s="1">
        <v>57856</v>
      </c>
      <c r="AN55" s="1">
        <v>21303</v>
      </c>
      <c r="AO55" s="1">
        <v>36553</v>
      </c>
      <c r="AP55" s="1">
        <v>47054</v>
      </c>
      <c r="AQ55" s="1">
        <v>8.6118825219260362</v>
      </c>
    </row>
    <row r="56" spans="1:43" x14ac:dyDescent="0.45">
      <c r="A56" s="1">
        <v>55</v>
      </c>
      <c r="B56" s="1">
        <v>74</v>
      </c>
      <c r="C56" s="1">
        <v>83</v>
      </c>
      <c r="D56" s="1" t="s">
        <v>55</v>
      </c>
      <c r="E56" s="1" t="s">
        <v>56</v>
      </c>
      <c r="F56" s="1" t="s">
        <v>57</v>
      </c>
      <c r="G56" s="1" t="s">
        <v>46</v>
      </c>
      <c r="H56" s="1" t="s">
        <v>47</v>
      </c>
      <c r="I56" s="1">
        <v>1176</v>
      </c>
      <c r="J56" s="1">
        <v>30288</v>
      </c>
      <c r="K56" s="1">
        <v>1</v>
      </c>
      <c r="L56" s="1">
        <v>82</v>
      </c>
      <c r="M56" s="1">
        <v>2088</v>
      </c>
      <c r="N56" s="1" t="s">
        <v>48</v>
      </c>
      <c r="O56" s="1">
        <v>197520</v>
      </c>
      <c r="P56" s="1">
        <v>94</v>
      </c>
      <c r="Q56" s="1" t="s">
        <v>125</v>
      </c>
      <c r="R56" s="1" t="s">
        <v>50</v>
      </c>
      <c r="S56" s="1">
        <v>0</v>
      </c>
      <c r="T56" s="1">
        <v>0</v>
      </c>
      <c r="U56" s="1">
        <v>236.95699999999999</v>
      </c>
      <c r="V56" s="1">
        <v>25.372</v>
      </c>
      <c r="W56" s="1">
        <v>0.54</v>
      </c>
      <c r="X56" s="1">
        <v>0.25600000000000001</v>
      </c>
      <c r="Y56" s="1">
        <v>25.628</v>
      </c>
      <c r="Z56" s="1">
        <v>9.2999999999999999E-2</v>
      </c>
      <c r="AA56" s="1">
        <v>0.1</v>
      </c>
      <c r="AB56" s="1">
        <v>0.1</v>
      </c>
      <c r="AC56" s="1">
        <v>0.1</v>
      </c>
      <c r="AD56" s="1">
        <v>0.25600000000000001</v>
      </c>
      <c r="AE56" s="1">
        <v>9.2999999999999999E-2</v>
      </c>
      <c r="AF56" s="1">
        <v>2.4E-2</v>
      </c>
      <c r="AG56" s="1">
        <v>0.1</v>
      </c>
      <c r="AI56" s="1">
        <v>0</v>
      </c>
      <c r="AJ56" s="1">
        <v>0</v>
      </c>
      <c r="AK56" s="1">
        <v>0</v>
      </c>
      <c r="AL56" s="1">
        <v>1</v>
      </c>
      <c r="AM56" s="1">
        <v>86400</v>
      </c>
      <c r="AN56" s="1">
        <v>80995</v>
      </c>
      <c r="AO56" s="1">
        <v>5405</v>
      </c>
      <c r="AP56" s="1">
        <v>47037</v>
      </c>
      <c r="AQ56" s="1">
        <v>24.89810128895984</v>
      </c>
    </row>
    <row r="57" spans="1:43" x14ac:dyDescent="0.45">
      <c r="A57" s="1">
        <v>56</v>
      </c>
      <c r="B57" s="1">
        <v>74</v>
      </c>
      <c r="C57" s="1">
        <v>83</v>
      </c>
      <c r="D57" s="1" t="s">
        <v>55</v>
      </c>
      <c r="E57" s="1" t="s">
        <v>56</v>
      </c>
      <c r="F57" s="1" t="s">
        <v>57</v>
      </c>
      <c r="G57" s="1" t="s">
        <v>46</v>
      </c>
      <c r="H57" s="1" t="s">
        <v>47</v>
      </c>
      <c r="I57" s="1">
        <v>1176</v>
      </c>
      <c r="J57" s="1">
        <v>30288</v>
      </c>
      <c r="K57" s="1">
        <v>1</v>
      </c>
      <c r="L57" s="1">
        <v>82</v>
      </c>
      <c r="M57" s="1">
        <v>2093</v>
      </c>
      <c r="N57" s="1" t="s">
        <v>48</v>
      </c>
      <c r="O57" s="1">
        <v>197561</v>
      </c>
      <c r="P57" s="1">
        <v>94</v>
      </c>
      <c r="Q57" s="1" t="s">
        <v>125</v>
      </c>
      <c r="R57" s="1" t="s">
        <v>50</v>
      </c>
      <c r="S57" s="1">
        <v>0</v>
      </c>
      <c r="T57" s="1">
        <v>0</v>
      </c>
      <c r="U57" s="1">
        <v>195.999</v>
      </c>
      <c r="V57" s="1">
        <v>25.457999999999998</v>
      </c>
      <c r="W57" s="1">
        <v>0.53</v>
      </c>
      <c r="X57" s="1">
        <v>0.14499999999999999</v>
      </c>
      <c r="Y57" s="1">
        <v>25.603000000000002</v>
      </c>
      <c r="Z57" s="1">
        <v>0.27100000000000002</v>
      </c>
      <c r="AA57" s="1">
        <v>0.2</v>
      </c>
      <c r="AB57" s="1">
        <v>0.4</v>
      </c>
      <c r="AC57" s="1">
        <v>0.4</v>
      </c>
      <c r="AD57" s="1">
        <v>0.14499999999999999</v>
      </c>
      <c r="AE57" s="1">
        <v>0.25900000000000001</v>
      </c>
      <c r="AF57" s="1">
        <v>3.7999999999999999E-2</v>
      </c>
      <c r="AG57" s="1">
        <v>0.2</v>
      </c>
      <c r="AI57" s="1">
        <v>0</v>
      </c>
      <c r="AJ57" s="1">
        <v>0</v>
      </c>
      <c r="AK57" s="1">
        <v>0</v>
      </c>
      <c r="AL57" s="1">
        <v>1</v>
      </c>
      <c r="AM57" s="1">
        <v>86400</v>
      </c>
      <c r="AN57" s="1">
        <v>79594</v>
      </c>
      <c r="AO57" s="1">
        <v>6806</v>
      </c>
      <c r="AP57" s="1">
        <v>47007</v>
      </c>
      <c r="AQ57" s="1">
        <v>0.41019195479173981</v>
      </c>
    </row>
    <row r="58" spans="1:43" x14ac:dyDescent="0.45">
      <c r="A58" s="1">
        <v>57</v>
      </c>
      <c r="B58" s="1">
        <v>74</v>
      </c>
      <c r="C58" s="1">
        <v>83</v>
      </c>
      <c r="D58" s="1" t="s">
        <v>55</v>
      </c>
      <c r="E58" s="1" t="s">
        <v>56</v>
      </c>
      <c r="F58" s="1" t="s">
        <v>57</v>
      </c>
      <c r="G58" s="1" t="s">
        <v>46</v>
      </c>
      <c r="H58" s="1" t="s">
        <v>47</v>
      </c>
      <c r="I58" s="1">
        <v>1176</v>
      </c>
      <c r="J58" s="1">
        <v>30288</v>
      </c>
      <c r="K58" s="1">
        <v>1</v>
      </c>
      <c r="L58" s="1">
        <v>82</v>
      </c>
      <c r="M58" s="1">
        <v>2094</v>
      </c>
      <c r="N58" s="1" t="s">
        <v>48</v>
      </c>
      <c r="O58" s="1">
        <v>197562</v>
      </c>
      <c r="P58" s="1">
        <v>94</v>
      </c>
      <c r="Q58" s="1" t="s">
        <v>125</v>
      </c>
      <c r="R58" s="1" t="s">
        <v>50</v>
      </c>
      <c r="S58" s="1">
        <v>0</v>
      </c>
      <c r="T58" s="1">
        <v>0</v>
      </c>
      <c r="U58" s="1">
        <v>286.03800000000001</v>
      </c>
      <c r="V58" s="1">
        <v>25.483000000000001</v>
      </c>
      <c r="W58" s="1">
        <v>0.52</v>
      </c>
      <c r="X58" s="1">
        <v>0.13700000000000001</v>
      </c>
      <c r="Y58" s="1">
        <v>25.62</v>
      </c>
      <c r="Z58" s="1">
        <v>0.23400000000000001</v>
      </c>
      <c r="AA58" s="1">
        <v>0.5</v>
      </c>
      <c r="AB58" s="1">
        <v>0.5</v>
      </c>
      <c r="AC58" s="1">
        <v>0.5</v>
      </c>
      <c r="AD58" s="1">
        <v>0.13700000000000001</v>
      </c>
      <c r="AE58" s="1">
        <v>0.23300000000000001</v>
      </c>
      <c r="AF58" s="1">
        <v>3.2000000000000001E-2</v>
      </c>
      <c r="AG58" s="1">
        <v>0.5</v>
      </c>
      <c r="AI58" s="1">
        <v>0</v>
      </c>
      <c r="AJ58" s="1">
        <v>0</v>
      </c>
      <c r="AK58" s="1">
        <v>0</v>
      </c>
      <c r="AL58" s="1">
        <v>1</v>
      </c>
      <c r="AM58" s="1">
        <v>82878</v>
      </c>
      <c r="AN58" s="1">
        <v>66445</v>
      </c>
      <c r="AO58" s="1">
        <v>15996</v>
      </c>
      <c r="AP58" s="1">
        <v>47433</v>
      </c>
      <c r="AQ58" s="1">
        <v>24.95580011216741</v>
      </c>
    </row>
    <row r="59" spans="1:43" x14ac:dyDescent="0.45">
      <c r="A59" s="1">
        <v>58</v>
      </c>
      <c r="B59" s="1">
        <v>74</v>
      </c>
      <c r="C59" s="1">
        <v>83</v>
      </c>
      <c r="D59" s="1" t="s">
        <v>55</v>
      </c>
      <c r="E59" s="1" t="s">
        <v>56</v>
      </c>
      <c r="F59" s="1" t="s">
        <v>57</v>
      </c>
      <c r="G59" s="1" t="s">
        <v>46</v>
      </c>
      <c r="H59" s="1" t="s">
        <v>47</v>
      </c>
      <c r="I59" s="1">
        <v>1176</v>
      </c>
      <c r="J59" s="1">
        <v>30288</v>
      </c>
      <c r="K59" s="1">
        <v>1</v>
      </c>
      <c r="L59" s="1">
        <v>82</v>
      </c>
      <c r="M59" s="1">
        <v>2095</v>
      </c>
      <c r="N59" s="1" t="s">
        <v>48</v>
      </c>
      <c r="O59" s="1">
        <v>197563</v>
      </c>
      <c r="P59" s="1">
        <v>94</v>
      </c>
      <c r="Q59" s="1" t="s">
        <v>125</v>
      </c>
      <c r="R59" s="1" t="s">
        <v>50</v>
      </c>
      <c r="S59" s="1">
        <v>0</v>
      </c>
      <c r="T59" s="1">
        <v>0</v>
      </c>
      <c r="U59" s="1">
        <v>552.46799999999996</v>
      </c>
      <c r="V59" s="1">
        <v>25.45</v>
      </c>
      <c r="W59" s="1">
        <v>0.53</v>
      </c>
      <c r="X59" s="1">
        <v>0.17699999999999999</v>
      </c>
      <c r="Y59" s="1">
        <v>25.626000000000001</v>
      </c>
      <c r="Z59" s="1">
        <v>0.153</v>
      </c>
      <c r="AA59" s="1">
        <v>0.8</v>
      </c>
      <c r="AB59" s="1">
        <v>0.8</v>
      </c>
      <c r="AC59" s="1">
        <v>0.8</v>
      </c>
      <c r="AD59" s="1">
        <v>0.17699999999999999</v>
      </c>
      <c r="AE59" s="1">
        <v>0.153</v>
      </c>
      <c r="AF59" s="1">
        <v>2.7E-2</v>
      </c>
      <c r="AG59" s="1">
        <v>0.8</v>
      </c>
      <c r="AI59" s="1">
        <v>0</v>
      </c>
      <c r="AJ59" s="1">
        <v>0</v>
      </c>
      <c r="AK59" s="1">
        <v>0</v>
      </c>
      <c r="AL59" s="1">
        <v>1</v>
      </c>
      <c r="AM59" s="1">
        <v>86400</v>
      </c>
      <c r="AN59" s="1">
        <v>79804</v>
      </c>
      <c r="AO59" s="1">
        <v>6596</v>
      </c>
      <c r="AP59" s="1">
        <v>47227</v>
      </c>
      <c r="AQ59" s="1">
        <v>0.69662298424265845</v>
      </c>
    </row>
    <row r="60" spans="1:43" x14ac:dyDescent="0.45">
      <c r="A60" s="1">
        <v>59</v>
      </c>
      <c r="B60" s="1">
        <v>77</v>
      </c>
      <c r="C60" s="1">
        <v>46</v>
      </c>
      <c r="D60" s="1" t="s">
        <v>58</v>
      </c>
      <c r="E60" s="1" t="s">
        <v>59</v>
      </c>
      <c r="F60" s="1" t="s">
        <v>60</v>
      </c>
      <c r="G60" s="1" t="s">
        <v>54</v>
      </c>
      <c r="H60" s="1" t="s">
        <v>47</v>
      </c>
      <c r="I60" s="1">
        <v>503</v>
      </c>
      <c r="J60" s="1">
        <v>17406</v>
      </c>
      <c r="K60" s="1">
        <v>1</v>
      </c>
      <c r="L60" s="1">
        <v>45</v>
      </c>
      <c r="M60" s="1">
        <v>2080</v>
      </c>
      <c r="N60" s="1" t="s">
        <v>48</v>
      </c>
      <c r="O60" s="1">
        <v>196199</v>
      </c>
      <c r="P60" s="1">
        <v>94</v>
      </c>
      <c r="Q60" s="1" t="s">
        <v>125</v>
      </c>
      <c r="R60" s="1" t="s">
        <v>50</v>
      </c>
      <c r="S60" s="1">
        <v>0</v>
      </c>
      <c r="T60" s="1">
        <v>0</v>
      </c>
      <c r="U60" s="1">
        <v>64.108000000000004</v>
      </c>
      <c r="V60" s="1">
        <v>25.141999999999999</v>
      </c>
      <c r="W60" s="1">
        <v>0.66</v>
      </c>
      <c r="X60" s="1">
        <v>0.55000000000000004</v>
      </c>
      <c r="Y60" s="1">
        <v>25.692</v>
      </c>
      <c r="Z60" s="1">
        <v>2.1150000000000002</v>
      </c>
      <c r="AA60" s="1">
        <v>2.7</v>
      </c>
      <c r="AB60" s="1">
        <v>2.5</v>
      </c>
      <c r="AC60" s="1">
        <v>2.5</v>
      </c>
      <c r="AD60" s="1">
        <v>0.55000000000000004</v>
      </c>
      <c r="AE60" s="1">
        <v>1.5169999999999999</v>
      </c>
      <c r="AF60" s="1">
        <v>0.88500000000000001</v>
      </c>
      <c r="AG60" s="1">
        <v>2.7</v>
      </c>
      <c r="AI60" s="1">
        <v>0</v>
      </c>
      <c r="AJ60" s="1">
        <v>0</v>
      </c>
      <c r="AK60" s="1">
        <v>0</v>
      </c>
      <c r="AL60" s="1">
        <v>1</v>
      </c>
      <c r="AM60" s="1">
        <v>75644</v>
      </c>
      <c r="AN60" s="1">
        <v>53971</v>
      </c>
      <c r="AO60" s="1">
        <v>21673</v>
      </c>
      <c r="AP60" s="1">
        <v>47171</v>
      </c>
      <c r="AQ60" s="1">
        <v>4.5203553742309683</v>
      </c>
    </row>
    <row r="61" spans="1:43" x14ac:dyDescent="0.45">
      <c r="A61" s="1">
        <v>60</v>
      </c>
      <c r="B61" s="1">
        <v>77</v>
      </c>
      <c r="C61" s="1">
        <v>46</v>
      </c>
      <c r="D61" s="1" t="s">
        <v>58</v>
      </c>
      <c r="E61" s="1" t="s">
        <v>59</v>
      </c>
      <c r="F61" s="1" t="s">
        <v>60</v>
      </c>
      <c r="G61" s="1" t="s">
        <v>54</v>
      </c>
      <c r="H61" s="1" t="s">
        <v>47</v>
      </c>
      <c r="I61" s="1">
        <v>503</v>
      </c>
      <c r="J61" s="1">
        <v>17406</v>
      </c>
      <c r="K61" s="1">
        <v>1</v>
      </c>
      <c r="L61" s="1">
        <v>45</v>
      </c>
      <c r="M61" s="1">
        <v>2081</v>
      </c>
      <c r="N61" s="1" t="s">
        <v>48</v>
      </c>
      <c r="O61" s="1">
        <v>196200</v>
      </c>
      <c r="P61" s="1">
        <v>94</v>
      </c>
      <c r="Q61" s="1" t="s">
        <v>125</v>
      </c>
      <c r="R61" s="1" t="s">
        <v>50</v>
      </c>
      <c r="S61" s="1">
        <v>0</v>
      </c>
      <c r="T61" s="1">
        <v>0</v>
      </c>
      <c r="U61" s="1">
        <v>69.38</v>
      </c>
      <c r="V61" s="1">
        <v>25.478999999999999</v>
      </c>
      <c r="W61" s="1">
        <v>0.54</v>
      </c>
      <c r="X61" s="1">
        <v>0.17299999999999999</v>
      </c>
      <c r="Y61" s="1">
        <v>25.652000000000001</v>
      </c>
      <c r="Z61" s="1">
        <v>1.028</v>
      </c>
      <c r="AA61" s="1">
        <v>2.2000000000000002</v>
      </c>
      <c r="AB61" s="1">
        <v>2.2000000000000002</v>
      </c>
      <c r="AC61" s="1">
        <v>2.2000000000000002</v>
      </c>
      <c r="AD61" s="1">
        <v>0.17299999999999999</v>
      </c>
      <c r="AE61" s="1">
        <v>1.002</v>
      </c>
      <c r="AF61" s="1">
        <v>0.17399999999999999</v>
      </c>
      <c r="AG61" s="1">
        <v>2.2000000000000002</v>
      </c>
      <c r="AI61" s="1">
        <v>0</v>
      </c>
      <c r="AJ61" s="1">
        <v>0</v>
      </c>
      <c r="AK61" s="1">
        <v>0</v>
      </c>
      <c r="AL61" s="1">
        <v>1</v>
      </c>
      <c r="AM61" s="1">
        <v>50712</v>
      </c>
      <c r="AN61" s="1">
        <v>7406</v>
      </c>
      <c r="AO61" s="1">
        <v>43306</v>
      </c>
      <c r="AP61" s="1">
        <v>46968</v>
      </c>
      <c r="AQ61" s="1">
        <v>29.380944822880039</v>
      </c>
    </row>
    <row r="62" spans="1:43" x14ac:dyDescent="0.45">
      <c r="A62" s="1">
        <v>61</v>
      </c>
      <c r="B62" s="1">
        <v>91</v>
      </c>
      <c r="C62" s="1">
        <v>117</v>
      </c>
      <c r="D62" s="1" t="s">
        <v>112</v>
      </c>
      <c r="E62" s="1" t="s">
        <v>113</v>
      </c>
      <c r="F62" s="1" t="s">
        <v>114</v>
      </c>
      <c r="G62" s="1" t="s">
        <v>54</v>
      </c>
      <c r="H62" s="1" t="s">
        <v>47</v>
      </c>
      <c r="I62" s="1">
        <v>948</v>
      </c>
      <c r="J62" s="1">
        <v>50781</v>
      </c>
      <c r="K62" s="1">
        <v>1</v>
      </c>
      <c r="L62" s="1">
        <v>116</v>
      </c>
      <c r="M62" s="1">
        <v>2036</v>
      </c>
      <c r="N62" s="1" t="s">
        <v>48</v>
      </c>
      <c r="O62" s="1">
        <v>195291</v>
      </c>
      <c r="P62" s="1">
        <v>94</v>
      </c>
      <c r="Q62" s="1" t="s">
        <v>125</v>
      </c>
      <c r="R62" s="1" t="s">
        <v>50</v>
      </c>
      <c r="S62" s="1">
        <v>0</v>
      </c>
      <c r="T62" s="1">
        <v>0</v>
      </c>
      <c r="U62" s="1">
        <v>58.805</v>
      </c>
      <c r="V62" s="1">
        <v>21.222000000000001</v>
      </c>
      <c r="W62" s="1">
        <v>1.64</v>
      </c>
      <c r="X62" s="1">
        <v>4.1829999999999998</v>
      </c>
      <c r="Y62" s="1">
        <v>25.405000000000001</v>
      </c>
      <c r="Z62" s="1">
        <v>0.30199999999999999</v>
      </c>
      <c r="AA62" s="1">
        <v>1.5</v>
      </c>
      <c r="AB62" s="1">
        <v>-1.3</v>
      </c>
      <c r="AC62" s="1">
        <v>-1.3</v>
      </c>
      <c r="AD62" s="1">
        <v>4.1829999999999998</v>
      </c>
      <c r="AE62" s="1">
        <v>1.0999999999999999E-2</v>
      </c>
      <c r="AF62" s="1">
        <v>4.8000000000000001E-2</v>
      </c>
      <c r="AG62" s="1">
        <v>1.5</v>
      </c>
      <c r="AI62" s="1">
        <v>0</v>
      </c>
      <c r="AJ62" s="1">
        <v>0</v>
      </c>
      <c r="AK62" s="1">
        <v>0</v>
      </c>
      <c r="AL62" s="1">
        <v>1</v>
      </c>
      <c r="AM62" s="1">
        <v>86400</v>
      </c>
      <c r="AN62" s="1">
        <v>81950</v>
      </c>
      <c r="AO62" s="1">
        <v>4450</v>
      </c>
      <c r="AP62" s="1">
        <v>50424</v>
      </c>
      <c r="AQ62" s="1">
        <v>8.8604916255296011</v>
      </c>
    </row>
    <row r="63" spans="1:43" x14ac:dyDescent="0.45">
      <c r="A63" s="1">
        <v>62</v>
      </c>
      <c r="B63" s="1">
        <v>91</v>
      </c>
      <c r="C63" s="1">
        <v>117</v>
      </c>
      <c r="D63" s="1" t="s">
        <v>112</v>
      </c>
      <c r="E63" s="1" t="s">
        <v>113</v>
      </c>
      <c r="F63" s="1" t="s">
        <v>114</v>
      </c>
      <c r="G63" s="1" t="s">
        <v>54</v>
      </c>
      <c r="H63" s="1" t="s">
        <v>47</v>
      </c>
      <c r="I63" s="1">
        <v>948</v>
      </c>
      <c r="J63" s="1">
        <v>50781</v>
      </c>
      <c r="K63" s="1">
        <v>1</v>
      </c>
      <c r="L63" s="1">
        <v>116</v>
      </c>
      <c r="M63" s="1">
        <v>2038</v>
      </c>
      <c r="N63" s="1" t="s">
        <v>48</v>
      </c>
      <c r="O63" s="1">
        <v>195293</v>
      </c>
      <c r="P63" s="1">
        <v>94</v>
      </c>
      <c r="Q63" s="1" t="s">
        <v>125</v>
      </c>
      <c r="R63" s="1" t="s">
        <v>50</v>
      </c>
      <c r="S63" s="1">
        <v>0</v>
      </c>
      <c r="T63" s="1">
        <v>0</v>
      </c>
      <c r="U63" s="1">
        <v>52.792000000000002</v>
      </c>
      <c r="V63" s="1">
        <v>21.277999999999999</v>
      </c>
      <c r="W63" s="1">
        <v>1.63</v>
      </c>
      <c r="X63" s="1">
        <v>4.1269999999999998</v>
      </c>
      <c r="Y63" s="1">
        <v>25.405000000000001</v>
      </c>
      <c r="Z63" s="1">
        <v>0.32600000000000001</v>
      </c>
      <c r="AA63" s="1">
        <v>1.6</v>
      </c>
      <c r="AB63" s="1">
        <v>-1.3</v>
      </c>
      <c r="AC63" s="1">
        <v>-1.3</v>
      </c>
      <c r="AD63" s="1">
        <v>4.1269999999999998</v>
      </c>
      <c r="AE63" s="1">
        <v>1.2E-2</v>
      </c>
      <c r="AF63" s="1">
        <v>4.9000000000000002E-2</v>
      </c>
      <c r="AI63" s="1">
        <v>0</v>
      </c>
      <c r="AJ63" s="1">
        <v>0</v>
      </c>
      <c r="AK63" s="1">
        <v>0</v>
      </c>
      <c r="AL63" s="1">
        <v>1</v>
      </c>
      <c r="AM63" s="1">
        <v>78817</v>
      </c>
      <c r="AN63" s="1">
        <v>38772</v>
      </c>
      <c r="AO63" s="1">
        <v>40045</v>
      </c>
      <c r="AP63" s="1">
        <v>50429</v>
      </c>
      <c r="AQ63" s="1">
        <v>7.79116191982129</v>
      </c>
    </row>
    <row r="64" spans="1:43" x14ac:dyDescent="0.45">
      <c r="A64" s="1">
        <v>63</v>
      </c>
      <c r="B64" s="1">
        <v>91</v>
      </c>
      <c r="C64" s="1">
        <v>117</v>
      </c>
      <c r="D64" s="1" t="s">
        <v>112</v>
      </c>
      <c r="E64" s="1" t="s">
        <v>113</v>
      </c>
      <c r="F64" s="1" t="s">
        <v>114</v>
      </c>
      <c r="G64" s="1" t="s">
        <v>54</v>
      </c>
      <c r="H64" s="1" t="s">
        <v>47</v>
      </c>
      <c r="I64" s="1">
        <v>948</v>
      </c>
      <c r="J64" s="1">
        <v>50781</v>
      </c>
      <c r="K64" s="1">
        <v>1</v>
      </c>
      <c r="L64" s="1">
        <v>116</v>
      </c>
      <c r="M64" s="1">
        <v>2039</v>
      </c>
      <c r="N64" s="1" t="s">
        <v>48</v>
      </c>
      <c r="O64" s="1">
        <v>195295</v>
      </c>
      <c r="P64" s="1">
        <v>94</v>
      </c>
      <c r="Q64" s="1" t="s">
        <v>125</v>
      </c>
      <c r="R64" s="1" t="s">
        <v>50</v>
      </c>
      <c r="S64" s="1">
        <v>0</v>
      </c>
      <c r="T64" s="1">
        <v>0</v>
      </c>
      <c r="U64" s="1">
        <v>87.602000000000004</v>
      </c>
      <c r="V64" s="1">
        <v>21.277999999999999</v>
      </c>
      <c r="W64" s="1">
        <v>1.63</v>
      </c>
      <c r="X64" s="1">
        <v>4.1269999999999998</v>
      </c>
      <c r="Y64" s="1">
        <v>25.405000000000001</v>
      </c>
      <c r="Z64" s="1">
        <v>0.29199999999999998</v>
      </c>
      <c r="AA64" s="1">
        <v>1.4</v>
      </c>
      <c r="AB64" s="1">
        <v>-1.2</v>
      </c>
      <c r="AC64" s="1">
        <v>-1.2</v>
      </c>
      <c r="AD64" s="1">
        <v>4.1269999999999998</v>
      </c>
      <c r="AE64" s="1">
        <v>1.2E-2</v>
      </c>
      <c r="AF64" s="1">
        <v>5.0999999999999997E-2</v>
      </c>
      <c r="AI64" s="1">
        <v>0</v>
      </c>
      <c r="AJ64" s="1">
        <v>0</v>
      </c>
      <c r="AK64" s="1">
        <v>0</v>
      </c>
      <c r="AL64" s="1">
        <v>1</v>
      </c>
      <c r="AM64" s="1">
        <v>78811</v>
      </c>
      <c r="AN64" s="1">
        <v>38599</v>
      </c>
      <c r="AO64" s="1">
        <v>40213</v>
      </c>
      <c r="AP64" s="1">
        <v>50424</v>
      </c>
      <c r="AQ64" s="1">
        <v>8.1048937517525221</v>
      </c>
    </row>
    <row r="65" spans="1:43" x14ac:dyDescent="0.45">
      <c r="A65" s="1">
        <v>64</v>
      </c>
      <c r="B65" s="1">
        <v>91</v>
      </c>
      <c r="C65" s="1">
        <v>117</v>
      </c>
      <c r="D65" s="1" t="s">
        <v>112</v>
      </c>
      <c r="E65" s="1" t="s">
        <v>113</v>
      </c>
      <c r="F65" s="1" t="s">
        <v>114</v>
      </c>
      <c r="G65" s="1" t="s">
        <v>54</v>
      </c>
      <c r="H65" s="1" t="s">
        <v>47</v>
      </c>
      <c r="I65" s="1">
        <v>948</v>
      </c>
      <c r="J65" s="1">
        <v>50781</v>
      </c>
      <c r="K65" s="1">
        <v>1</v>
      </c>
      <c r="L65" s="1">
        <v>116</v>
      </c>
      <c r="M65" s="1">
        <v>2044</v>
      </c>
      <c r="N65" s="1" t="s">
        <v>48</v>
      </c>
      <c r="O65" s="1">
        <v>195301</v>
      </c>
      <c r="P65" s="1">
        <v>94</v>
      </c>
      <c r="Q65" s="1" t="s">
        <v>125</v>
      </c>
      <c r="R65" s="1" t="s">
        <v>50</v>
      </c>
      <c r="S65" s="1">
        <v>0</v>
      </c>
      <c r="T65" s="1">
        <v>0</v>
      </c>
      <c r="U65" s="1">
        <v>52.036000000000001</v>
      </c>
      <c r="V65" s="1">
        <v>21.234999999999999</v>
      </c>
      <c r="W65" s="1">
        <v>1.64</v>
      </c>
      <c r="X65" s="1">
        <v>4.17</v>
      </c>
      <c r="Y65" s="1">
        <v>25.405000000000001</v>
      </c>
      <c r="Z65" s="1">
        <v>0.28499999999999998</v>
      </c>
      <c r="AA65" s="1">
        <v>1.5</v>
      </c>
      <c r="AB65" s="1">
        <v>-1.1000000000000001</v>
      </c>
      <c r="AC65" s="1">
        <v>-1.1000000000000001</v>
      </c>
      <c r="AD65" s="1">
        <v>4.17</v>
      </c>
      <c r="AE65" s="1">
        <v>1.2999999999999999E-2</v>
      </c>
      <c r="AF65" s="1">
        <v>5.2999999999999999E-2</v>
      </c>
      <c r="AI65" s="1">
        <v>0</v>
      </c>
      <c r="AJ65" s="1">
        <v>0</v>
      </c>
      <c r="AK65" s="1">
        <v>0</v>
      </c>
      <c r="AL65" s="1">
        <v>1</v>
      </c>
      <c r="AM65" s="1">
        <v>78965</v>
      </c>
      <c r="AN65" s="1">
        <v>41749</v>
      </c>
      <c r="AO65" s="1">
        <v>37216</v>
      </c>
      <c r="AP65" s="1">
        <v>50422</v>
      </c>
      <c r="AQ65" s="1">
        <v>0.4894987964643811</v>
      </c>
    </row>
    <row r="66" spans="1:43" x14ac:dyDescent="0.45">
      <c r="A66" s="1">
        <v>65</v>
      </c>
      <c r="B66" s="1">
        <v>91</v>
      </c>
      <c r="C66" s="1">
        <v>117</v>
      </c>
      <c r="D66" s="1" t="s">
        <v>112</v>
      </c>
      <c r="E66" s="1" t="s">
        <v>113</v>
      </c>
      <c r="F66" s="1" t="s">
        <v>114</v>
      </c>
      <c r="G66" s="1" t="s">
        <v>54</v>
      </c>
      <c r="H66" s="1" t="s">
        <v>47</v>
      </c>
      <c r="I66" s="1">
        <v>948</v>
      </c>
      <c r="J66" s="1">
        <v>50781</v>
      </c>
      <c r="K66" s="1">
        <v>1</v>
      </c>
      <c r="L66" s="1">
        <v>116</v>
      </c>
      <c r="M66" s="1">
        <v>2059</v>
      </c>
      <c r="N66" s="1" t="s">
        <v>48</v>
      </c>
      <c r="O66" s="1">
        <v>195319</v>
      </c>
      <c r="P66" s="1">
        <v>94</v>
      </c>
      <c r="Q66" s="1" t="s">
        <v>125</v>
      </c>
      <c r="R66" s="1" t="s">
        <v>50</v>
      </c>
      <c r="S66" s="1">
        <v>0</v>
      </c>
      <c r="T66" s="1">
        <v>0</v>
      </c>
      <c r="U66" s="1">
        <v>111.16200000000001</v>
      </c>
      <c r="V66" s="1">
        <v>21.387</v>
      </c>
      <c r="W66" s="1">
        <v>1.62</v>
      </c>
      <c r="X66" s="1">
        <v>4.0179999999999998</v>
      </c>
      <c r="Y66" s="1">
        <v>25.405000000000001</v>
      </c>
      <c r="Z66" s="1">
        <v>0.29799999999999999</v>
      </c>
      <c r="AA66" s="1">
        <v>1.9</v>
      </c>
      <c r="AB66" s="1">
        <v>1.1000000000000001</v>
      </c>
      <c r="AC66" s="1">
        <v>1.2</v>
      </c>
      <c r="AD66" s="1">
        <v>4.0149999999999997</v>
      </c>
      <c r="AE66" s="1">
        <v>1.7000000000000001E-2</v>
      </c>
      <c r="AF66" s="1">
        <v>7.1999999999999995E-2</v>
      </c>
      <c r="AI66" s="1">
        <v>0</v>
      </c>
      <c r="AJ66" s="1">
        <v>0</v>
      </c>
      <c r="AK66" s="1">
        <v>0</v>
      </c>
      <c r="AL66" s="1">
        <v>1</v>
      </c>
      <c r="AM66" s="1">
        <v>78338</v>
      </c>
      <c r="AN66" s="1">
        <v>36651</v>
      </c>
      <c r="AO66" s="1">
        <v>41687</v>
      </c>
      <c r="AP66" s="1">
        <v>50442</v>
      </c>
      <c r="AQ66" s="1">
        <v>1.21542409500468</v>
      </c>
    </row>
    <row r="67" spans="1:43" x14ac:dyDescent="0.45">
      <c r="A67" s="1">
        <v>66</v>
      </c>
      <c r="B67" s="1">
        <v>91</v>
      </c>
      <c r="C67" s="1">
        <v>117</v>
      </c>
      <c r="D67" s="1" t="s">
        <v>112</v>
      </c>
      <c r="E67" s="1" t="s">
        <v>113</v>
      </c>
      <c r="F67" s="1" t="s">
        <v>114</v>
      </c>
      <c r="G67" s="1" t="s">
        <v>54</v>
      </c>
      <c r="H67" s="1" t="s">
        <v>47</v>
      </c>
      <c r="I67" s="1">
        <v>948</v>
      </c>
      <c r="J67" s="1">
        <v>50781</v>
      </c>
      <c r="K67" s="1">
        <v>1</v>
      </c>
      <c r="L67" s="1">
        <v>116</v>
      </c>
      <c r="M67" s="1">
        <v>2061</v>
      </c>
      <c r="N67" s="1" t="s">
        <v>48</v>
      </c>
      <c r="O67" s="1">
        <v>195321</v>
      </c>
      <c r="P67" s="1">
        <v>94</v>
      </c>
      <c r="Q67" s="1" t="s">
        <v>125</v>
      </c>
      <c r="R67" s="1" t="s">
        <v>50</v>
      </c>
      <c r="S67" s="1">
        <v>0</v>
      </c>
      <c r="T67" s="1">
        <v>0</v>
      </c>
      <c r="U67" s="1">
        <v>94.41</v>
      </c>
      <c r="V67" s="1">
        <v>21.33</v>
      </c>
      <c r="W67" s="1">
        <v>1.63</v>
      </c>
      <c r="X67" s="1">
        <v>4.0750000000000002</v>
      </c>
      <c r="Y67" s="1">
        <v>25.405000000000001</v>
      </c>
      <c r="Z67" s="1">
        <v>0.46200000000000002</v>
      </c>
      <c r="AA67" s="1">
        <v>3</v>
      </c>
      <c r="AB67" s="1">
        <v>2.2000000000000002</v>
      </c>
      <c r="AC67" s="1">
        <v>2.2000000000000002</v>
      </c>
      <c r="AD67" s="1">
        <v>4.0709999999999997</v>
      </c>
      <c r="AE67" s="1">
        <v>1.9E-2</v>
      </c>
      <c r="AF67" s="1">
        <v>0.18</v>
      </c>
      <c r="AG67" s="1">
        <v>3</v>
      </c>
      <c r="AI67" s="1">
        <v>0</v>
      </c>
      <c r="AJ67" s="1">
        <v>0</v>
      </c>
      <c r="AK67" s="1">
        <v>0</v>
      </c>
      <c r="AL67" s="1">
        <v>1</v>
      </c>
      <c r="AM67" s="1">
        <v>86400</v>
      </c>
      <c r="AN67" s="1">
        <v>81837</v>
      </c>
      <c r="AO67" s="1">
        <v>4563</v>
      </c>
      <c r="AP67" s="1">
        <v>50414</v>
      </c>
      <c r="AQ67" s="1">
        <v>15.476362366948131</v>
      </c>
    </row>
    <row r="68" spans="1:43" x14ac:dyDescent="0.45">
      <c r="A68" s="1">
        <v>67</v>
      </c>
      <c r="B68" s="1">
        <v>91</v>
      </c>
      <c r="C68" s="1">
        <v>117</v>
      </c>
      <c r="D68" s="1" t="s">
        <v>112</v>
      </c>
      <c r="E68" s="1" t="s">
        <v>113</v>
      </c>
      <c r="F68" s="1" t="s">
        <v>114</v>
      </c>
      <c r="G68" s="1" t="s">
        <v>54</v>
      </c>
      <c r="H68" s="1" t="s">
        <v>47</v>
      </c>
      <c r="I68" s="1">
        <v>948</v>
      </c>
      <c r="J68" s="1">
        <v>50781</v>
      </c>
      <c r="K68" s="1">
        <v>1</v>
      </c>
      <c r="L68" s="1">
        <v>116</v>
      </c>
      <c r="M68" s="1">
        <v>2062</v>
      </c>
      <c r="N68" s="1" t="s">
        <v>48</v>
      </c>
      <c r="O68" s="1">
        <v>195322</v>
      </c>
      <c r="P68" s="1">
        <v>94</v>
      </c>
      <c r="Q68" s="1" t="s">
        <v>125</v>
      </c>
      <c r="R68" s="1" t="s">
        <v>50</v>
      </c>
      <c r="S68" s="1">
        <v>0</v>
      </c>
      <c r="T68" s="1">
        <v>0</v>
      </c>
      <c r="U68" s="1">
        <v>85.018000000000001</v>
      </c>
      <c r="V68" s="1">
        <v>21.689</v>
      </c>
      <c r="W68" s="1">
        <v>1.58</v>
      </c>
      <c r="X68" s="1">
        <v>3.718</v>
      </c>
      <c r="Y68" s="1">
        <v>25.405999999999999</v>
      </c>
      <c r="Z68" s="1">
        <v>0.68</v>
      </c>
      <c r="AA68" s="1">
        <v>2</v>
      </c>
      <c r="AB68" s="1">
        <v>-2</v>
      </c>
      <c r="AC68" s="1">
        <v>-2</v>
      </c>
      <c r="AD68" s="1">
        <v>3.7170000000000001</v>
      </c>
      <c r="AE68" s="1">
        <v>5.0999999999999997E-2</v>
      </c>
      <c r="AF68" s="1">
        <v>0.70199999999999996</v>
      </c>
      <c r="AG68" s="1">
        <v>2</v>
      </c>
      <c r="AI68" s="1">
        <v>0</v>
      </c>
      <c r="AJ68" s="1">
        <v>0</v>
      </c>
      <c r="AK68" s="1">
        <v>0</v>
      </c>
      <c r="AL68" s="1">
        <v>1</v>
      </c>
      <c r="AM68" s="1">
        <v>76789</v>
      </c>
      <c r="AN68" s="1">
        <v>33489</v>
      </c>
      <c r="AO68" s="1">
        <v>43300</v>
      </c>
      <c r="AP68" s="1">
        <v>50417</v>
      </c>
      <c r="AQ68" s="1">
        <v>0.97205040505480533</v>
      </c>
    </row>
    <row r="69" spans="1:43" x14ac:dyDescent="0.45">
      <c r="A69" s="1">
        <v>68</v>
      </c>
      <c r="B69" s="1">
        <v>91</v>
      </c>
      <c r="C69" s="1">
        <v>117</v>
      </c>
      <c r="D69" s="1" t="s">
        <v>112</v>
      </c>
      <c r="E69" s="1" t="s">
        <v>113</v>
      </c>
      <c r="F69" s="1" t="s">
        <v>114</v>
      </c>
      <c r="G69" s="1" t="s">
        <v>54</v>
      </c>
      <c r="H69" s="1" t="s">
        <v>47</v>
      </c>
      <c r="I69" s="1">
        <v>948</v>
      </c>
      <c r="J69" s="1">
        <v>50781</v>
      </c>
      <c r="K69" s="1">
        <v>1</v>
      </c>
      <c r="L69" s="1">
        <v>116</v>
      </c>
      <c r="M69" s="1">
        <v>2067</v>
      </c>
      <c r="N69" s="1" t="s">
        <v>48</v>
      </c>
      <c r="O69" s="1">
        <v>195327</v>
      </c>
      <c r="P69" s="1">
        <v>94</v>
      </c>
      <c r="Q69" s="1" t="s">
        <v>125</v>
      </c>
      <c r="R69" s="1" t="s">
        <v>50</v>
      </c>
      <c r="S69" s="1">
        <v>0</v>
      </c>
      <c r="T69" s="1">
        <v>0</v>
      </c>
      <c r="U69" s="1">
        <v>91.350999999999999</v>
      </c>
      <c r="V69" s="1">
        <v>24.923999999999999</v>
      </c>
      <c r="W69" s="1">
        <v>0.59</v>
      </c>
      <c r="X69" s="1">
        <v>0.48</v>
      </c>
      <c r="Y69" s="1">
        <v>25.404</v>
      </c>
      <c r="Z69" s="1">
        <v>0.51</v>
      </c>
      <c r="AA69" s="1">
        <v>2.5</v>
      </c>
      <c r="AB69" s="1">
        <v>-0.8</v>
      </c>
      <c r="AC69" s="1">
        <v>-0.8</v>
      </c>
      <c r="AD69" s="1">
        <v>0.48</v>
      </c>
      <c r="AE69" s="1">
        <v>0.28499999999999998</v>
      </c>
      <c r="AF69" s="1">
        <v>0.13700000000000001</v>
      </c>
      <c r="AG69" s="1">
        <v>2.5</v>
      </c>
      <c r="AI69" s="1">
        <v>0</v>
      </c>
      <c r="AJ69" s="1">
        <v>0</v>
      </c>
      <c r="AK69" s="1">
        <v>0</v>
      </c>
      <c r="AL69" s="1">
        <v>1</v>
      </c>
      <c r="AM69" s="1">
        <v>55294</v>
      </c>
      <c r="AN69" s="1">
        <v>11984</v>
      </c>
      <c r="AO69" s="1">
        <v>43310</v>
      </c>
      <c r="AP69" s="1">
        <v>50416</v>
      </c>
      <c r="AQ69" s="1">
        <v>0.64219417956968827</v>
      </c>
    </row>
    <row r="70" spans="1:43" x14ac:dyDescent="0.45">
      <c r="A70" s="1">
        <v>69</v>
      </c>
      <c r="B70" s="1">
        <v>91</v>
      </c>
      <c r="C70" s="1">
        <v>117</v>
      </c>
      <c r="D70" s="1" t="s">
        <v>112</v>
      </c>
      <c r="E70" s="1" t="s">
        <v>113</v>
      </c>
      <c r="F70" s="1" t="s">
        <v>114</v>
      </c>
      <c r="G70" s="1" t="s">
        <v>54</v>
      </c>
      <c r="H70" s="1" t="s">
        <v>47</v>
      </c>
      <c r="I70" s="1">
        <v>948</v>
      </c>
      <c r="J70" s="1">
        <v>50781</v>
      </c>
      <c r="K70" s="1">
        <v>1</v>
      </c>
      <c r="L70" s="1">
        <v>116</v>
      </c>
      <c r="M70" s="1">
        <v>2069</v>
      </c>
      <c r="N70" s="1" t="s">
        <v>48</v>
      </c>
      <c r="O70" s="1">
        <v>195330</v>
      </c>
      <c r="P70" s="1">
        <v>94</v>
      </c>
      <c r="Q70" s="1" t="s">
        <v>125</v>
      </c>
      <c r="R70" s="1" t="s">
        <v>50</v>
      </c>
      <c r="S70" s="1">
        <v>0</v>
      </c>
      <c r="T70" s="1">
        <v>0</v>
      </c>
      <c r="U70" s="1">
        <v>162.529</v>
      </c>
      <c r="V70" s="1">
        <v>25.085000000000001</v>
      </c>
      <c r="W70" s="1">
        <v>0.56000000000000005</v>
      </c>
      <c r="X70" s="1">
        <v>0.313</v>
      </c>
      <c r="Y70" s="1">
        <v>25.398</v>
      </c>
      <c r="Z70" s="1">
        <v>0.38900000000000001</v>
      </c>
      <c r="AA70" s="1">
        <v>-0.6</v>
      </c>
      <c r="AB70" s="1">
        <v>-0.6</v>
      </c>
      <c r="AC70" s="1">
        <v>-0.6</v>
      </c>
      <c r="AD70" s="1">
        <v>0.313</v>
      </c>
      <c r="AE70" s="1">
        <v>0.38900000000000001</v>
      </c>
      <c r="AF70" s="1">
        <v>0.122</v>
      </c>
      <c r="AG70" s="1">
        <v>-0.6</v>
      </c>
      <c r="AI70" s="1">
        <v>0</v>
      </c>
      <c r="AJ70" s="1">
        <v>0</v>
      </c>
      <c r="AK70" s="1">
        <v>0</v>
      </c>
      <c r="AL70" s="1">
        <v>1</v>
      </c>
      <c r="AM70" s="1">
        <v>54175</v>
      </c>
      <c r="AN70" s="1">
        <v>4588</v>
      </c>
      <c r="AO70" s="1">
        <v>49587</v>
      </c>
      <c r="AP70" s="1">
        <v>50411</v>
      </c>
      <c r="AQ70" s="1">
        <v>17.40112245469286</v>
      </c>
    </row>
    <row r="71" spans="1:43" x14ac:dyDescent="0.45">
      <c r="A71" s="1">
        <v>70</v>
      </c>
      <c r="B71" s="1">
        <v>91</v>
      </c>
      <c r="C71" s="1">
        <v>117</v>
      </c>
      <c r="D71" s="1" t="s">
        <v>112</v>
      </c>
      <c r="E71" s="1" t="s">
        <v>113</v>
      </c>
      <c r="F71" s="1" t="s">
        <v>114</v>
      </c>
      <c r="G71" s="1" t="s">
        <v>54</v>
      </c>
      <c r="H71" s="1" t="s">
        <v>47</v>
      </c>
      <c r="I71" s="1">
        <v>948</v>
      </c>
      <c r="J71" s="1">
        <v>50781</v>
      </c>
      <c r="K71" s="1">
        <v>1</v>
      </c>
      <c r="L71" s="1">
        <v>116</v>
      </c>
      <c r="M71" s="1">
        <v>2070</v>
      </c>
      <c r="N71" s="1" t="s">
        <v>48</v>
      </c>
      <c r="O71" s="1">
        <v>195331</v>
      </c>
      <c r="P71" s="1">
        <v>94</v>
      </c>
      <c r="Q71" s="1" t="s">
        <v>125</v>
      </c>
      <c r="R71" s="1" t="s">
        <v>50</v>
      </c>
      <c r="S71" s="1">
        <v>0</v>
      </c>
      <c r="T71" s="1">
        <v>0</v>
      </c>
      <c r="U71" s="1">
        <v>65.272999999999996</v>
      </c>
      <c r="V71" s="1">
        <v>24.233000000000001</v>
      </c>
      <c r="W71" s="1">
        <v>1.2</v>
      </c>
      <c r="X71" s="1">
        <v>1.169</v>
      </c>
      <c r="Y71" s="1">
        <v>25.402000000000001</v>
      </c>
      <c r="Z71" s="1">
        <v>0.65900000000000003</v>
      </c>
      <c r="AA71" s="1">
        <v>2.2000000000000002</v>
      </c>
      <c r="AB71" s="1">
        <v>-0.6</v>
      </c>
      <c r="AC71" s="1">
        <v>-0.6</v>
      </c>
      <c r="AD71" s="1">
        <v>1.169</v>
      </c>
      <c r="AE71" s="1">
        <v>0.20899999999999999</v>
      </c>
      <c r="AF71" s="1">
        <v>0.42699999999999999</v>
      </c>
      <c r="AG71" s="1">
        <v>2.2000000000000002</v>
      </c>
      <c r="AI71" s="1">
        <v>0</v>
      </c>
      <c r="AJ71" s="1">
        <v>0</v>
      </c>
      <c r="AK71" s="1">
        <v>0</v>
      </c>
      <c r="AL71" s="1">
        <v>1</v>
      </c>
      <c r="AM71" s="1">
        <v>59704</v>
      </c>
      <c r="AN71" s="1">
        <v>16440</v>
      </c>
      <c r="AO71" s="1">
        <v>43264</v>
      </c>
      <c r="AP71" s="1">
        <v>50411</v>
      </c>
      <c r="AQ71" s="1">
        <v>16.500972932043261</v>
      </c>
    </row>
    <row r="72" spans="1:43" x14ac:dyDescent="0.45">
      <c r="A72" s="1">
        <v>71</v>
      </c>
      <c r="B72" s="1">
        <v>91</v>
      </c>
      <c r="C72" s="1">
        <v>117</v>
      </c>
      <c r="D72" s="1" t="s">
        <v>112</v>
      </c>
      <c r="E72" s="1" t="s">
        <v>113</v>
      </c>
      <c r="F72" s="1" t="s">
        <v>114</v>
      </c>
      <c r="G72" s="1" t="s">
        <v>54</v>
      </c>
      <c r="H72" s="1" t="s">
        <v>47</v>
      </c>
      <c r="I72" s="1">
        <v>948</v>
      </c>
      <c r="J72" s="1">
        <v>50781</v>
      </c>
      <c r="K72" s="1">
        <v>1</v>
      </c>
      <c r="L72" s="1">
        <v>116</v>
      </c>
      <c r="M72" s="1">
        <v>2071</v>
      </c>
      <c r="N72" s="1" t="s">
        <v>48</v>
      </c>
      <c r="O72" s="1">
        <v>195333</v>
      </c>
      <c r="P72" s="1">
        <v>94</v>
      </c>
      <c r="Q72" s="1" t="s">
        <v>125</v>
      </c>
      <c r="R72" s="1" t="s">
        <v>50</v>
      </c>
      <c r="S72" s="1">
        <v>0</v>
      </c>
      <c r="T72" s="1">
        <v>0</v>
      </c>
      <c r="U72" s="1">
        <v>65.066999999999993</v>
      </c>
      <c r="V72" s="1">
        <v>21.277999999999999</v>
      </c>
      <c r="W72" s="1">
        <v>1.63</v>
      </c>
      <c r="X72" s="1">
        <v>4.1260000000000003</v>
      </c>
      <c r="Y72" s="1">
        <v>25.405000000000001</v>
      </c>
      <c r="Z72" s="1">
        <v>0.224</v>
      </c>
      <c r="AA72" s="1">
        <v>1.9</v>
      </c>
      <c r="AB72" s="1">
        <v>-0.7</v>
      </c>
      <c r="AC72" s="1">
        <v>-0.7</v>
      </c>
      <c r="AD72" s="1">
        <v>4.1260000000000003</v>
      </c>
      <c r="AE72" s="1">
        <v>1.2E-2</v>
      </c>
      <c r="AF72" s="1">
        <v>5.0999999999999997E-2</v>
      </c>
      <c r="AG72" s="1">
        <v>1.9</v>
      </c>
      <c r="AI72" s="1">
        <v>0</v>
      </c>
      <c r="AJ72" s="1">
        <v>0</v>
      </c>
      <c r="AK72" s="1">
        <v>0</v>
      </c>
      <c r="AL72" s="1">
        <v>1</v>
      </c>
      <c r="AM72" s="1">
        <v>78838</v>
      </c>
      <c r="AN72" s="1">
        <v>45569</v>
      </c>
      <c r="AO72" s="1">
        <v>33268</v>
      </c>
      <c r="AP72" s="1">
        <v>50430</v>
      </c>
      <c r="AQ72" s="1">
        <v>15.157086163197469</v>
      </c>
    </row>
    <row r="73" spans="1:43" x14ac:dyDescent="0.45">
      <c r="A73" s="1">
        <v>72</v>
      </c>
      <c r="B73" s="1">
        <v>95</v>
      </c>
      <c r="C73" s="1">
        <v>117</v>
      </c>
      <c r="D73" s="1" t="s">
        <v>112</v>
      </c>
      <c r="E73" s="1" t="s">
        <v>113</v>
      </c>
      <c r="F73" s="1" t="s">
        <v>114</v>
      </c>
      <c r="G73" s="1" t="s">
        <v>54</v>
      </c>
      <c r="H73" s="1" t="s">
        <v>47</v>
      </c>
      <c r="I73" s="1">
        <v>948</v>
      </c>
      <c r="J73" s="1">
        <v>50781</v>
      </c>
      <c r="K73" s="1">
        <v>1</v>
      </c>
      <c r="L73" s="1">
        <v>116</v>
      </c>
      <c r="M73" s="1">
        <v>1980</v>
      </c>
      <c r="N73" s="1" t="s">
        <v>48</v>
      </c>
      <c r="O73" s="1">
        <v>195155</v>
      </c>
      <c r="P73" s="1">
        <v>94</v>
      </c>
      <c r="Q73" s="1" t="s">
        <v>125</v>
      </c>
      <c r="R73" s="1" t="s">
        <v>50</v>
      </c>
      <c r="S73" s="1">
        <v>0</v>
      </c>
      <c r="T73" s="1">
        <v>0</v>
      </c>
      <c r="U73" s="1">
        <v>53.843000000000004</v>
      </c>
      <c r="V73" s="1">
        <v>20.477</v>
      </c>
      <c r="W73" s="1">
        <v>1.87</v>
      </c>
      <c r="X73" s="1">
        <v>4.9279999999999999</v>
      </c>
      <c r="Y73" s="1">
        <v>25.405000000000001</v>
      </c>
      <c r="Z73" s="1">
        <v>0.253</v>
      </c>
      <c r="AA73" s="1">
        <v>0.6</v>
      </c>
      <c r="AB73" s="1">
        <v>0.6</v>
      </c>
      <c r="AC73" s="1">
        <v>0.6</v>
      </c>
      <c r="AD73" s="1">
        <v>4.9279999999999999</v>
      </c>
      <c r="AE73" s="1">
        <v>0.253</v>
      </c>
      <c r="AF73" s="1">
        <v>1.246</v>
      </c>
      <c r="AG73" s="1">
        <v>0.6</v>
      </c>
      <c r="AI73" s="1">
        <v>0</v>
      </c>
      <c r="AJ73" s="1">
        <v>0</v>
      </c>
      <c r="AK73" s="1">
        <v>0</v>
      </c>
      <c r="AL73" s="1">
        <v>1</v>
      </c>
      <c r="AM73" s="1">
        <v>86400</v>
      </c>
      <c r="AN73" s="1">
        <v>78296</v>
      </c>
      <c r="AO73" s="1">
        <v>8104</v>
      </c>
      <c r="AP73" s="1">
        <v>50418</v>
      </c>
      <c r="AQ73" s="1">
        <v>1.566961171589063</v>
      </c>
    </row>
    <row r="74" spans="1:43" x14ac:dyDescent="0.45">
      <c r="A74" s="1">
        <v>73</v>
      </c>
      <c r="B74" s="1">
        <v>95</v>
      </c>
      <c r="C74" s="1">
        <v>117</v>
      </c>
      <c r="D74" s="1" t="s">
        <v>112</v>
      </c>
      <c r="E74" s="1" t="s">
        <v>113</v>
      </c>
      <c r="F74" s="1" t="s">
        <v>114</v>
      </c>
      <c r="G74" s="1" t="s">
        <v>54</v>
      </c>
      <c r="H74" s="1" t="s">
        <v>47</v>
      </c>
      <c r="I74" s="1">
        <v>948</v>
      </c>
      <c r="J74" s="1">
        <v>50781</v>
      </c>
      <c r="K74" s="1">
        <v>1</v>
      </c>
      <c r="L74" s="1">
        <v>116</v>
      </c>
      <c r="M74" s="1">
        <v>2040</v>
      </c>
      <c r="N74" s="1" t="s">
        <v>48</v>
      </c>
      <c r="O74" s="1">
        <v>195297</v>
      </c>
      <c r="P74" s="1">
        <v>94</v>
      </c>
      <c r="Q74" s="1" t="s">
        <v>125</v>
      </c>
      <c r="R74" s="1" t="s">
        <v>50</v>
      </c>
      <c r="S74" s="1">
        <v>0</v>
      </c>
      <c r="T74" s="1">
        <v>0</v>
      </c>
      <c r="U74" s="1">
        <v>57.128999999999998</v>
      </c>
      <c r="V74" s="1">
        <v>21.033000000000001</v>
      </c>
      <c r="W74" s="1">
        <v>1.67</v>
      </c>
      <c r="X74" s="1">
        <v>4.3730000000000002</v>
      </c>
      <c r="Y74" s="1">
        <v>25.405000000000001</v>
      </c>
      <c r="Z74" s="1">
        <v>0.14099999999999999</v>
      </c>
      <c r="AA74" s="1">
        <v>2.4</v>
      </c>
      <c r="AB74" s="1">
        <v>-1.4</v>
      </c>
      <c r="AC74" s="1">
        <v>-1.4</v>
      </c>
      <c r="AD74" s="1">
        <v>4.3730000000000002</v>
      </c>
      <c r="AE74" s="1">
        <v>1.0999999999999999E-2</v>
      </c>
      <c r="AF74" s="1">
        <v>0.05</v>
      </c>
      <c r="AI74" s="1">
        <v>0</v>
      </c>
      <c r="AJ74" s="1">
        <v>0</v>
      </c>
      <c r="AK74" s="1">
        <v>0</v>
      </c>
      <c r="AL74" s="1">
        <v>1</v>
      </c>
      <c r="AM74" s="1">
        <v>86400</v>
      </c>
      <c r="AN74" s="1">
        <v>74909</v>
      </c>
      <c r="AO74" s="1">
        <v>11491</v>
      </c>
      <c r="AP74" s="1">
        <v>50430</v>
      </c>
      <c r="AQ74" s="1">
        <v>4.8008961758897906</v>
      </c>
    </row>
    <row r="75" spans="1:43" x14ac:dyDescent="0.45">
      <c r="A75" s="1">
        <v>74</v>
      </c>
      <c r="B75" s="1">
        <v>95</v>
      </c>
      <c r="C75" s="1">
        <v>117</v>
      </c>
      <c r="D75" s="1" t="s">
        <v>112</v>
      </c>
      <c r="E75" s="1" t="s">
        <v>113</v>
      </c>
      <c r="F75" s="1" t="s">
        <v>114</v>
      </c>
      <c r="G75" s="1" t="s">
        <v>54</v>
      </c>
      <c r="H75" s="1" t="s">
        <v>47</v>
      </c>
      <c r="I75" s="1">
        <v>948</v>
      </c>
      <c r="J75" s="1">
        <v>50781</v>
      </c>
      <c r="K75" s="1">
        <v>1</v>
      </c>
      <c r="L75" s="1">
        <v>116</v>
      </c>
      <c r="M75" s="1">
        <v>2041</v>
      </c>
      <c r="N75" s="1" t="s">
        <v>48</v>
      </c>
      <c r="O75" s="1">
        <v>195298</v>
      </c>
      <c r="P75" s="1">
        <v>94</v>
      </c>
      <c r="Q75" s="1" t="s">
        <v>125</v>
      </c>
      <c r="R75" s="1" t="s">
        <v>50</v>
      </c>
      <c r="S75" s="1">
        <v>0</v>
      </c>
      <c r="T75" s="1">
        <v>0</v>
      </c>
      <c r="U75" s="1">
        <v>69.653000000000006</v>
      </c>
      <c r="V75" s="1">
        <v>21.009</v>
      </c>
      <c r="W75" s="1">
        <v>1.67</v>
      </c>
      <c r="X75" s="1">
        <v>4.3959999999999999</v>
      </c>
      <c r="Y75" s="1">
        <v>25.405000000000001</v>
      </c>
      <c r="Z75" s="1">
        <v>0.26300000000000001</v>
      </c>
      <c r="AA75" s="1">
        <v>2.4</v>
      </c>
      <c r="AB75" s="1">
        <v>-0.6</v>
      </c>
      <c r="AC75" s="1">
        <v>-0.6</v>
      </c>
      <c r="AD75" s="1">
        <v>4.3959999999999999</v>
      </c>
      <c r="AE75" s="1">
        <v>5.0000000000000001E-3</v>
      </c>
      <c r="AF75" s="1">
        <v>6.3E-2</v>
      </c>
      <c r="AI75" s="1">
        <v>0</v>
      </c>
      <c r="AJ75" s="1">
        <v>0</v>
      </c>
      <c r="AK75" s="1">
        <v>0</v>
      </c>
      <c r="AL75" s="1">
        <v>1</v>
      </c>
      <c r="AM75" s="1">
        <v>86400</v>
      </c>
      <c r="AN75" s="1">
        <v>75140</v>
      </c>
      <c r="AO75" s="1">
        <v>11260</v>
      </c>
      <c r="AP75" s="1">
        <v>50429</v>
      </c>
      <c r="AQ75" s="1">
        <v>1.3019755942637019</v>
      </c>
    </row>
    <row r="76" spans="1:43" x14ac:dyDescent="0.45">
      <c r="A76" s="1">
        <v>75</v>
      </c>
      <c r="B76" s="1">
        <v>95</v>
      </c>
      <c r="C76" s="1">
        <v>117</v>
      </c>
      <c r="D76" s="1" t="s">
        <v>112</v>
      </c>
      <c r="E76" s="1" t="s">
        <v>113</v>
      </c>
      <c r="F76" s="1" t="s">
        <v>114</v>
      </c>
      <c r="G76" s="1" t="s">
        <v>54</v>
      </c>
      <c r="H76" s="1" t="s">
        <v>47</v>
      </c>
      <c r="I76" s="1">
        <v>948</v>
      </c>
      <c r="J76" s="1">
        <v>50781</v>
      </c>
      <c r="K76" s="1">
        <v>1</v>
      </c>
      <c r="L76" s="1">
        <v>116</v>
      </c>
      <c r="M76" s="1">
        <v>2044</v>
      </c>
      <c r="N76" s="1" t="s">
        <v>48</v>
      </c>
      <c r="O76" s="1">
        <v>195301</v>
      </c>
      <c r="P76" s="1">
        <v>94</v>
      </c>
      <c r="Q76" s="1" t="s">
        <v>125</v>
      </c>
      <c r="R76" s="1" t="s">
        <v>50</v>
      </c>
      <c r="S76" s="1">
        <v>0</v>
      </c>
      <c r="T76" s="1">
        <v>0</v>
      </c>
      <c r="U76" s="1">
        <v>52.036000000000001</v>
      </c>
      <c r="V76" s="1">
        <v>21.234999999999999</v>
      </c>
      <c r="W76" s="1">
        <v>1.64</v>
      </c>
      <c r="X76" s="1">
        <v>4.17</v>
      </c>
      <c r="Y76" s="1">
        <v>25.405000000000001</v>
      </c>
      <c r="Z76" s="1">
        <v>0.28499999999999998</v>
      </c>
      <c r="AA76" s="1">
        <v>1.5</v>
      </c>
      <c r="AB76" s="1">
        <v>-1.1000000000000001</v>
      </c>
      <c r="AC76" s="1">
        <v>-1.1000000000000001</v>
      </c>
      <c r="AD76" s="1">
        <v>4.17</v>
      </c>
      <c r="AE76" s="1">
        <v>1.2999999999999999E-2</v>
      </c>
      <c r="AF76" s="1">
        <v>5.2999999999999999E-2</v>
      </c>
      <c r="AI76" s="1">
        <v>0</v>
      </c>
      <c r="AJ76" s="1">
        <v>0</v>
      </c>
      <c r="AK76" s="1">
        <v>0</v>
      </c>
      <c r="AL76" s="1">
        <v>1</v>
      </c>
      <c r="AM76" s="1">
        <v>78965</v>
      </c>
      <c r="AN76" s="1">
        <v>41749</v>
      </c>
      <c r="AO76" s="1">
        <v>37216</v>
      </c>
      <c r="AP76" s="1">
        <v>50422</v>
      </c>
      <c r="AQ76" s="1">
        <v>6.8629454633243956</v>
      </c>
    </row>
    <row r="77" spans="1:43" x14ac:dyDescent="0.45">
      <c r="A77" s="1">
        <v>76</v>
      </c>
      <c r="B77" s="1">
        <v>98</v>
      </c>
      <c r="C77" s="1">
        <v>74</v>
      </c>
      <c r="D77" s="1" t="s">
        <v>61</v>
      </c>
      <c r="E77" s="1" t="s">
        <v>62</v>
      </c>
      <c r="F77" s="1" t="s">
        <v>63</v>
      </c>
      <c r="G77" s="1" t="s">
        <v>46</v>
      </c>
      <c r="H77" s="1" t="s">
        <v>47</v>
      </c>
      <c r="I77" s="1">
        <v>1175</v>
      </c>
      <c r="J77" s="1">
        <v>30642</v>
      </c>
      <c r="K77" s="1">
        <v>1</v>
      </c>
      <c r="L77" s="1">
        <v>73</v>
      </c>
      <c r="M77" s="1">
        <v>2208</v>
      </c>
      <c r="N77" s="1" t="s">
        <v>48</v>
      </c>
      <c r="O77" s="1">
        <v>198607</v>
      </c>
      <c r="P77" s="1">
        <v>94</v>
      </c>
      <c r="Q77" s="1" t="s">
        <v>125</v>
      </c>
      <c r="R77" s="1" t="s">
        <v>50</v>
      </c>
      <c r="S77" s="1">
        <v>0</v>
      </c>
      <c r="T77" s="1">
        <v>0</v>
      </c>
      <c r="U77" s="1">
        <v>71.430000000000007</v>
      </c>
      <c r="V77" s="1">
        <v>25.236000000000001</v>
      </c>
      <c r="W77" s="1">
        <v>0.56000000000000005</v>
      </c>
      <c r="X77" s="1">
        <v>0.35799999999999998</v>
      </c>
      <c r="Y77" s="1">
        <v>25.594000000000001</v>
      </c>
      <c r="Z77" s="1">
        <v>0.12</v>
      </c>
      <c r="AA77" s="1">
        <v>-0.6</v>
      </c>
      <c r="AB77" s="1">
        <v>-1.3</v>
      </c>
      <c r="AC77" s="1">
        <v>-1.3</v>
      </c>
      <c r="AD77" s="1">
        <v>0.35799999999999998</v>
      </c>
      <c r="AE77" s="1">
        <v>3.2000000000000001E-2</v>
      </c>
      <c r="AF77" s="1">
        <v>1.9E-2</v>
      </c>
      <c r="AG77" s="1">
        <v>-0.6</v>
      </c>
      <c r="AI77" s="1">
        <v>0</v>
      </c>
      <c r="AJ77" s="1">
        <v>0</v>
      </c>
      <c r="AK77" s="1">
        <v>0</v>
      </c>
      <c r="AL77" s="1">
        <v>1</v>
      </c>
      <c r="AM77" s="1">
        <v>86400</v>
      </c>
      <c r="AN77" s="1">
        <v>81622</v>
      </c>
      <c r="AO77" s="1">
        <v>4778</v>
      </c>
      <c r="AP77" s="1">
        <v>50213</v>
      </c>
      <c r="AQ77" s="1">
        <v>1.128700621179076</v>
      </c>
    </row>
    <row r="78" spans="1:43" x14ac:dyDescent="0.45">
      <c r="A78" s="1">
        <v>77</v>
      </c>
      <c r="B78" s="1">
        <v>99</v>
      </c>
      <c r="C78" s="1">
        <v>75</v>
      </c>
      <c r="D78" s="1" t="s">
        <v>64</v>
      </c>
      <c r="E78" s="1" t="s">
        <v>65</v>
      </c>
      <c r="F78" s="1" t="s">
        <v>66</v>
      </c>
      <c r="G78" s="1" t="s">
        <v>46</v>
      </c>
      <c r="H78" s="1" t="s">
        <v>47</v>
      </c>
      <c r="I78" s="1">
        <v>1170</v>
      </c>
      <c r="J78" s="1">
        <v>33499</v>
      </c>
      <c r="K78" s="1">
        <v>1</v>
      </c>
      <c r="L78" s="1">
        <v>74</v>
      </c>
      <c r="M78" s="1">
        <v>2208</v>
      </c>
      <c r="N78" s="1" t="s">
        <v>48</v>
      </c>
      <c r="O78" s="1">
        <v>198607</v>
      </c>
      <c r="P78" s="1">
        <v>94</v>
      </c>
      <c r="Q78" s="1" t="s">
        <v>125</v>
      </c>
      <c r="R78" s="1" t="s">
        <v>50</v>
      </c>
      <c r="S78" s="1">
        <v>0</v>
      </c>
      <c r="T78" s="1">
        <v>0</v>
      </c>
      <c r="U78" s="1">
        <v>71.430000000000007</v>
      </c>
      <c r="V78" s="1">
        <v>25.236000000000001</v>
      </c>
      <c r="W78" s="1">
        <v>0.56000000000000005</v>
      </c>
      <c r="X78" s="1">
        <v>0.35799999999999998</v>
      </c>
      <c r="Y78" s="1">
        <v>25.594000000000001</v>
      </c>
      <c r="Z78" s="1">
        <v>0.12</v>
      </c>
      <c r="AA78" s="1">
        <v>-0.6</v>
      </c>
      <c r="AB78" s="1">
        <v>-1.3</v>
      </c>
      <c r="AC78" s="1">
        <v>-1.3</v>
      </c>
      <c r="AD78" s="1">
        <v>0.35799999999999998</v>
      </c>
      <c r="AE78" s="1">
        <v>3.2000000000000001E-2</v>
      </c>
      <c r="AF78" s="1">
        <v>1.9E-2</v>
      </c>
      <c r="AG78" s="1">
        <v>-0.6</v>
      </c>
      <c r="AI78" s="1">
        <v>0</v>
      </c>
      <c r="AJ78" s="1">
        <v>0</v>
      </c>
      <c r="AK78" s="1">
        <v>0</v>
      </c>
      <c r="AL78" s="1">
        <v>1</v>
      </c>
      <c r="AM78" s="1">
        <v>86400</v>
      </c>
      <c r="AN78" s="1">
        <v>81622</v>
      </c>
      <c r="AO78" s="1">
        <v>4778</v>
      </c>
      <c r="AP78" s="1">
        <v>50213</v>
      </c>
      <c r="AQ78" s="1">
        <v>1.127791953060064</v>
      </c>
    </row>
    <row r="79" spans="1:43" x14ac:dyDescent="0.45">
      <c r="A79" s="1">
        <v>78</v>
      </c>
      <c r="B79" s="1">
        <v>101</v>
      </c>
      <c r="C79" s="1">
        <v>74</v>
      </c>
      <c r="D79" s="1" t="s">
        <v>61</v>
      </c>
      <c r="E79" s="1" t="s">
        <v>62</v>
      </c>
      <c r="F79" s="1" t="s">
        <v>63</v>
      </c>
      <c r="G79" s="1" t="s">
        <v>46</v>
      </c>
      <c r="H79" s="1" t="s">
        <v>47</v>
      </c>
      <c r="I79" s="1">
        <v>1175</v>
      </c>
      <c r="J79" s="1">
        <v>30642</v>
      </c>
      <c r="K79" s="1">
        <v>1</v>
      </c>
      <c r="L79" s="1">
        <v>73</v>
      </c>
      <c r="M79" s="1">
        <v>2155</v>
      </c>
      <c r="N79" s="1" t="s">
        <v>48</v>
      </c>
      <c r="O79" s="1">
        <v>198410</v>
      </c>
      <c r="P79" s="1">
        <v>94</v>
      </c>
      <c r="Q79" s="1" t="s">
        <v>125</v>
      </c>
      <c r="R79" s="1" t="s">
        <v>50</v>
      </c>
      <c r="S79" s="1">
        <v>0</v>
      </c>
      <c r="T79" s="1">
        <v>0</v>
      </c>
      <c r="U79" s="1">
        <v>133.90799999999999</v>
      </c>
      <c r="V79" s="1">
        <v>25.021999999999998</v>
      </c>
      <c r="W79" s="1">
        <v>0.57999999999999996</v>
      </c>
      <c r="X79" s="1">
        <v>0.50900000000000001</v>
      </c>
      <c r="Y79" s="1">
        <v>25.53</v>
      </c>
      <c r="Z79" s="1">
        <v>0.11700000000000001</v>
      </c>
      <c r="AA79" s="1">
        <v>-0.6</v>
      </c>
      <c r="AB79" s="1">
        <v>-0.5</v>
      </c>
      <c r="AC79" s="1">
        <v>0</v>
      </c>
      <c r="AD79" s="1">
        <v>0.50600000000000001</v>
      </c>
      <c r="AE79" s="1">
        <v>3.5000000000000003E-2</v>
      </c>
      <c r="AF79" s="1">
        <v>4.3999999999999997E-2</v>
      </c>
      <c r="AG79" s="1">
        <v>-0.6</v>
      </c>
      <c r="AI79" s="1">
        <v>0</v>
      </c>
      <c r="AJ79" s="1">
        <v>0</v>
      </c>
      <c r="AK79" s="1">
        <v>0</v>
      </c>
      <c r="AL79" s="1">
        <v>1</v>
      </c>
      <c r="AM79" s="1">
        <v>86400</v>
      </c>
      <c r="AN79" s="1">
        <v>81629</v>
      </c>
      <c r="AO79" s="1">
        <v>4771</v>
      </c>
      <c r="AP79" s="1">
        <v>50346</v>
      </c>
      <c r="AQ79" s="1">
        <v>11.8823424762514</v>
      </c>
    </row>
    <row r="80" spans="1:43" x14ac:dyDescent="0.45">
      <c r="A80" s="1">
        <v>79</v>
      </c>
      <c r="B80" s="1">
        <v>101</v>
      </c>
      <c r="C80" s="1">
        <v>74</v>
      </c>
      <c r="D80" s="1" t="s">
        <v>61</v>
      </c>
      <c r="E80" s="1" t="s">
        <v>62</v>
      </c>
      <c r="F80" s="1" t="s">
        <v>63</v>
      </c>
      <c r="G80" s="1" t="s">
        <v>46</v>
      </c>
      <c r="H80" s="1" t="s">
        <v>47</v>
      </c>
      <c r="I80" s="1">
        <v>1175</v>
      </c>
      <c r="J80" s="1">
        <v>30642</v>
      </c>
      <c r="K80" s="1">
        <v>1</v>
      </c>
      <c r="L80" s="1">
        <v>73</v>
      </c>
      <c r="M80" s="1">
        <v>2156</v>
      </c>
      <c r="N80" s="1" t="s">
        <v>48</v>
      </c>
      <c r="O80" s="1">
        <v>198411</v>
      </c>
      <c r="P80" s="1">
        <v>94</v>
      </c>
      <c r="Q80" s="1" t="s">
        <v>125</v>
      </c>
      <c r="R80" s="1" t="s">
        <v>50</v>
      </c>
      <c r="S80" s="1">
        <v>0</v>
      </c>
      <c r="T80" s="1">
        <v>0</v>
      </c>
      <c r="U80" s="1">
        <v>238.23699999999999</v>
      </c>
      <c r="V80" s="1">
        <v>25.375</v>
      </c>
      <c r="W80" s="1">
        <v>0.52</v>
      </c>
      <c r="X80" s="1">
        <v>0.155</v>
      </c>
      <c r="Y80" s="1">
        <v>25.53</v>
      </c>
      <c r="Z80" s="1">
        <v>0.13100000000000001</v>
      </c>
      <c r="AA80" s="1">
        <v>0.5</v>
      </c>
      <c r="AB80" s="1">
        <v>1.3</v>
      </c>
      <c r="AC80" s="1">
        <v>1.3</v>
      </c>
      <c r="AD80" s="1">
        <v>0.155</v>
      </c>
      <c r="AE80" s="1">
        <v>8.2000000000000003E-2</v>
      </c>
      <c r="AF80" s="1">
        <v>1.2999999999999999E-2</v>
      </c>
      <c r="AI80" s="1">
        <v>0</v>
      </c>
      <c r="AJ80" s="1">
        <v>0</v>
      </c>
      <c r="AK80" s="1">
        <v>0</v>
      </c>
      <c r="AL80" s="1">
        <v>1</v>
      </c>
      <c r="AM80" s="1">
        <v>51013</v>
      </c>
      <c r="AN80" s="1">
        <v>4203</v>
      </c>
      <c r="AO80" s="1">
        <v>46810</v>
      </c>
      <c r="AP80" s="1">
        <v>50331</v>
      </c>
      <c r="AQ80" s="1">
        <v>3.421797495172997</v>
      </c>
    </row>
    <row r="81" spans="1:43" x14ac:dyDescent="0.45">
      <c r="A81" s="1">
        <v>80</v>
      </c>
      <c r="B81" s="1">
        <v>101</v>
      </c>
      <c r="C81" s="1">
        <v>74</v>
      </c>
      <c r="D81" s="1" t="s">
        <v>61</v>
      </c>
      <c r="E81" s="1" t="s">
        <v>62</v>
      </c>
      <c r="F81" s="1" t="s">
        <v>63</v>
      </c>
      <c r="G81" s="1" t="s">
        <v>46</v>
      </c>
      <c r="H81" s="1" t="s">
        <v>47</v>
      </c>
      <c r="I81" s="1">
        <v>1175</v>
      </c>
      <c r="J81" s="1">
        <v>30642</v>
      </c>
      <c r="K81" s="1">
        <v>1</v>
      </c>
      <c r="L81" s="1">
        <v>73</v>
      </c>
      <c r="M81" s="1">
        <v>2158</v>
      </c>
      <c r="N81" s="1" t="s">
        <v>48</v>
      </c>
      <c r="O81" s="1">
        <v>198432</v>
      </c>
      <c r="P81" s="1">
        <v>94</v>
      </c>
      <c r="Q81" s="1" t="s">
        <v>125</v>
      </c>
      <c r="R81" s="1" t="s">
        <v>50</v>
      </c>
      <c r="S81" s="1">
        <v>0</v>
      </c>
      <c r="T81" s="1">
        <v>0</v>
      </c>
      <c r="U81" s="1">
        <v>135.304</v>
      </c>
      <c r="V81" s="1">
        <v>25.076000000000001</v>
      </c>
      <c r="W81" s="1">
        <v>0.57999999999999996</v>
      </c>
      <c r="X81" s="1">
        <v>0.45600000000000002</v>
      </c>
      <c r="Y81" s="1">
        <v>25.532</v>
      </c>
      <c r="Z81" s="1">
        <v>0.28199999999999997</v>
      </c>
      <c r="AA81" s="1">
        <v>2.2000000000000002</v>
      </c>
      <c r="AB81" s="1">
        <v>2.2999999999999998</v>
      </c>
      <c r="AC81" s="1">
        <v>2.2000000000000002</v>
      </c>
      <c r="AD81" s="1">
        <v>0.45200000000000001</v>
      </c>
      <c r="AE81" s="1">
        <v>0.251</v>
      </c>
      <c r="AF81" s="1">
        <v>0.12</v>
      </c>
      <c r="AG81" s="1">
        <v>2.2000000000000002</v>
      </c>
      <c r="AI81" s="1">
        <v>0</v>
      </c>
      <c r="AJ81" s="1">
        <v>0</v>
      </c>
      <c r="AK81" s="1">
        <v>0</v>
      </c>
      <c r="AL81" s="1">
        <v>1</v>
      </c>
      <c r="AM81" s="1">
        <v>86400</v>
      </c>
      <c r="AN81" s="1">
        <v>80342</v>
      </c>
      <c r="AO81" s="1">
        <v>6058</v>
      </c>
      <c r="AP81" s="1">
        <v>50368</v>
      </c>
      <c r="AQ81" s="1">
        <v>3.4734693212018222</v>
      </c>
    </row>
    <row r="82" spans="1:43" x14ac:dyDescent="0.45">
      <c r="A82" s="1">
        <v>81</v>
      </c>
      <c r="B82" s="1">
        <v>101</v>
      </c>
      <c r="C82" s="1">
        <v>74</v>
      </c>
      <c r="D82" s="1" t="s">
        <v>61</v>
      </c>
      <c r="E82" s="1" t="s">
        <v>62</v>
      </c>
      <c r="F82" s="1" t="s">
        <v>63</v>
      </c>
      <c r="G82" s="1" t="s">
        <v>46</v>
      </c>
      <c r="H82" s="1" t="s">
        <v>47</v>
      </c>
      <c r="I82" s="1">
        <v>1175</v>
      </c>
      <c r="J82" s="1">
        <v>30642</v>
      </c>
      <c r="K82" s="1">
        <v>1</v>
      </c>
      <c r="L82" s="1">
        <v>73</v>
      </c>
      <c r="M82" s="1">
        <v>2166</v>
      </c>
      <c r="N82" s="1" t="s">
        <v>48</v>
      </c>
      <c r="O82" s="1">
        <v>198454</v>
      </c>
      <c r="P82" s="1">
        <v>94</v>
      </c>
      <c r="Q82" s="1" t="s">
        <v>125</v>
      </c>
      <c r="R82" s="1" t="s">
        <v>50</v>
      </c>
      <c r="S82" s="1">
        <v>0</v>
      </c>
      <c r="T82" s="1">
        <v>0</v>
      </c>
      <c r="U82" s="1">
        <v>706.94600000000003</v>
      </c>
      <c r="V82" s="1">
        <v>25.349</v>
      </c>
      <c r="W82" s="1">
        <v>0.54</v>
      </c>
      <c r="X82" s="1">
        <v>0.23200000000000001</v>
      </c>
      <c r="Y82" s="1">
        <v>25.581</v>
      </c>
      <c r="Z82" s="1">
        <v>0.114</v>
      </c>
      <c r="AA82" s="1">
        <v>0.6</v>
      </c>
      <c r="AB82" s="1">
        <v>0.6</v>
      </c>
      <c r="AC82" s="1">
        <v>0.6</v>
      </c>
      <c r="AD82" s="1">
        <v>0.23200000000000001</v>
      </c>
      <c r="AE82" s="1">
        <v>0.111</v>
      </c>
      <c r="AF82" s="1">
        <v>2.5999999999999999E-2</v>
      </c>
      <c r="AG82" s="1">
        <v>0.6</v>
      </c>
      <c r="AI82" s="1">
        <v>0</v>
      </c>
      <c r="AJ82" s="1">
        <v>0</v>
      </c>
      <c r="AK82" s="1">
        <v>0</v>
      </c>
      <c r="AL82" s="1">
        <v>1</v>
      </c>
      <c r="AM82" s="1">
        <v>86400</v>
      </c>
      <c r="AN82" s="1">
        <v>77996</v>
      </c>
      <c r="AO82" s="1">
        <v>8404</v>
      </c>
      <c r="AP82" s="1">
        <v>50350</v>
      </c>
      <c r="AQ82" s="1">
        <v>1.647579668275021</v>
      </c>
    </row>
    <row r="83" spans="1:43" x14ac:dyDescent="0.45">
      <c r="A83" s="1">
        <v>82</v>
      </c>
      <c r="B83" s="1">
        <v>101</v>
      </c>
      <c r="C83" s="1">
        <v>74</v>
      </c>
      <c r="D83" s="1" t="s">
        <v>61</v>
      </c>
      <c r="E83" s="1" t="s">
        <v>62</v>
      </c>
      <c r="F83" s="1" t="s">
        <v>63</v>
      </c>
      <c r="G83" s="1" t="s">
        <v>46</v>
      </c>
      <c r="H83" s="1" t="s">
        <v>47</v>
      </c>
      <c r="I83" s="1">
        <v>1175</v>
      </c>
      <c r="J83" s="1">
        <v>30642</v>
      </c>
      <c r="K83" s="1">
        <v>1</v>
      </c>
      <c r="L83" s="1">
        <v>73</v>
      </c>
      <c r="M83" s="1">
        <v>2167</v>
      </c>
      <c r="N83" s="1" t="s">
        <v>48</v>
      </c>
      <c r="O83" s="1">
        <v>198455</v>
      </c>
      <c r="P83" s="1">
        <v>94</v>
      </c>
      <c r="Q83" s="1" t="s">
        <v>125</v>
      </c>
      <c r="R83" s="1" t="s">
        <v>50</v>
      </c>
      <c r="S83" s="1">
        <v>0</v>
      </c>
      <c r="T83" s="1">
        <v>0</v>
      </c>
      <c r="U83" s="1">
        <v>453.35199999999998</v>
      </c>
      <c r="V83" s="1">
        <v>25.404</v>
      </c>
      <c r="W83" s="1">
        <v>0.53</v>
      </c>
      <c r="X83" s="1">
        <v>0.17699999999999999</v>
      </c>
      <c r="Y83" s="1">
        <v>25.581</v>
      </c>
      <c r="Z83" s="1">
        <v>7.3999999999999996E-2</v>
      </c>
      <c r="AA83" s="1">
        <v>-0.5</v>
      </c>
      <c r="AB83" s="1">
        <v>3.1</v>
      </c>
      <c r="AC83" s="1">
        <v>3.1</v>
      </c>
      <c r="AD83" s="1">
        <v>0.17699999999999999</v>
      </c>
      <c r="AE83" s="1">
        <v>2.1999999999999999E-2</v>
      </c>
      <c r="AF83" s="1">
        <v>1.0999999999999999E-2</v>
      </c>
      <c r="AI83" s="1">
        <v>0</v>
      </c>
      <c r="AJ83" s="1">
        <v>0</v>
      </c>
      <c r="AK83" s="1">
        <v>0</v>
      </c>
      <c r="AL83" s="1">
        <v>1</v>
      </c>
      <c r="AM83" s="1">
        <v>51305</v>
      </c>
      <c r="AN83" s="1">
        <v>5818</v>
      </c>
      <c r="AO83" s="1">
        <v>45486</v>
      </c>
      <c r="AP83" s="1">
        <v>50316</v>
      </c>
      <c r="AQ83" s="1">
        <v>1.6133676293600641</v>
      </c>
    </row>
    <row r="84" spans="1:43" x14ac:dyDescent="0.45">
      <c r="A84" s="1">
        <v>83</v>
      </c>
      <c r="B84" s="1">
        <v>101</v>
      </c>
      <c r="C84" s="1">
        <v>74</v>
      </c>
      <c r="D84" s="1" t="s">
        <v>61</v>
      </c>
      <c r="E84" s="1" t="s">
        <v>62</v>
      </c>
      <c r="F84" s="1" t="s">
        <v>63</v>
      </c>
      <c r="G84" s="1" t="s">
        <v>46</v>
      </c>
      <c r="H84" s="1" t="s">
        <v>47</v>
      </c>
      <c r="I84" s="1">
        <v>1175</v>
      </c>
      <c r="J84" s="1">
        <v>30642</v>
      </c>
      <c r="K84" s="1">
        <v>1</v>
      </c>
      <c r="L84" s="1">
        <v>73</v>
      </c>
      <c r="M84" s="1">
        <v>2172</v>
      </c>
      <c r="N84" s="1" t="s">
        <v>48</v>
      </c>
      <c r="O84" s="1">
        <v>198460</v>
      </c>
      <c r="P84" s="1">
        <v>94</v>
      </c>
      <c r="Q84" s="1" t="s">
        <v>125</v>
      </c>
      <c r="R84" s="1" t="s">
        <v>50</v>
      </c>
      <c r="S84" s="1">
        <v>0</v>
      </c>
      <c r="T84" s="1">
        <v>0</v>
      </c>
      <c r="U84" s="1">
        <v>100.82299999999999</v>
      </c>
      <c r="V84" s="1">
        <v>25.100999999999999</v>
      </c>
      <c r="W84" s="1">
        <v>0.57999999999999996</v>
      </c>
      <c r="X84" s="1">
        <v>0.48699999999999999</v>
      </c>
      <c r="Y84" s="1">
        <v>25.588000000000001</v>
      </c>
      <c r="Z84" s="1">
        <v>0.72599999999999998</v>
      </c>
      <c r="AA84" s="1">
        <v>-2.5</v>
      </c>
      <c r="AB84" s="1">
        <v>0.7</v>
      </c>
      <c r="AC84" s="1">
        <v>0.7</v>
      </c>
      <c r="AD84" s="1">
        <v>0.48699999999999999</v>
      </c>
      <c r="AE84" s="1">
        <v>9.1999999999999998E-2</v>
      </c>
      <c r="AF84" s="1">
        <v>8.3000000000000004E-2</v>
      </c>
      <c r="AG84" s="1">
        <v>-2.5</v>
      </c>
      <c r="AI84" s="1">
        <v>0</v>
      </c>
      <c r="AJ84" s="1">
        <v>0</v>
      </c>
      <c r="AK84" s="1">
        <v>0</v>
      </c>
      <c r="AL84" s="1">
        <v>1</v>
      </c>
      <c r="AM84" s="1">
        <v>54420</v>
      </c>
      <c r="AN84" s="1">
        <v>14656</v>
      </c>
      <c r="AO84" s="1">
        <v>39714</v>
      </c>
      <c r="AP84" s="1">
        <v>50396</v>
      </c>
      <c r="AQ84" s="1">
        <v>5.4229062710019962</v>
      </c>
    </row>
    <row r="85" spans="1:43" x14ac:dyDescent="0.45">
      <c r="A85" s="1">
        <v>84</v>
      </c>
      <c r="B85" s="1">
        <v>101</v>
      </c>
      <c r="C85" s="1">
        <v>74</v>
      </c>
      <c r="D85" s="1" t="s">
        <v>61</v>
      </c>
      <c r="E85" s="1" t="s">
        <v>62</v>
      </c>
      <c r="F85" s="1" t="s">
        <v>63</v>
      </c>
      <c r="G85" s="1" t="s">
        <v>46</v>
      </c>
      <c r="H85" s="1" t="s">
        <v>47</v>
      </c>
      <c r="I85" s="1">
        <v>1175</v>
      </c>
      <c r="J85" s="1">
        <v>30642</v>
      </c>
      <c r="K85" s="1">
        <v>1</v>
      </c>
      <c r="L85" s="1">
        <v>73</v>
      </c>
      <c r="M85" s="1">
        <v>2173</v>
      </c>
      <c r="N85" s="1" t="s">
        <v>48</v>
      </c>
      <c r="O85" s="1">
        <v>198461</v>
      </c>
      <c r="P85" s="1">
        <v>94</v>
      </c>
      <c r="Q85" s="1" t="s">
        <v>125</v>
      </c>
      <c r="R85" s="1" t="s">
        <v>50</v>
      </c>
      <c r="S85" s="1">
        <v>0</v>
      </c>
      <c r="T85" s="1">
        <v>0</v>
      </c>
      <c r="U85" s="1">
        <v>58.322000000000003</v>
      </c>
      <c r="V85" s="1">
        <v>24.956</v>
      </c>
      <c r="W85" s="1">
        <v>0.61</v>
      </c>
      <c r="X85" s="1">
        <v>0.626</v>
      </c>
      <c r="Y85" s="1">
        <v>25.582000000000001</v>
      </c>
      <c r="Z85" s="1">
        <v>1.0049999999999999</v>
      </c>
      <c r="AA85" s="1">
        <v>-2.2000000000000002</v>
      </c>
      <c r="AB85" s="1">
        <v>0.7</v>
      </c>
      <c r="AC85" s="1">
        <v>0.7</v>
      </c>
      <c r="AD85" s="1">
        <v>0.626</v>
      </c>
      <c r="AE85" s="1">
        <v>0.16700000000000001</v>
      </c>
      <c r="AF85" s="1">
        <v>0.315</v>
      </c>
      <c r="AG85" s="1">
        <v>-2.2000000000000002</v>
      </c>
      <c r="AI85" s="1">
        <v>0</v>
      </c>
      <c r="AJ85" s="1">
        <v>0</v>
      </c>
      <c r="AK85" s="1">
        <v>0</v>
      </c>
      <c r="AL85" s="1">
        <v>1</v>
      </c>
      <c r="AM85" s="1">
        <v>86400</v>
      </c>
      <c r="AN85" s="1">
        <v>81765</v>
      </c>
      <c r="AO85" s="1">
        <v>4635</v>
      </c>
      <c r="AP85" s="1">
        <v>50325</v>
      </c>
      <c r="AQ85" s="1">
        <v>9.2548474418251185</v>
      </c>
    </row>
    <row r="86" spans="1:43" x14ac:dyDescent="0.45">
      <c r="A86" s="1">
        <v>85</v>
      </c>
      <c r="B86" s="1">
        <v>101</v>
      </c>
      <c r="C86" s="1">
        <v>74</v>
      </c>
      <c r="D86" s="1" t="s">
        <v>61</v>
      </c>
      <c r="E86" s="1" t="s">
        <v>62</v>
      </c>
      <c r="F86" s="1" t="s">
        <v>63</v>
      </c>
      <c r="G86" s="1" t="s">
        <v>46</v>
      </c>
      <c r="H86" s="1" t="s">
        <v>47</v>
      </c>
      <c r="I86" s="1">
        <v>1175</v>
      </c>
      <c r="J86" s="1">
        <v>30642</v>
      </c>
      <c r="K86" s="1">
        <v>1</v>
      </c>
      <c r="L86" s="1">
        <v>73</v>
      </c>
      <c r="M86" s="1">
        <v>2174</v>
      </c>
      <c r="N86" s="1" t="s">
        <v>48</v>
      </c>
      <c r="O86" s="1">
        <v>198463</v>
      </c>
      <c r="P86" s="1">
        <v>94</v>
      </c>
      <c r="Q86" s="1" t="s">
        <v>125</v>
      </c>
      <c r="R86" s="1" t="s">
        <v>50</v>
      </c>
      <c r="S86" s="1">
        <v>0</v>
      </c>
      <c r="T86" s="1">
        <v>0</v>
      </c>
      <c r="U86" s="1">
        <v>67.843999999999994</v>
      </c>
      <c r="V86" s="1">
        <v>25.030999999999999</v>
      </c>
      <c r="W86" s="1">
        <v>0.59</v>
      </c>
      <c r="X86" s="1">
        <v>0.55300000000000005</v>
      </c>
      <c r="Y86" s="1">
        <v>25.584</v>
      </c>
      <c r="Z86" s="1">
        <v>0.68200000000000005</v>
      </c>
      <c r="AA86" s="1">
        <v>-2.1</v>
      </c>
      <c r="AB86" s="1">
        <v>1.8</v>
      </c>
      <c r="AC86" s="1">
        <v>1.8</v>
      </c>
      <c r="AD86" s="1">
        <v>0.55200000000000005</v>
      </c>
      <c r="AE86" s="1">
        <v>8.5999999999999993E-2</v>
      </c>
      <c r="AF86" s="1">
        <v>0.115</v>
      </c>
      <c r="AG86" s="1">
        <v>-2.1</v>
      </c>
      <c r="AI86" s="1">
        <v>0</v>
      </c>
      <c r="AJ86" s="1">
        <v>0</v>
      </c>
      <c r="AK86" s="1">
        <v>0</v>
      </c>
      <c r="AL86" s="1">
        <v>1</v>
      </c>
      <c r="AM86" s="1">
        <v>86400</v>
      </c>
      <c r="AN86" s="1">
        <v>74740</v>
      </c>
      <c r="AO86" s="1">
        <v>11138</v>
      </c>
      <c r="AP86" s="1">
        <v>50225</v>
      </c>
      <c r="AQ86" s="1">
        <v>8.1449229246895669</v>
      </c>
    </row>
    <row r="87" spans="1:43" x14ac:dyDescent="0.45">
      <c r="A87" s="1">
        <v>86</v>
      </c>
      <c r="B87" s="1">
        <v>101</v>
      </c>
      <c r="C87" s="1">
        <v>74</v>
      </c>
      <c r="D87" s="1" t="s">
        <v>61</v>
      </c>
      <c r="E87" s="1" t="s">
        <v>62</v>
      </c>
      <c r="F87" s="1" t="s">
        <v>63</v>
      </c>
      <c r="G87" s="1" t="s">
        <v>46</v>
      </c>
      <c r="H87" s="1" t="s">
        <v>47</v>
      </c>
      <c r="I87" s="1">
        <v>1175</v>
      </c>
      <c r="J87" s="1">
        <v>30642</v>
      </c>
      <c r="K87" s="1">
        <v>1</v>
      </c>
      <c r="L87" s="1">
        <v>73</v>
      </c>
      <c r="M87" s="1">
        <v>2176</v>
      </c>
      <c r="N87" s="1" t="s">
        <v>48</v>
      </c>
      <c r="O87" s="1">
        <v>198465</v>
      </c>
      <c r="P87" s="1">
        <v>94</v>
      </c>
      <c r="Q87" s="1" t="s">
        <v>125</v>
      </c>
      <c r="R87" s="1" t="s">
        <v>50</v>
      </c>
      <c r="S87" s="1">
        <v>0</v>
      </c>
      <c r="T87" s="1">
        <v>0</v>
      </c>
      <c r="U87" s="1">
        <v>58.575000000000003</v>
      </c>
      <c r="V87" s="1">
        <v>25.164999999999999</v>
      </c>
      <c r="W87" s="1">
        <v>0.57999999999999996</v>
      </c>
      <c r="X87" s="1">
        <v>0.41899999999999998</v>
      </c>
      <c r="Y87" s="1">
        <v>25.584</v>
      </c>
      <c r="Z87" s="1">
        <v>0.39500000000000002</v>
      </c>
      <c r="AA87" s="1">
        <v>0.6</v>
      </c>
      <c r="AB87" s="1">
        <v>1.4</v>
      </c>
      <c r="AC87" s="1">
        <v>1.4</v>
      </c>
      <c r="AD87" s="1">
        <v>0.41699999999999998</v>
      </c>
      <c r="AE87" s="1">
        <v>0.33400000000000002</v>
      </c>
      <c r="AF87" s="1">
        <v>0.14000000000000001</v>
      </c>
      <c r="AG87" s="1">
        <v>0.6</v>
      </c>
      <c r="AI87" s="1">
        <v>0</v>
      </c>
      <c r="AJ87" s="1">
        <v>0</v>
      </c>
      <c r="AK87" s="1">
        <v>0</v>
      </c>
      <c r="AL87" s="1">
        <v>1</v>
      </c>
      <c r="AM87" s="1">
        <v>52050</v>
      </c>
      <c r="AN87" s="1">
        <v>8720</v>
      </c>
      <c r="AO87" s="1">
        <v>43330</v>
      </c>
      <c r="AP87" s="1">
        <v>50393</v>
      </c>
      <c r="AQ87" s="1">
        <v>4.1134895748945857</v>
      </c>
    </row>
    <row r="88" spans="1:43" x14ac:dyDescent="0.45">
      <c r="A88" s="1">
        <v>87</v>
      </c>
      <c r="B88" s="1">
        <v>101</v>
      </c>
      <c r="C88" s="1">
        <v>74</v>
      </c>
      <c r="D88" s="1" t="s">
        <v>61</v>
      </c>
      <c r="E88" s="1" t="s">
        <v>62</v>
      </c>
      <c r="F88" s="1" t="s">
        <v>63</v>
      </c>
      <c r="G88" s="1" t="s">
        <v>46</v>
      </c>
      <c r="H88" s="1" t="s">
        <v>47</v>
      </c>
      <c r="I88" s="1">
        <v>1175</v>
      </c>
      <c r="J88" s="1">
        <v>30642</v>
      </c>
      <c r="K88" s="1">
        <v>1</v>
      </c>
      <c r="L88" s="1">
        <v>73</v>
      </c>
      <c r="M88" s="1">
        <v>2184</v>
      </c>
      <c r="N88" s="1" t="s">
        <v>48</v>
      </c>
      <c r="O88" s="1">
        <v>198479</v>
      </c>
      <c r="P88" s="1">
        <v>94</v>
      </c>
      <c r="Q88" s="1" t="s">
        <v>125</v>
      </c>
      <c r="R88" s="1" t="s">
        <v>50</v>
      </c>
      <c r="S88" s="1">
        <v>0</v>
      </c>
      <c r="T88" s="1">
        <v>0</v>
      </c>
      <c r="U88" s="1">
        <v>139.94399999999999</v>
      </c>
      <c r="V88" s="1">
        <v>25.33</v>
      </c>
      <c r="W88" s="1">
        <v>0.55000000000000004</v>
      </c>
      <c r="X88" s="1">
        <v>0.21299999999999999</v>
      </c>
      <c r="Y88" s="1">
        <v>25.544</v>
      </c>
      <c r="Z88" s="1">
        <v>0.78800000000000003</v>
      </c>
      <c r="AA88" s="1">
        <v>-2.2999999999999998</v>
      </c>
      <c r="AB88" s="1">
        <v>-2.2999999999999998</v>
      </c>
      <c r="AC88" s="1">
        <v>-2.2999999999999998</v>
      </c>
      <c r="AD88" s="1">
        <v>0.21299999999999999</v>
      </c>
      <c r="AE88" s="1">
        <v>0.67</v>
      </c>
      <c r="AF88" s="1">
        <v>0.14299999999999999</v>
      </c>
      <c r="AG88" s="1">
        <v>-2.2999999999999998</v>
      </c>
      <c r="AI88" s="1">
        <v>0</v>
      </c>
      <c r="AJ88" s="1">
        <v>0</v>
      </c>
      <c r="AK88" s="1">
        <v>0</v>
      </c>
      <c r="AL88" s="1">
        <v>1</v>
      </c>
      <c r="AM88" s="1">
        <v>51409</v>
      </c>
      <c r="AN88" s="1">
        <v>6214</v>
      </c>
      <c r="AO88" s="1">
        <v>45195</v>
      </c>
      <c r="AP88" s="1">
        <v>50340</v>
      </c>
      <c r="AQ88" s="1">
        <v>13.73987000258427</v>
      </c>
    </row>
    <row r="89" spans="1:43" x14ac:dyDescent="0.45">
      <c r="A89" s="1">
        <v>88</v>
      </c>
      <c r="B89" s="1">
        <v>101</v>
      </c>
      <c r="C89" s="1">
        <v>74</v>
      </c>
      <c r="D89" s="1" t="s">
        <v>61</v>
      </c>
      <c r="E89" s="1" t="s">
        <v>62</v>
      </c>
      <c r="F89" s="1" t="s">
        <v>63</v>
      </c>
      <c r="G89" s="1" t="s">
        <v>46</v>
      </c>
      <c r="H89" s="1" t="s">
        <v>47</v>
      </c>
      <c r="I89" s="1">
        <v>1175</v>
      </c>
      <c r="J89" s="1">
        <v>30642</v>
      </c>
      <c r="K89" s="1">
        <v>1</v>
      </c>
      <c r="L89" s="1">
        <v>73</v>
      </c>
      <c r="M89" s="1">
        <v>2189</v>
      </c>
      <c r="N89" s="1" t="s">
        <v>48</v>
      </c>
      <c r="O89" s="1">
        <v>198484</v>
      </c>
      <c r="P89" s="1">
        <v>94</v>
      </c>
      <c r="Q89" s="1" t="s">
        <v>125</v>
      </c>
      <c r="R89" s="1" t="s">
        <v>50</v>
      </c>
      <c r="S89" s="1">
        <v>0</v>
      </c>
      <c r="T89" s="1">
        <v>0</v>
      </c>
      <c r="U89" s="1">
        <v>90.051000000000002</v>
      </c>
      <c r="V89" s="1">
        <v>25.2</v>
      </c>
      <c r="W89" s="1">
        <v>0.57999999999999996</v>
      </c>
      <c r="X89" s="1">
        <v>0.33500000000000002</v>
      </c>
      <c r="Y89" s="1">
        <v>25.535</v>
      </c>
      <c r="Z89" s="1">
        <v>1.014</v>
      </c>
      <c r="AA89" s="1">
        <v>-2.7</v>
      </c>
      <c r="AB89" s="1">
        <v>-2.8</v>
      </c>
      <c r="AC89" s="1">
        <v>-2.8</v>
      </c>
      <c r="AD89" s="1">
        <v>0.33500000000000002</v>
      </c>
      <c r="AE89" s="1">
        <v>0.80800000000000005</v>
      </c>
      <c r="AF89" s="1">
        <v>0.29399999999999998</v>
      </c>
      <c r="AG89" s="1">
        <v>-2.7</v>
      </c>
      <c r="AI89" s="1">
        <v>0</v>
      </c>
      <c r="AJ89" s="1">
        <v>0</v>
      </c>
      <c r="AK89" s="1">
        <v>0</v>
      </c>
      <c r="AL89" s="1">
        <v>1</v>
      </c>
      <c r="AM89" s="1">
        <v>86400</v>
      </c>
      <c r="AN89" s="1">
        <v>81470</v>
      </c>
      <c r="AO89" s="1">
        <v>4930</v>
      </c>
      <c r="AP89" s="1">
        <v>50348</v>
      </c>
      <c r="AQ89" s="1">
        <v>13.58493055698689</v>
      </c>
    </row>
    <row r="90" spans="1:43" x14ac:dyDescent="0.45">
      <c r="A90" s="1">
        <v>89</v>
      </c>
      <c r="B90" s="1">
        <v>101</v>
      </c>
      <c r="C90" s="1">
        <v>74</v>
      </c>
      <c r="D90" s="1" t="s">
        <v>61</v>
      </c>
      <c r="E90" s="1" t="s">
        <v>62</v>
      </c>
      <c r="F90" s="1" t="s">
        <v>63</v>
      </c>
      <c r="G90" s="1" t="s">
        <v>46</v>
      </c>
      <c r="H90" s="1" t="s">
        <v>47</v>
      </c>
      <c r="I90" s="1">
        <v>1175</v>
      </c>
      <c r="J90" s="1">
        <v>30642</v>
      </c>
      <c r="K90" s="1">
        <v>1</v>
      </c>
      <c r="L90" s="1">
        <v>73</v>
      </c>
      <c r="M90" s="1">
        <v>2190</v>
      </c>
      <c r="N90" s="1" t="s">
        <v>48</v>
      </c>
      <c r="O90" s="1">
        <v>198485</v>
      </c>
      <c r="P90" s="1">
        <v>94</v>
      </c>
      <c r="Q90" s="1" t="s">
        <v>125</v>
      </c>
      <c r="R90" s="1" t="s">
        <v>50</v>
      </c>
      <c r="S90" s="1">
        <v>0</v>
      </c>
      <c r="T90" s="1">
        <v>0</v>
      </c>
      <c r="U90" s="1">
        <v>59.128999999999998</v>
      </c>
      <c r="V90" s="1">
        <v>25.251999999999999</v>
      </c>
      <c r="W90" s="1">
        <v>0.56000000000000005</v>
      </c>
      <c r="X90" s="1">
        <v>0.27500000000000002</v>
      </c>
      <c r="Y90" s="1">
        <v>25.526</v>
      </c>
      <c r="Z90" s="1">
        <v>0.98799999999999999</v>
      </c>
      <c r="AA90" s="1">
        <v>-2.9</v>
      </c>
      <c r="AB90" s="1">
        <v>-2.9</v>
      </c>
      <c r="AC90" s="1">
        <v>-2.9</v>
      </c>
      <c r="AD90" s="1">
        <v>0.27400000000000002</v>
      </c>
      <c r="AE90" s="1">
        <v>0.78700000000000003</v>
      </c>
      <c r="AF90" s="1">
        <v>0.223</v>
      </c>
      <c r="AG90" s="1">
        <v>-2.9</v>
      </c>
      <c r="AI90" s="1">
        <v>0</v>
      </c>
      <c r="AJ90" s="1">
        <v>0</v>
      </c>
      <c r="AK90" s="1">
        <v>0</v>
      </c>
      <c r="AL90" s="1">
        <v>1</v>
      </c>
      <c r="AM90" s="1">
        <v>51959</v>
      </c>
      <c r="AN90" s="1">
        <v>8698</v>
      </c>
      <c r="AO90" s="1">
        <v>43262</v>
      </c>
      <c r="AP90" s="1">
        <v>50372</v>
      </c>
      <c r="AQ90" s="1">
        <v>5.604309815241626</v>
      </c>
    </row>
    <row r="91" spans="1:43" x14ac:dyDescent="0.45">
      <c r="A91" s="1">
        <v>90</v>
      </c>
      <c r="B91" s="1">
        <v>101</v>
      </c>
      <c r="C91" s="1">
        <v>74</v>
      </c>
      <c r="D91" s="1" t="s">
        <v>61</v>
      </c>
      <c r="E91" s="1" t="s">
        <v>62</v>
      </c>
      <c r="F91" s="1" t="s">
        <v>63</v>
      </c>
      <c r="G91" s="1" t="s">
        <v>46</v>
      </c>
      <c r="H91" s="1" t="s">
        <v>47</v>
      </c>
      <c r="I91" s="1">
        <v>1175</v>
      </c>
      <c r="J91" s="1">
        <v>30642</v>
      </c>
      <c r="K91" s="1">
        <v>1</v>
      </c>
      <c r="L91" s="1">
        <v>73</v>
      </c>
      <c r="M91" s="1">
        <v>2191</v>
      </c>
      <c r="N91" s="1" t="s">
        <v>48</v>
      </c>
      <c r="O91" s="1">
        <v>198486</v>
      </c>
      <c r="P91" s="1">
        <v>94</v>
      </c>
      <c r="Q91" s="1" t="s">
        <v>125</v>
      </c>
      <c r="R91" s="1" t="s">
        <v>50</v>
      </c>
      <c r="S91" s="1">
        <v>0</v>
      </c>
      <c r="T91" s="1">
        <v>0</v>
      </c>
      <c r="U91" s="1">
        <v>52.094000000000001</v>
      </c>
      <c r="V91" s="1">
        <v>25.183</v>
      </c>
      <c r="W91" s="1">
        <v>0.57999999999999996</v>
      </c>
      <c r="X91" s="1">
        <v>0.34100000000000003</v>
      </c>
      <c r="Y91" s="1">
        <v>25.524000000000001</v>
      </c>
      <c r="Z91" s="1">
        <v>0.90900000000000003</v>
      </c>
      <c r="AA91" s="1">
        <v>-2.9</v>
      </c>
      <c r="AB91" s="1">
        <v>-2.9</v>
      </c>
      <c r="AC91" s="1">
        <v>-2.9</v>
      </c>
      <c r="AD91" s="1">
        <v>0.34</v>
      </c>
      <c r="AE91" s="1">
        <v>0.73199999999999998</v>
      </c>
      <c r="AF91" s="1">
        <v>0.26300000000000001</v>
      </c>
      <c r="AG91" s="1">
        <v>-2.9</v>
      </c>
      <c r="AI91" s="1">
        <v>0</v>
      </c>
      <c r="AJ91" s="1">
        <v>0</v>
      </c>
      <c r="AK91" s="1">
        <v>0</v>
      </c>
      <c r="AL91" s="1">
        <v>1</v>
      </c>
      <c r="AM91" s="1">
        <v>86400</v>
      </c>
      <c r="AN91" s="1">
        <v>77724</v>
      </c>
      <c r="AO91" s="1">
        <v>8676</v>
      </c>
      <c r="AP91" s="1">
        <v>50346</v>
      </c>
      <c r="AQ91" s="1">
        <v>3.8207818723685518</v>
      </c>
    </row>
    <row r="92" spans="1:43" x14ac:dyDescent="0.45">
      <c r="A92" s="1">
        <v>91</v>
      </c>
      <c r="B92" s="1">
        <v>101</v>
      </c>
      <c r="C92" s="1">
        <v>74</v>
      </c>
      <c r="D92" s="1" t="s">
        <v>61</v>
      </c>
      <c r="E92" s="1" t="s">
        <v>62</v>
      </c>
      <c r="F92" s="1" t="s">
        <v>63</v>
      </c>
      <c r="G92" s="1" t="s">
        <v>46</v>
      </c>
      <c r="H92" s="1" t="s">
        <v>47</v>
      </c>
      <c r="I92" s="1">
        <v>1175</v>
      </c>
      <c r="J92" s="1">
        <v>30642</v>
      </c>
      <c r="K92" s="1">
        <v>1</v>
      </c>
      <c r="L92" s="1">
        <v>73</v>
      </c>
      <c r="M92" s="1">
        <v>2192</v>
      </c>
      <c r="N92" s="1" t="s">
        <v>48</v>
      </c>
      <c r="O92" s="1">
        <v>198487</v>
      </c>
      <c r="P92" s="1">
        <v>94</v>
      </c>
      <c r="Q92" s="1" t="s">
        <v>125</v>
      </c>
      <c r="R92" s="1" t="s">
        <v>50</v>
      </c>
      <c r="S92" s="1">
        <v>0</v>
      </c>
      <c r="T92" s="1">
        <v>0</v>
      </c>
      <c r="U92" s="1">
        <v>83.683999999999997</v>
      </c>
      <c r="V92" s="1">
        <v>25.073</v>
      </c>
      <c r="W92" s="1">
        <v>0.59</v>
      </c>
      <c r="X92" s="1">
        <v>0.45400000000000001</v>
      </c>
      <c r="Y92" s="1">
        <v>25.527999999999999</v>
      </c>
      <c r="Z92" s="1">
        <v>0.51</v>
      </c>
      <c r="AA92" s="1">
        <v>-2.7</v>
      </c>
      <c r="AB92" s="1">
        <v>-2.7</v>
      </c>
      <c r="AC92" s="1">
        <v>-2.7</v>
      </c>
      <c r="AD92" s="1">
        <v>0.45400000000000001</v>
      </c>
      <c r="AE92" s="1">
        <v>0.41699999999999998</v>
      </c>
      <c r="AF92" s="1">
        <v>0.20599999999999999</v>
      </c>
      <c r="AG92" s="1">
        <v>-2.7</v>
      </c>
      <c r="AI92" s="1">
        <v>0</v>
      </c>
      <c r="AJ92" s="1">
        <v>0</v>
      </c>
      <c r="AK92" s="1">
        <v>0</v>
      </c>
      <c r="AL92" s="1">
        <v>1</v>
      </c>
      <c r="AM92" s="1">
        <v>86400</v>
      </c>
      <c r="AN92" s="1">
        <v>80422</v>
      </c>
      <c r="AO92" s="1">
        <v>5978</v>
      </c>
      <c r="AP92" s="1">
        <v>50300</v>
      </c>
      <c r="AQ92" s="1">
        <v>15.59991816367738</v>
      </c>
    </row>
    <row r="93" spans="1:43" x14ac:dyDescent="0.45">
      <c r="A93" s="1">
        <v>92</v>
      </c>
      <c r="B93" s="1">
        <v>101</v>
      </c>
      <c r="C93" s="1">
        <v>74</v>
      </c>
      <c r="D93" s="1" t="s">
        <v>61</v>
      </c>
      <c r="E93" s="1" t="s">
        <v>62</v>
      </c>
      <c r="F93" s="1" t="s">
        <v>63</v>
      </c>
      <c r="G93" s="1" t="s">
        <v>46</v>
      </c>
      <c r="H93" s="1" t="s">
        <v>47</v>
      </c>
      <c r="I93" s="1">
        <v>1175</v>
      </c>
      <c r="J93" s="1">
        <v>30642</v>
      </c>
      <c r="K93" s="1">
        <v>1</v>
      </c>
      <c r="L93" s="1">
        <v>73</v>
      </c>
      <c r="M93" s="1">
        <v>2193</v>
      </c>
      <c r="N93" s="1" t="s">
        <v>48</v>
      </c>
      <c r="O93" s="1">
        <v>198488</v>
      </c>
      <c r="P93" s="1">
        <v>94</v>
      </c>
      <c r="Q93" s="1" t="s">
        <v>125</v>
      </c>
      <c r="R93" s="1" t="s">
        <v>50</v>
      </c>
      <c r="S93" s="1">
        <v>0</v>
      </c>
      <c r="T93" s="1">
        <v>0</v>
      </c>
      <c r="U93" s="1">
        <v>104.85</v>
      </c>
      <c r="V93" s="1">
        <v>25.422999999999998</v>
      </c>
      <c r="W93" s="1">
        <v>0.53</v>
      </c>
      <c r="X93" s="1">
        <v>0.16700000000000001</v>
      </c>
      <c r="Y93" s="1">
        <v>25.59</v>
      </c>
      <c r="Z93" s="1">
        <v>0.46800000000000003</v>
      </c>
      <c r="AA93" s="1">
        <v>1.5</v>
      </c>
      <c r="AB93" s="1">
        <v>1.5</v>
      </c>
      <c r="AC93" s="1">
        <v>1.5</v>
      </c>
      <c r="AD93" s="1">
        <v>0.16600000000000001</v>
      </c>
      <c r="AE93" s="1">
        <v>0.38200000000000001</v>
      </c>
      <c r="AF93" s="1">
        <v>6.5000000000000002E-2</v>
      </c>
      <c r="AG93" s="1">
        <v>1.5</v>
      </c>
      <c r="AI93" s="1">
        <v>0</v>
      </c>
      <c r="AJ93" s="1">
        <v>0</v>
      </c>
      <c r="AK93" s="1">
        <v>0</v>
      </c>
      <c r="AL93" s="1">
        <v>1</v>
      </c>
      <c r="AM93" s="1">
        <v>51851</v>
      </c>
      <c r="AN93" s="1">
        <v>7073</v>
      </c>
      <c r="AO93" s="1">
        <v>44778</v>
      </c>
      <c r="AP93" s="1">
        <v>50394</v>
      </c>
      <c r="AQ93" s="1">
        <v>12.635674096245801</v>
      </c>
    </row>
    <row r="94" spans="1:43" x14ac:dyDescent="0.45">
      <c r="A94" s="1">
        <v>93</v>
      </c>
      <c r="B94" s="1">
        <v>101</v>
      </c>
      <c r="C94" s="1">
        <v>74</v>
      </c>
      <c r="D94" s="1" t="s">
        <v>61</v>
      </c>
      <c r="E94" s="1" t="s">
        <v>62</v>
      </c>
      <c r="F94" s="1" t="s">
        <v>63</v>
      </c>
      <c r="G94" s="1" t="s">
        <v>46</v>
      </c>
      <c r="H94" s="1" t="s">
        <v>47</v>
      </c>
      <c r="I94" s="1">
        <v>1175</v>
      </c>
      <c r="J94" s="1">
        <v>30642</v>
      </c>
      <c r="K94" s="1">
        <v>1</v>
      </c>
      <c r="L94" s="1">
        <v>73</v>
      </c>
      <c r="M94" s="1">
        <v>2194</v>
      </c>
      <c r="N94" s="1" t="s">
        <v>48</v>
      </c>
      <c r="O94" s="1">
        <v>198491</v>
      </c>
      <c r="P94" s="1">
        <v>94</v>
      </c>
      <c r="Q94" s="1" t="s">
        <v>125</v>
      </c>
      <c r="R94" s="1" t="s">
        <v>50</v>
      </c>
      <c r="S94" s="1">
        <v>0</v>
      </c>
      <c r="T94" s="1">
        <v>0</v>
      </c>
      <c r="U94" s="1">
        <v>121.05500000000001</v>
      </c>
      <c r="V94" s="1">
        <v>25.241</v>
      </c>
      <c r="W94" s="1">
        <v>0.56000000000000005</v>
      </c>
      <c r="X94" s="1">
        <v>0.34100000000000003</v>
      </c>
      <c r="Y94" s="1">
        <v>25.582000000000001</v>
      </c>
      <c r="Z94" s="1">
        <v>0.63</v>
      </c>
      <c r="AA94" s="1">
        <v>-2.5</v>
      </c>
      <c r="AB94" s="1">
        <v>1.9</v>
      </c>
      <c r="AC94" s="1">
        <v>2</v>
      </c>
      <c r="AD94" s="1">
        <v>0.34100000000000003</v>
      </c>
      <c r="AE94" s="1">
        <v>0.21</v>
      </c>
      <c r="AF94" s="1">
        <v>7.1999999999999995E-2</v>
      </c>
      <c r="AG94" s="1">
        <v>-2.5</v>
      </c>
      <c r="AI94" s="1">
        <v>0</v>
      </c>
      <c r="AJ94" s="1">
        <v>0</v>
      </c>
      <c r="AK94" s="1">
        <v>0</v>
      </c>
      <c r="AL94" s="1">
        <v>1</v>
      </c>
      <c r="AM94" s="1">
        <v>51956</v>
      </c>
      <c r="AN94" s="1">
        <v>8710</v>
      </c>
      <c r="AO94" s="1">
        <v>43246</v>
      </c>
      <c r="AP94" s="1">
        <v>50334</v>
      </c>
      <c r="AQ94" s="1">
        <v>3.2064485758256231</v>
      </c>
    </row>
    <row r="95" spans="1:43" x14ac:dyDescent="0.45">
      <c r="A95" s="1">
        <v>94</v>
      </c>
      <c r="B95" s="1">
        <v>101</v>
      </c>
      <c r="C95" s="1">
        <v>74</v>
      </c>
      <c r="D95" s="1" t="s">
        <v>61</v>
      </c>
      <c r="E95" s="1" t="s">
        <v>62</v>
      </c>
      <c r="F95" s="1" t="s">
        <v>63</v>
      </c>
      <c r="G95" s="1" t="s">
        <v>46</v>
      </c>
      <c r="H95" s="1" t="s">
        <v>47</v>
      </c>
      <c r="I95" s="1">
        <v>1175</v>
      </c>
      <c r="J95" s="1">
        <v>30642</v>
      </c>
      <c r="K95" s="1">
        <v>1</v>
      </c>
      <c r="L95" s="1">
        <v>73</v>
      </c>
      <c r="M95" s="1">
        <v>2195</v>
      </c>
      <c r="N95" s="1" t="s">
        <v>48</v>
      </c>
      <c r="O95" s="1">
        <v>198492</v>
      </c>
      <c r="P95" s="1">
        <v>94</v>
      </c>
      <c r="Q95" s="1" t="s">
        <v>125</v>
      </c>
      <c r="R95" s="1" t="s">
        <v>50</v>
      </c>
      <c r="S95" s="1">
        <v>0</v>
      </c>
      <c r="T95" s="1">
        <v>0</v>
      </c>
      <c r="U95" s="1">
        <v>342.505</v>
      </c>
      <c r="V95" s="1">
        <v>25.356000000000002</v>
      </c>
      <c r="W95" s="1">
        <v>0.54</v>
      </c>
      <c r="X95" s="1">
        <v>0.22500000000000001</v>
      </c>
      <c r="Y95" s="1">
        <v>25.581</v>
      </c>
      <c r="Z95" s="1">
        <v>0.34599999999999997</v>
      </c>
      <c r="AA95" s="1">
        <v>-2.5</v>
      </c>
      <c r="AB95" s="1">
        <v>3</v>
      </c>
      <c r="AC95" s="1">
        <v>3</v>
      </c>
      <c r="AD95" s="1">
        <v>0.22500000000000001</v>
      </c>
      <c r="AE95" s="1">
        <v>4.5999999999999999E-2</v>
      </c>
      <c r="AF95" s="1">
        <v>1.9E-2</v>
      </c>
      <c r="AG95" s="1">
        <v>-2.5</v>
      </c>
      <c r="AI95" s="1">
        <v>0</v>
      </c>
      <c r="AJ95" s="1">
        <v>0</v>
      </c>
      <c r="AK95" s="1">
        <v>0</v>
      </c>
      <c r="AL95" s="1">
        <v>1</v>
      </c>
      <c r="AM95" s="1">
        <v>51637</v>
      </c>
      <c r="AN95" s="1">
        <v>8234</v>
      </c>
      <c r="AO95" s="1">
        <v>43403</v>
      </c>
      <c r="AP95" s="1">
        <v>50357</v>
      </c>
      <c r="AQ95" s="1">
        <v>24.285321471614761</v>
      </c>
    </row>
    <row r="96" spans="1:43" x14ac:dyDescent="0.45">
      <c r="A96" s="1">
        <v>95</v>
      </c>
      <c r="B96" s="1">
        <v>101</v>
      </c>
      <c r="C96" s="1">
        <v>74</v>
      </c>
      <c r="D96" s="1" t="s">
        <v>61</v>
      </c>
      <c r="E96" s="1" t="s">
        <v>62</v>
      </c>
      <c r="F96" s="1" t="s">
        <v>63</v>
      </c>
      <c r="G96" s="1" t="s">
        <v>46</v>
      </c>
      <c r="H96" s="1" t="s">
        <v>47</v>
      </c>
      <c r="I96" s="1">
        <v>1175</v>
      </c>
      <c r="J96" s="1">
        <v>30642</v>
      </c>
      <c r="K96" s="1">
        <v>1</v>
      </c>
      <c r="L96" s="1">
        <v>73</v>
      </c>
      <c r="M96" s="1">
        <v>2196</v>
      </c>
      <c r="N96" s="1" t="s">
        <v>48</v>
      </c>
      <c r="O96" s="1">
        <v>198541</v>
      </c>
      <c r="P96" s="1">
        <v>94</v>
      </c>
      <c r="Q96" s="1" t="s">
        <v>125</v>
      </c>
      <c r="R96" s="1" t="s">
        <v>50</v>
      </c>
      <c r="S96" s="1">
        <v>0</v>
      </c>
      <c r="T96" s="1">
        <v>0</v>
      </c>
      <c r="U96" s="1">
        <v>289.83499999999998</v>
      </c>
      <c r="V96" s="1">
        <v>25.143000000000001</v>
      </c>
      <c r="W96" s="1">
        <v>0.56999999999999995</v>
      </c>
      <c r="X96" s="1">
        <v>0.438</v>
      </c>
      <c r="Y96" s="1">
        <v>25.581</v>
      </c>
      <c r="Z96" s="1">
        <v>0.14599999999999999</v>
      </c>
      <c r="AA96" s="1">
        <v>-2</v>
      </c>
      <c r="AB96" s="1">
        <v>-2.8</v>
      </c>
      <c r="AC96" s="1">
        <v>-2.9</v>
      </c>
      <c r="AD96" s="1">
        <v>0.438</v>
      </c>
      <c r="AE96" s="1">
        <v>2.8000000000000001E-2</v>
      </c>
      <c r="AF96" s="1">
        <v>3.9E-2</v>
      </c>
      <c r="AG96" s="1">
        <v>-2</v>
      </c>
      <c r="AI96" s="1">
        <v>0</v>
      </c>
      <c r="AJ96" s="1">
        <v>0</v>
      </c>
      <c r="AK96" s="1">
        <v>0</v>
      </c>
      <c r="AL96" s="1">
        <v>1</v>
      </c>
      <c r="AM96" s="1">
        <v>86400</v>
      </c>
      <c r="AN96" s="1">
        <v>81269</v>
      </c>
      <c r="AO96" s="1">
        <v>5131</v>
      </c>
      <c r="AP96" s="1">
        <v>50208</v>
      </c>
      <c r="AQ96" s="1">
        <v>24.891446609903252</v>
      </c>
    </row>
    <row r="97" spans="1:43" x14ac:dyDescent="0.45">
      <c r="A97" s="1">
        <v>96</v>
      </c>
      <c r="B97" s="1">
        <v>101</v>
      </c>
      <c r="C97" s="1">
        <v>74</v>
      </c>
      <c r="D97" s="1" t="s">
        <v>61</v>
      </c>
      <c r="E97" s="1" t="s">
        <v>62</v>
      </c>
      <c r="F97" s="1" t="s">
        <v>63</v>
      </c>
      <c r="G97" s="1" t="s">
        <v>46</v>
      </c>
      <c r="H97" s="1" t="s">
        <v>47</v>
      </c>
      <c r="I97" s="1">
        <v>1175</v>
      </c>
      <c r="J97" s="1">
        <v>30642</v>
      </c>
      <c r="K97" s="1">
        <v>1</v>
      </c>
      <c r="L97" s="1">
        <v>73</v>
      </c>
      <c r="M97" s="1">
        <v>2197</v>
      </c>
      <c r="N97" s="1" t="s">
        <v>48</v>
      </c>
      <c r="O97" s="1">
        <v>198542</v>
      </c>
      <c r="P97" s="1">
        <v>94</v>
      </c>
      <c r="Q97" s="1" t="s">
        <v>125</v>
      </c>
      <c r="R97" s="1" t="s">
        <v>50</v>
      </c>
      <c r="S97" s="1">
        <v>0</v>
      </c>
      <c r="T97" s="1">
        <v>0</v>
      </c>
      <c r="U97" s="1">
        <v>289.83499999999998</v>
      </c>
      <c r="V97" s="1">
        <v>25.213999999999999</v>
      </c>
      <c r="W97" s="1">
        <v>0.56000000000000005</v>
      </c>
      <c r="X97" s="1">
        <v>0.36699999999999999</v>
      </c>
      <c r="Y97" s="1">
        <v>25.581</v>
      </c>
      <c r="Z97" s="1">
        <v>9.2999999999999999E-2</v>
      </c>
      <c r="AA97" s="1">
        <v>-3.1</v>
      </c>
      <c r="AB97" s="1">
        <v>-2.7</v>
      </c>
      <c r="AC97" s="1">
        <v>3</v>
      </c>
      <c r="AD97" s="1">
        <v>0.35699999999999998</v>
      </c>
      <c r="AE97" s="1">
        <v>9.1999999999999998E-2</v>
      </c>
      <c r="AF97" s="1">
        <v>3.3000000000000002E-2</v>
      </c>
      <c r="AG97" s="1">
        <v>-3.1</v>
      </c>
      <c r="AI97" s="1">
        <v>0</v>
      </c>
      <c r="AJ97" s="1">
        <v>0</v>
      </c>
      <c r="AK97" s="1">
        <v>0</v>
      </c>
      <c r="AL97" s="1">
        <v>1</v>
      </c>
      <c r="AM97" s="1">
        <v>86400</v>
      </c>
      <c r="AN97" s="1">
        <v>79315</v>
      </c>
      <c r="AO97" s="1">
        <v>7085</v>
      </c>
      <c r="AP97" s="1">
        <v>50338</v>
      </c>
      <c r="AQ97" s="1">
        <v>25.132737300929911</v>
      </c>
    </row>
    <row r="98" spans="1:43" x14ac:dyDescent="0.45">
      <c r="A98" s="1">
        <v>97</v>
      </c>
      <c r="B98" s="1">
        <v>101</v>
      </c>
      <c r="C98" s="1">
        <v>74</v>
      </c>
      <c r="D98" s="1" t="s">
        <v>61</v>
      </c>
      <c r="E98" s="1" t="s">
        <v>62</v>
      </c>
      <c r="F98" s="1" t="s">
        <v>63</v>
      </c>
      <c r="G98" s="1" t="s">
        <v>46</v>
      </c>
      <c r="H98" s="1" t="s">
        <v>47</v>
      </c>
      <c r="I98" s="1">
        <v>1175</v>
      </c>
      <c r="J98" s="1">
        <v>30642</v>
      </c>
      <c r="K98" s="1">
        <v>1</v>
      </c>
      <c r="L98" s="1">
        <v>73</v>
      </c>
      <c r="M98" s="1">
        <v>2198</v>
      </c>
      <c r="N98" s="1" t="s">
        <v>48</v>
      </c>
      <c r="O98" s="1">
        <v>198593</v>
      </c>
      <c r="P98" s="1">
        <v>94</v>
      </c>
      <c r="Q98" s="1" t="s">
        <v>125</v>
      </c>
      <c r="R98" s="1" t="s">
        <v>50</v>
      </c>
      <c r="S98" s="1">
        <v>0</v>
      </c>
      <c r="T98" s="1">
        <v>0</v>
      </c>
      <c r="U98" s="1">
        <v>544.79200000000003</v>
      </c>
      <c r="V98" s="1">
        <v>25.16</v>
      </c>
      <c r="W98" s="1">
        <v>0.56999999999999995</v>
      </c>
      <c r="X98" s="1">
        <v>0.437</v>
      </c>
      <c r="Y98" s="1">
        <v>25.597000000000001</v>
      </c>
      <c r="Z98" s="1">
        <v>0.13200000000000001</v>
      </c>
      <c r="AA98" s="1">
        <v>2.2000000000000002</v>
      </c>
      <c r="AB98" s="1">
        <v>-2.6</v>
      </c>
      <c r="AC98" s="1">
        <v>-2.6</v>
      </c>
      <c r="AD98" s="1">
        <v>0.437</v>
      </c>
      <c r="AE98" s="1">
        <v>5.3999999999999999E-2</v>
      </c>
      <c r="AF98" s="1">
        <v>3.3000000000000002E-2</v>
      </c>
      <c r="AG98" s="1">
        <v>2.2000000000000002</v>
      </c>
      <c r="AI98" s="1">
        <v>0</v>
      </c>
      <c r="AJ98" s="1">
        <v>0</v>
      </c>
      <c r="AK98" s="1">
        <v>0</v>
      </c>
      <c r="AL98" s="1">
        <v>1</v>
      </c>
      <c r="AM98" s="1">
        <v>86400</v>
      </c>
      <c r="AN98" s="1">
        <v>78125</v>
      </c>
      <c r="AO98" s="1">
        <v>8275</v>
      </c>
      <c r="AP98" s="1">
        <v>50260</v>
      </c>
      <c r="AQ98" s="1">
        <v>26.819003902703411</v>
      </c>
    </row>
    <row r="99" spans="1:43" x14ac:dyDescent="0.45">
      <c r="A99" s="1">
        <v>98</v>
      </c>
      <c r="B99" s="1">
        <v>101</v>
      </c>
      <c r="C99" s="1">
        <v>74</v>
      </c>
      <c r="D99" s="1" t="s">
        <v>61</v>
      </c>
      <c r="E99" s="1" t="s">
        <v>62</v>
      </c>
      <c r="F99" s="1" t="s">
        <v>63</v>
      </c>
      <c r="G99" s="1" t="s">
        <v>46</v>
      </c>
      <c r="H99" s="1" t="s">
        <v>47</v>
      </c>
      <c r="I99" s="1">
        <v>1175</v>
      </c>
      <c r="J99" s="1">
        <v>30642</v>
      </c>
      <c r="K99" s="1">
        <v>1</v>
      </c>
      <c r="L99" s="1">
        <v>73</v>
      </c>
      <c r="M99" s="1">
        <v>2199</v>
      </c>
      <c r="N99" s="1" t="s">
        <v>48</v>
      </c>
      <c r="O99" s="1">
        <v>198594</v>
      </c>
      <c r="P99" s="1">
        <v>94</v>
      </c>
      <c r="Q99" s="1" t="s">
        <v>125</v>
      </c>
      <c r="R99" s="1" t="s">
        <v>50</v>
      </c>
      <c r="S99" s="1">
        <v>0</v>
      </c>
      <c r="T99" s="1">
        <v>0</v>
      </c>
      <c r="U99" s="1">
        <v>600.88599999999997</v>
      </c>
      <c r="V99" s="1">
        <v>25.077999999999999</v>
      </c>
      <c r="W99" s="1">
        <v>0.57999999999999996</v>
      </c>
      <c r="X99" s="1">
        <v>0.51900000000000002</v>
      </c>
      <c r="Y99" s="1">
        <v>25.597000000000001</v>
      </c>
      <c r="Z99" s="1">
        <v>7.4999999999999997E-2</v>
      </c>
      <c r="AA99" s="1">
        <v>-3</v>
      </c>
      <c r="AB99" s="1">
        <v>-2.9</v>
      </c>
      <c r="AC99" s="1">
        <v>-2.9</v>
      </c>
      <c r="AD99" s="1">
        <v>0.51800000000000002</v>
      </c>
      <c r="AE99" s="1">
        <v>5.5E-2</v>
      </c>
      <c r="AF99" s="1">
        <v>2.9000000000000001E-2</v>
      </c>
      <c r="AG99" s="1">
        <v>-3</v>
      </c>
      <c r="AI99" s="1">
        <v>0</v>
      </c>
      <c r="AJ99" s="1">
        <v>0</v>
      </c>
      <c r="AK99" s="1">
        <v>0</v>
      </c>
      <c r="AL99" s="1">
        <v>1</v>
      </c>
      <c r="AM99" s="1">
        <v>86400</v>
      </c>
      <c r="AN99" s="1">
        <v>80522</v>
      </c>
      <c r="AO99" s="1">
        <v>5878</v>
      </c>
      <c r="AP99" s="1">
        <v>50257</v>
      </c>
      <c r="AQ99" s="1">
        <v>2.7249590740331948</v>
      </c>
    </row>
    <row r="100" spans="1:43" x14ac:dyDescent="0.45">
      <c r="A100" s="1">
        <v>99</v>
      </c>
      <c r="B100" s="1">
        <v>101</v>
      </c>
      <c r="C100" s="1">
        <v>74</v>
      </c>
      <c r="D100" s="1" t="s">
        <v>61</v>
      </c>
      <c r="E100" s="1" t="s">
        <v>62</v>
      </c>
      <c r="F100" s="1" t="s">
        <v>63</v>
      </c>
      <c r="G100" s="1" t="s">
        <v>46</v>
      </c>
      <c r="H100" s="1" t="s">
        <v>47</v>
      </c>
      <c r="I100" s="1">
        <v>1175</v>
      </c>
      <c r="J100" s="1">
        <v>30642</v>
      </c>
      <c r="K100" s="1">
        <v>1</v>
      </c>
      <c r="L100" s="1">
        <v>73</v>
      </c>
      <c r="M100" s="1">
        <v>2200</v>
      </c>
      <c r="N100" s="1" t="s">
        <v>48</v>
      </c>
      <c r="O100" s="1">
        <v>198595</v>
      </c>
      <c r="P100" s="1">
        <v>94</v>
      </c>
      <c r="Q100" s="1" t="s">
        <v>125</v>
      </c>
      <c r="R100" s="1" t="s">
        <v>50</v>
      </c>
      <c r="S100" s="1">
        <v>0</v>
      </c>
      <c r="T100" s="1">
        <v>0</v>
      </c>
      <c r="U100" s="1">
        <v>356.9</v>
      </c>
      <c r="V100" s="1">
        <v>25.073</v>
      </c>
      <c r="W100" s="1">
        <v>0.57999999999999996</v>
      </c>
      <c r="X100" s="1">
        <v>0.52300000000000002</v>
      </c>
      <c r="Y100" s="1">
        <v>25.596</v>
      </c>
      <c r="Z100" s="1">
        <v>0.06</v>
      </c>
      <c r="AA100" s="1">
        <v>-0.9</v>
      </c>
      <c r="AB100" s="1">
        <v>-0.9</v>
      </c>
      <c r="AC100" s="1">
        <v>-0.9</v>
      </c>
      <c r="AD100" s="1">
        <v>0.52300000000000002</v>
      </c>
      <c r="AE100" s="1">
        <v>0.06</v>
      </c>
      <c r="AF100" s="1">
        <v>3.2000000000000001E-2</v>
      </c>
      <c r="AG100" s="1">
        <v>-0.9</v>
      </c>
      <c r="AI100" s="1">
        <v>0</v>
      </c>
      <c r="AJ100" s="1">
        <v>0</v>
      </c>
      <c r="AK100" s="1">
        <v>0</v>
      </c>
      <c r="AL100" s="1">
        <v>1</v>
      </c>
      <c r="AM100" s="1">
        <v>86400</v>
      </c>
      <c r="AN100" s="1">
        <v>80684</v>
      </c>
      <c r="AO100" s="1">
        <v>5716</v>
      </c>
      <c r="AP100" s="1">
        <v>50154</v>
      </c>
      <c r="AQ100" s="1">
        <v>49.442101089761117</v>
      </c>
    </row>
    <row r="101" spans="1:43" x14ac:dyDescent="0.45">
      <c r="A101" s="1">
        <v>100</v>
      </c>
      <c r="B101" s="1">
        <v>101</v>
      </c>
      <c r="C101" s="1">
        <v>74</v>
      </c>
      <c r="D101" s="1" t="s">
        <v>61</v>
      </c>
      <c r="E101" s="1" t="s">
        <v>62</v>
      </c>
      <c r="F101" s="1" t="s">
        <v>63</v>
      </c>
      <c r="G101" s="1" t="s">
        <v>46</v>
      </c>
      <c r="H101" s="1" t="s">
        <v>47</v>
      </c>
      <c r="I101" s="1">
        <v>1175</v>
      </c>
      <c r="J101" s="1">
        <v>30642</v>
      </c>
      <c r="K101" s="1">
        <v>1</v>
      </c>
      <c r="L101" s="1">
        <v>73</v>
      </c>
      <c r="M101" s="1">
        <v>2201</v>
      </c>
      <c r="N101" s="1" t="s">
        <v>48</v>
      </c>
      <c r="O101" s="1">
        <v>198598</v>
      </c>
      <c r="P101" s="1">
        <v>94</v>
      </c>
      <c r="Q101" s="1" t="s">
        <v>125</v>
      </c>
      <c r="R101" s="1" t="s">
        <v>50</v>
      </c>
      <c r="S101" s="1">
        <v>0</v>
      </c>
      <c r="T101" s="1">
        <v>0</v>
      </c>
      <c r="U101" s="1">
        <v>434.84699999999998</v>
      </c>
      <c r="V101" s="1">
        <v>25.167000000000002</v>
      </c>
      <c r="W101" s="1">
        <v>0.56999999999999995</v>
      </c>
      <c r="X101" s="1">
        <v>0.42899999999999999</v>
      </c>
      <c r="Y101" s="1">
        <v>25.596</v>
      </c>
      <c r="Z101" s="1">
        <v>8.4000000000000005E-2</v>
      </c>
      <c r="AA101" s="1">
        <v>1.6</v>
      </c>
      <c r="AB101" s="1">
        <v>2.6</v>
      </c>
      <c r="AC101" s="1">
        <v>2.6</v>
      </c>
      <c r="AD101" s="1">
        <v>0.42899999999999999</v>
      </c>
      <c r="AE101" s="1">
        <v>3.1E-2</v>
      </c>
      <c r="AF101" s="1">
        <v>1.6E-2</v>
      </c>
      <c r="AG101" s="1">
        <v>1.6</v>
      </c>
      <c r="AI101" s="1">
        <v>0</v>
      </c>
      <c r="AJ101" s="1">
        <v>0</v>
      </c>
      <c r="AK101" s="1">
        <v>0</v>
      </c>
      <c r="AL101" s="1">
        <v>1</v>
      </c>
      <c r="AM101" s="1">
        <v>86400</v>
      </c>
      <c r="AN101" s="1">
        <v>77943</v>
      </c>
      <c r="AO101" s="1">
        <v>8457</v>
      </c>
      <c r="AP101" s="1">
        <v>50345</v>
      </c>
      <c r="AQ101" s="1">
        <v>26.300615520015079</v>
      </c>
    </row>
    <row r="102" spans="1:43" x14ac:dyDescent="0.45">
      <c r="A102" s="1">
        <v>101</v>
      </c>
      <c r="B102" s="1">
        <v>101</v>
      </c>
      <c r="C102" s="1">
        <v>74</v>
      </c>
      <c r="D102" s="1" t="s">
        <v>61</v>
      </c>
      <c r="E102" s="1" t="s">
        <v>62</v>
      </c>
      <c r="F102" s="1" t="s">
        <v>63</v>
      </c>
      <c r="G102" s="1" t="s">
        <v>46</v>
      </c>
      <c r="H102" s="1" t="s">
        <v>47</v>
      </c>
      <c r="I102" s="1">
        <v>1175</v>
      </c>
      <c r="J102" s="1">
        <v>30642</v>
      </c>
      <c r="K102" s="1">
        <v>1</v>
      </c>
      <c r="L102" s="1">
        <v>73</v>
      </c>
      <c r="M102" s="1">
        <v>2202</v>
      </c>
      <c r="N102" s="1" t="s">
        <v>48</v>
      </c>
      <c r="O102" s="1">
        <v>198600</v>
      </c>
      <c r="P102" s="1">
        <v>94</v>
      </c>
      <c r="Q102" s="1" t="s">
        <v>125</v>
      </c>
      <c r="R102" s="1" t="s">
        <v>50</v>
      </c>
      <c r="S102" s="1">
        <v>0</v>
      </c>
      <c r="T102" s="1">
        <v>0</v>
      </c>
      <c r="U102" s="1">
        <v>547.45600000000002</v>
      </c>
      <c r="V102" s="1">
        <v>25.297999999999998</v>
      </c>
      <c r="W102" s="1">
        <v>0.55000000000000004</v>
      </c>
      <c r="X102" s="1">
        <v>0.29899999999999999</v>
      </c>
      <c r="Y102" s="1">
        <v>25.597000000000001</v>
      </c>
      <c r="Z102" s="1">
        <v>0.1</v>
      </c>
      <c r="AA102" s="1">
        <v>0.9</v>
      </c>
      <c r="AB102" s="1">
        <v>2.9</v>
      </c>
      <c r="AC102" s="1">
        <v>2.9</v>
      </c>
      <c r="AD102" s="1">
        <v>0.29899999999999999</v>
      </c>
      <c r="AE102" s="1">
        <v>6.9000000000000006E-2</v>
      </c>
      <c r="AF102" s="1">
        <v>2.1000000000000001E-2</v>
      </c>
      <c r="AG102" s="1">
        <v>0.9</v>
      </c>
      <c r="AI102" s="1">
        <v>0</v>
      </c>
      <c r="AJ102" s="1">
        <v>0</v>
      </c>
      <c r="AK102" s="1">
        <v>0</v>
      </c>
      <c r="AL102" s="1">
        <v>1</v>
      </c>
      <c r="AM102" s="1">
        <v>61898</v>
      </c>
      <c r="AN102" s="1">
        <v>18667</v>
      </c>
      <c r="AO102" s="1">
        <v>43232</v>
      </c>
      <c r="AP102" s="1">
        <v>50272</v>
      </c>
      <c r="AQ102" s="1">
        <v>1.6525758168340901</v>
      </c>
    </row>
    <row r="103" spans="1:43" x14ac:dyDescent="0.45">
      <c r="A103" s="1">
        <v>102</v>
      </c>
      <c r="B103" s="1">
        <v>101</v>
      </c>
      <c r="C103" s="1">
        <v>74</v>
      </c>
      <c r="D103" s="1" t="s">
        <v>61</v>
      </c>
      <c r="E103" s="1" t="s">
        <v>62</v>
      </c>
      <c r="F103" s="1" t="s">
        <v>63</v>
      </c>
      <c r="G103" s="1" t="s">
        <v>46</v>
      </c>
      <c r="H103" s="1" t="s">
        <v>47</v>
      </c>
      <c r="I103" s="1">
        <v>1175</v>
      </c>
      <c r="J103" s="1">
        <v>30642</v>
      </c>
      <c r="K103" s="1">
        <v>1</v>
      </c>
      <c r="L103" s="1">
        <v>73</v>
      </c>
      <c r="M103" s="1">
        <v>2205</v>
      </c>
      <c r="N103" s="1" t="s">
        <v>48</v>
      </c>
      <c r="O103" s="1">
        <v>198603</v>
      </c>
      <c r="P103" s="1">
        <v>94</v>
      </c>
      <c r="Q103" s="1" t="s">
        <v>125</v>
      </c>
      <c r="R103" s="1" t="s">
        <v>50</v>
      </c>
      <c r="S103" s="1">
        <v>0</v>
      </c>
      <c r="T103" s="1">
        <v>0</v>
      </c>
      <c r="U103" s="1">
        <v>717.81100000000004</v>
      </c>
      <c r="V103" s="1">
        <v>25.273</v>
      </c>
      <c r="W103" s="1">
        <v>0.55000000000000004</v>
      </c>
      <c r="X103" s="1">
        <v>0.32300000000000001</v>
      </c>
      <c r="Y103" s="1">
        <v>25.596</v>
      </c>
      <c r="Z103" s="1">
        <v>0.115</v>
      </c>
      <c r="AA103" s="1">
        <v>0.6</v>
      </c>
      <c r="AB103" s="1">
        <v>-3</v>
      </c>
      <c r="AC103" s="1">
        <v>-3</v>
      </c>
      <c r="AD103" s="1">
        <v>0.32300000000000001</v>
      </c>
      <c r="AE103" s="1">
        <v>6.6000000000000003E-2</v>
      </c>
      <c r="AF103" s="1">
        <v>2.1999999999999999E-2</v>
      </c>
      <c r="AG103" s="1">
        <v>0.6</v>
      </c>
      <c r="AI103" s="1">
        <v>0</v>
      </c>
      <c r="AJ103" s="1">
        <v>0</v>
      </c>
      <c r="AK103" s="1">
        <v>0</v>
      </c>
      <c r="AL103" s="1">
        <v>1</v>
      </c>
      <c r="AM103" s="1">
        <v>76330</v>
      </c>
      <c r="AN103" s="1">
        <v>39455</v>
      </c>
      <c r="AO103" s="1">
        <v>36874</v>
      </c>
      <c r="AP103" s="1">
        <v>50384</v>
      </c>
      <c r="AQ103" s="1">
        <v>0.81983896563122749</v>
      </c>
    </row>
    <row r="104" spans="1:43" x14ac:dyDescent="0.45">
      <c r="A104" s="1">
        <v>103</v>
      </c>
      <c r="B104" s="1">
        <v>101</v>
      </c>
      <c r="C104" s="1">
        <v>74</v>
      </c>
      <c r="D104" s="1" t="s">
        <v>61</v>
      </c>
      <c r="E104" s="1" t="s">
        <v>62</v>
      </c>
      <c r="F104" s="1" t="s">
        <v>63</v>
      </c>
      <c r="G104" s="1" t="s">
        <v>46</v>
      </c>
      <c r="H104" s="1" t="s">
        <v>47</v>
      </c>
      <c r="I104" s="1">
        <v>1175</v>
      </c>
      <c r="J104" s="1">
        <v>30642</v>
      </c>
      <c r="K104" s="1">
        <v>1</v>
      </c>
      <c r="L104" s="1">
        <v>73</v>
      </c>
      <c r="M104" s="1">
        <v>2206</v>
      </c>
      <c r="N104" s="1" t="s">
        <v>48</v>
      </c>
      <c r="O104" s="1">
        <v>198604</v>
      </c>
      <c r="P104" s="1">
        <v>94</v>
      </c>
      <c r="Q104" s="1" t="s">
        <v>125</v>
      </c>
      <c r="R104" s="1" t="s">
        <v>50</v>
      </c>
      <c r="S104" s="1">
        <v>0</v>
      </c>
      <c r="T104" s="1">
        <v>0</v>
      </c>
      <c r="U104" s="1">
        <v>319.57100000000003</v>
      </c>
      <c r="V104" s="1">
        <v>25.094999999999999</v>
      </c>
      <c r="W104" s="1">
        <v>0.57999999999999996</v>
      </c>
      <c r="X104" s="1">
        <v>0.5</v>
      </c>
      <c r="Y104" s="1">
        <v>25.594999999999999</v>
      </c>
      <c r="Z104" s="1">
        <v>0.14199999999999999</v>
      </c>
      <c r="AA104" s="1">
        <v>-2.6</v>
      </c>
      <c r="AB104" s="1">
        <v>-2.4</v>
      </c>
      <c r="AC104" s="1">
        <v>-2.4</v>
      </c>
      <c r="AD104" s="1">
        <v>0.5</v>
      </c>
      <c r="AE104" s="1">
        <v>0.11799999999999999</v>
      </c>
      <c r="AF104" s="1">
        <v>6.0999999999999999E-2</v>
      </c>
      <c r="AG104" s="1">
        <v>-2.6</v>
      </c>
      <c r="AI104" s="1">
        <v>0</v>
      </c>
      <c r="AJ104" s="1">
        <v>0</v>
      </c>
      <c r="AK104" s="1">
        <v>0</v>
      </c>
      <c r="AL104" s="1">
        <v>1</v>
      </c>
      <c r="AM104" s="1">
        <v>86400</v>
      </c>
      <c r="AN104" s="1">
        <v>80648</v>
      </c>
      <c r="AO104" s="1">
        <v>5752</v>
      </c>
      <c r="AP104" s="1">
        <v>50397</v>
      </c>
      <c r="AQ104" s="1">
        <v>25.644147779351979</v>
      </c>
    </row>
    <row r="105" spans="1:43" x14ac:dyDescent="0.45">
      <c r="A105" s="1">
        <v>104</v>
      </c>
      <c r="B105" s="1">
        <v>101</v>
      </c>
      <c r="C105" s="1">
        <v>74</v>
      </c>
      <c r="D105" s="1" t="s">
        <v>61</v>
      </c>
      <c r="E105" s="1" t="s">
        <v>62</v>
      </c>
      <c r="F105" s="1" t="s">
        <v>63</v>
      </c>
      <c r="G105" s="1" t="s">
        <v>46</v>
      </c>
      <c r="H105" s="1" t="s">
        <v>47</v>
      </c>
      <c r="I105" s="1">
        <v>1175</v>
      </c>
      <c r="J105" s="1">
        <v>30642</v>
      </c>
      <c r="K105" s="1">
        <v>1</v>
      </c>
      <c r="L105" s="1">
        <v>73</v>
      </c>
      <c r="M105" s="1">
        <v>2208</v>
      </c>
      <c r="N105" s="1" t="s">
        <v>48</v>
      </c>
      <c r="O105" s="1">
        <v>198607</v>
      </c>
      <c r="P105" s="1">
        <v>94</v>
      </c>
      <c r="Q105" s="1" t="s">
        <v>125</v>
      </c>
      <c r="R105" s="1" t="s">
        <v>50</v>
      </c>
      <c r="S105" s="1">
        <v>0</v>
      </c>
      <c r="T105" s="1">
        <v>0</v>
      </c>
      <c r="U105" s="1">
        <v>71.430000000000007</v>
      </c>
      <c r="V105" s="1">
        <v>25.236000000000001</v>
      </c>
      <c r="W105" s="1">
        <v>0.56000000000000005</v>
      </c>
      <c r="X105" s="1">
        <v>0.35799999999999998</v>
      </c>
      <c r="Y105" s="1">
        <v>25.594000000000001</v>
      </c>
      <c r="Z105" s="1">
        <v>0.12</v>
      </c>
      <c r="AA105" s="1">
        <v>-0.6</v>
      </c>
      <c r="AB105" s="1">
        <v>-1.3</v>
      </c>
      <c r="AC105" s="1">
        <v>-1.3</v>
      </c>
      <c r="AD105" s="1">
        <v>0.35799999999999998</v>
      </c>
      <c r="AE105" s="1">
        <v>3.2000000000000001E-2</v>
      </c>
      <c r="AF105" s="1">
        <v>1.9E-2</v>
      </c>
      <c r="AG105" s="1">
        <v>-0.6</v>
      </c>
      <c r="AI105" s="1">
        <v>0</v>
      </c>
      <c r="AJ105" s="1">
        <v>0</v>
      </c>
      <c r="AK105" s="1">
        <v>0</v>
      </c>
      <c r="AL105" s="1">
        <v>1</v>
      </c>
      <c r="AM105" s="1">
        <v>86400</v>
      </c>
      <c r="AN105" s="1">
        <v>81622</v>
      </c>
      <c r="AO105" s="1">
        <v>4778</v>
      </c>
      <c r="AP105" s="1">
        <v>50213</v>
      </c>
      <c r="AQ105" s="1">
        <v>10.66390759449977</v>
      </c>
    </row>
    <row r="106" spans="1:43" x14ac:dyDescent="0.45">
      <c r="A106" s="1">
        <v>105</v>
      </c>
      <c r="B106" s="1">
        <v>101</v>
      </c>
      <c r="C106" s="1">
        <v>74</v>
      </c>
      <c r="D106" s="1" t="s">
        <v>61</v>
      </c>
      <c r="E106" s="1" t="s">
        <v>62</v>
      </c>
      <c r="F106" s="1" t="s">
        <v>63</v>
      </c>
      <c r="G106" s="1" t="s">
        <v>46</v>
      </c>
      <c r="H106" s="1" t="s">
        <v>47</v>
      </c>
      <c r="I106" s="1">
        <v>1175</v>
      </c>
      <c r="J106" s="1">
        <v>30642</v>
      </c>
      <c r="K106" s="1">
        <v>1</v>
      </c>
      <c r="L106" s="1">
        <v>73</v>
      </c>
      <c r="M106" s="1">
        <v>2210</v>
      </c>
      <c r="N106" s="1" t="s">
        <v>48</v>
      </c>
      <c r="O106" s="1">
        <v>198609</v>
      </c>
      <c r="P106" s="1">
        <v>94</v>
      </c>
      <c r="Q106" s="1" t="s">
        <v>125</v>
      </c>
      <c r="R106" s="1" t="s">
        <v>50</v>
      </c>
      <c r="S106" s="1">
        <v>0</v>
      </c>
      <c r="T106" s="1">
        <v>0</v>
      </c>
      <c r="U106" s="1">
        <v>223.38499999999999</v>
      </c>
      <c r="V106" s="1">
        <v>25.291</v>
      </c>
      <c r="W106" s="1">
        <v>0.55000000000000004</v>
      </c>
      <c r="X106" s="1">
        <v>0.30399999999999999</v>
      </c>
      <c r="Y106" s="1">
        <v>25.594999999999999</v>
      </c>
      <c r="Z106" s="1">
        <v>0.18099999999999999</v>
      </c>
      <c r="AA106" s="1">
        <v>-2.1</v>
      </c>
      <c r="AB106" s="1">
        <v>-2</v>
      </c>
      <c r="AC106" s="1">
        <v>-2</v>
      </c>
      <c r="AD106" s="1">
        <v>0.30399999999999999</v>
      </c>
      <c r="AE106" s="1">
        <v>0.154</v>
      </c>
      <c r="AF106" s="1">
        <v>4.7E-2</v>
      </c>
      <c r="AG106" s="1">
        <v>-2.1</v>
      </c>
      <c r="AI106" s="1">
        <v>0</v>
      </c>
      <c r="AJ106" s="1">
        <v>0</v>
      </c>
      <c r="AK106" s="1">
        <v>0</v>
      </c>
      <c r="AL106" s="1">
        <v>1</v>
      </c>
      <c r="AM106" s="1">
        <v>68495</v>
      </c>
      <c r="AN106" s="1">
        <v>28340</v>
      </c>
      <c r="AO106" s="1">
        <v>40154</v>
      </c>
      <c r="AP106" s="1">
        <v>50356</v>
      </c>
      <c r="AQ106" s="1">
        <v>0.95858752303891448</v>
      </c>
    </row>
    <row r="107" spans="1:43" x14ac:dyDescent="0.45">
      <c r="A107" s="1">
        <v>106</v>
      </c>
      <c r="B107" s="1">
        <v>128</v>
      </c>
      <c r="C107" s="1">
        <v>88</v>
      </c>
      <c r="D107" s="1" t="s">
        <v>115</v>
      </c>
      <c r="E107" s="1" t="s">
        <v>116</v>
      </c>
      <c r="F107" s="1" t="s">
        <v>117</v>
      </c>
      <c r="G107" s="1" t="s">
        <v>54</v>
      </c>
      <c r="H107" s="1" t="s">
        <v>47</v>
      </c>
      <c r="I107" s="1">
        <v>830</v>
      </c>
      <c r="J107" s="1">
        <v>39746</v>
      </c>
      <c r="K107" s="1">
        <v>1</v>
      </c>
      <c r="L107" s="1">
        <v>87</v>
      </c>
      <c r="M107" s="1">
        <v>1983</v>
      </c>
      <c r="N107" s="1" t="s">
        <v>48</v>
      </c>
      <c r="O107" s="1">
        <v>195158</v>
      </c>
      <c r="P107" s="1">
        <v>94</v>
      </c>
      <c r="Q107" s="1" t="s">
        <v>125</v>
      </c>
      <c r="R107" s="1" t="s">
        <v>50</v>
      </c>
      <c r="S107" s="1">
        <v>0</v>
      </c>
      <c r="T107" s="1">
        <v>0</v>
      </c>
      <c r="U107" s="1">
        <v>115.226</v>
      </c>
      <c r="V107" s="1">
        <v>20.7</v>
      </c>
      <c r="W107" s="1">
        <v>1.72</v>
      </c>
      <c r="X107" s="1">
        <v>4.7060000000000004</v>
      </c>
      <c r="Y107" s="1">
        <v>25.405999999999999</v>
      </c>
      <c r="Z107" s="1">
        <v>0.29199999999999998</v>
      </c>
      <c r="AA107" s="1">
        <v>1.9</v>
      </c>
      <c r="AB107" s="1">
        <v>1.9</v>
      </c>
      <c r="AC107" s="1">
        <v>1.3</v>
      </c>
      <c r="AD107" s="1">
        <v>4.7039999999999997</v>
      </c>
      <c r="AE107" s="1">
        <v>6.0000000000000001E-3</v>
      </c>
      <c r="AF107" s="1">
        <v>0.17499999999999999</v>
      </c>
      <c r="AG107" s="1">
        <v>1.9</v>
      </c>
      <c r="AI107" s="1">
        <v>0</v>
      </c>
      <c r="AJ107" s="1">
        <v>0</v>
      </c>
      <c r="AK107" s="1">
        <v>0</v>
      </c>
      <c r="AL107" s="1">
        <v>1</v>
      </c>
      <c r="AM107" s="1">
        <v>86400</v>
      </c>
      <c r="AN107" s="1">
        <v>77120</v>
      </c>
      <c r="AO107" s="1">
        <v>9280</v>
      </c>
      <c r="AP107" s="1">
        <v>50417</v>
      </c>
      <c r="AQ107" s="1">
        <v>2.4109407993357479</v>
      </c>
    </row>
    <row r="108" spans="1:43" x14ac:dyDescent="0.45">
      <c r="A108" s="1">
        <v>107</v>
      </c>
      <c r="B108" s="1">
        <v>128</v>
      </c>
      <c r="C108" s="1">
        <v>88</v>
      </c>
      <c r="D108" s="1" t="s">
        <v>115</v>
      </c>
      <c r="E108" s="1" t="s">
        <v>116</v>
      </c>
      <c r="F108" s="1" t="s">
        <v>117</v>
      </c>
      <c r="G108" s="1" t="s">
        <v>54</v>
      </c>
      <c r="H108" s="1" t="s">
        <v>47</v>
      </c>
      <c r="I108" s="1">
        <v>830</v>
      </c>
      <c r="J108" s="1">
        <v>39746</v>
      </c>
      <c r="K108" s="1">
        <v>1</v>
      </c>
      <c r="L108" s="1">
        <v>87</v>
      </c>
      <c r="M108" s="1">
        <v>1984</v>
      </c>
      <c r="N108" s="1" t="s">
        <v>48</v>
      </c>
      <c r="O108" s="1">
        <v>195159</v>
      </c>
      <c r="P108" s="1">
        <v>94</v>
      </c>
      <c r="Q108" s="1" t="s">
        <v>125</v>
      </c>
      <c r="R108" s="1" t="s">
        <v>50</v>
      </c>
      <c r="S108" s="1">
        <v>0</v>
      </c>
      <c r="T108" s="1">
        <v>0</v>
      </c>
      <c r="U108" s="1">
        <v>73.049000000000007</v>
      </c>
      <c r="V108" s="1">
        <v>21.353999999999999</v>
      </c>
      <c r="W108" s="1">
        <v>1.62</v>
      </c>
      <c r="X108" s="1">
        <v>4.0519999999999996</v>
      </c>
      <c r="Y108" s="1">
        <v>25.405999999999999</v>
      </c>
      <c r="Z108" s="1">
        <v>0.255</v>
      </c>
      <c r="AA108" s="1">
        <v>0.7</v>
      </c>
      <c r="AB108" s="1">
        <v>2.5</v>
      </c>
      <c r="AC108" s="1">
        <v>0.8</v>
      </c>
      <c r="AD108" s="1">
        <v>4.05</v>
      </c>
      <c r="AE108" s="1">
        <v>4.0000000000000001E-3</v>
      </c>
      <c r="AF108" s="1">
        <v>7.6999999999999999E-2</v>
      </c>
      <c r="AI108" s="1">
        <v>0</v>
      </c>
      <c r="AJ108" s="1">
        <v>0</v>
      </c>
      <c r="AK108" s="1">
        <v>0</v>
      </c>
      <c r="AL108" s="1">
        <v>1</v>
      </c>
      <c r="AM108" s="1">
        <v>78429</v>
      </c>
      <c r="AN108" s="1">
        <v>37051</v>
      </c>
      <c r="AO108" s="1">
        <v>41378</v>
      </c>
      <c r="AP108" s="1">
        <v>50435</v>
      </c>
      <c r="AQ108" s="1">
        <v>7.3345719801515834</v>
      </c>
    </row>
    <row r="109" spans="1:43" x14ac:dyDescent="0.45">
      <c r="A109" s="1">
        <v>108</v>
      </c>
      <c r="B109" s="1">
        <v>128</v>
      </c>
      <c r="C109" s="1">
        <v>88</v>
      </c>
      <c r="D109" s="1" t="s">
        <v>115</v>
      </c>
      <c r="E109" s="1" t="s">
        <v>116</v>
      </c>
      <c r="F109" s="1" t="s">
        <v>117</v>
      </c>
      <c r="G109" s="1" t="s">
        <v>54</v>
      </c>
      <c r="H109" s="1" t="s">
        <v>47</v>
      </c>
      <c r="I109" s="1">
        <v>830</v>
      </c>
      <c r="J109" s="1">
        <v>39746</v>
      </c>
      <c r="K109" s="1">
        <v>1</v>
      </c>
      <c r="L109" s="1">
        <v>87</v>
      </c>
      <c r="M109" s="1">
        <v>1985</v>
      </c>
      <c r="N109" s="1" t="s">
        <v>48</v>
      </c>
      <c r="O109" s="1">
        <v>195160</v>
      </c>
      <c r="P109" s="1">
        <v>94</v>
      </c>
      <c r="Q109" s="1" t="s">
        <v>125</v>
      </c>
      <c r="R109" s="1" t="s">
        <v>50</v>
      </c>
      <c r="S109" s="1">
        <v>0</v>
      </c>
      <c r="T109" s="1">
        <v>0</v>
      </c>
      <c r="U109" s="1">
        <v>96.495000000000005</v>
      </c>
      <c r="V109" s="1">
        <v>21.187000000000001</v>
      </c>
      <c r="W109" s="1">
        <v>1.65</v>
      </c>
      <c r="X109" s="1">
        <v>4.2190000000000003</v>
      </c>
      <c r="Y109" s="1">
        <v>25.405000000000001</v>
      </c>
      <c r="Z109" s="1">
        <v>0.245</v>
      </c>
      <c r="AA109" s="1">
        <v>0.3</v>
      </c>
      <c r="AB109" s="1">
        <v>2.4</v>
      </c>
      <c r="AC109" s="1">
        <v>2.2999999999999998</v>
      </c>
      <c r="AD109" s="1">
        <v>4.218</v>
      </c>
      <c r="AE109" s="1">
        <v>2.9000000000000001E-2</v>
      </c>
      <c r="AF109" s="1">
        <v>0.14199999999999999</v>
      </c>
      <c r="AG109" s="1">
        <v>0.3</v>
      </c>
      <c r="AI109" s="1">
        <v>0</v>
      </c>
      <c r="AJ109" s="1">
        <v>0</v>
      </c>
      <c r="AK109" s="1">
        <v>0</v>
      </c>
      <c r="AL109" s="1">
        <v>1</v>
      </c>
      <c r="AM109" s="1">
        <v>78981</v>
      </c>
      <c r="AN109" s="1">
        <v>42706</v>
      </c>
      <c r="AO109" s="1">
        <v>36276</v>
      </c>
      <c r="AP109" s="1">
        <v>50439</v>
      </c>
      <c r="AQ109" s="1">
        <v>2.064071779436039</v>
      </c>
    </row>
    <row r="110" spans="1:43" x14ac:dyDescent="0.45">
      <c r="A110" s="1">
        <v>109</v>
      </c>
      <c r="B110" s="1">
        <v>128</v>
      </c>
      <c r="C110" s="1">
        <v>88</v>
      </c>
      <c r="D110" s="1" t="s">
        <v>115</v>
      </c>
      <c r="E110" s="1" t="s">
        <v>116</v>
      </c>
      <c r="F110" s="1" t="s">
        <v>117</v>
      </c>
      <c r="G110" s="1" t="s">
        <v>54</v>
      </c>
      <c r="H110" s="1" t="s">
        <v>47</v>
      </c>
      <c r="I110" s="1">
        <v>830</v>
      </c>
      <c r="J110" s="1">
        <v>39746</v>
      </c>
      <c r="K110" s="1">
        <v>1</v>
      </c>
      <c r="L110" s="1">
        <v>87</v>
      </c>
      <c r="M110" s="1">
        <v>1995</v>
      </c>
      <c r="N110" s="1" t="s">
        <v>48</v>
      </c>
      <c r="O110" s="1">
        <v>195172</v>
      </c>
      <c r="P110" s="1">
        <v>94</v>
      </c>
      <c r="Q110" s="1" t="s">
        <v>125</v>
      </c>
      <c r="R110" s="1" t="s">
        <v>50</v>
      </c>
      <c r="S110" s="1">
        <v>0</v>
      </c>
      <c r="T110" s="1">
        <v>0</v>
      </c>
      <c r="U110" s="1">
        <v>181.34700000000001</v>
      </c>
      <c r="V110" s="1">
        <v>21.968</v>
      </c>
      <c r="W110" s="1">
        <v>1.54</v>
      </c>
      <c r="X110" s="1">
        <v>3.4390000000000001</v>
      </c>
      <c r="Y110" s="1">
        <v>25.407</v>
      </c>
      <c r="Z110" s="1">
        <v>0.18</v>
      </c>
      <c r="AA110" s="1">
        <v>2.7</v>
      </c>
      <c r="AB110" s="1">
        <v>-1.5</v>
      </c>
      <c r="AC110" s="1">
        <v>-1.5</v>
      </c>
      <c r="AD110" s="1">
        <v>3.4380000000000002</v>
      </c>
      <c r="AE110" s="1">
        <v>4.9000000000000002E-2</v>
      </c>
      <c r="AF110" s="1">
        <v>0.17</v>
      </c>
      <c r="AI110" s="1">
        <v>0</v>
      </c>
      <c r="AJ110" s="1">
        <v>0</v>
      </c>
      <c r="AK110" s="1">
        <v>0</v>
      </c>
      <c r="AL110" s="1">
        <v>1</v>
      </c>
      <c r="AM110" s="1">
        <v>74903</v>
      </c>
      <c r="AN110" s="1">
        <v>31016</v>
      </c>
      <c r="AO110" s="1">
        <v>43888</v>
      </c>
      <c r="AP110" s="1">
        <v>50430</v>
      </c>
      <c r="AQ110" s="1">
        <v>2.1957611314984709</v>
      </c>
    </row>
    <row r="111" spans="1:43" x14ac:dyDescent="0.45">
      <c r="A111" s="1">
        <v>110</v>
      </c>
      <c r="B111" s="1">
        <v>128</v>
      </c>
      <c r="C111" s="1">
        <v>88</v>
      </c>
      <c r="D111" s="1" t="s">
        <v>115</v>
      </c>
      <c r="E111" s="1" t="s">
        <v>116</v>
      </c>
      <c r="F111" s="1" t="s">
        <v>117</v>
      </c>
      <c r="G111" s="1" t="s">
        <v>54</v>
      </c>
      <c r="H111" s="1" t="s">
        <v>47</v>
      </c>
      <c r="I111" s="1">
        <v>830</v>
      </c>
      <c r="J111" s="1">
        <v>39746</v>
      </c>
      <c r="K111" s="1">
        <v>1</v>
      </c>
      <c r="L111" s="1">
        <v>87</v>
      </c>
      <c r="M111" s="1">
        <v>1998</v>
      </c>
      <c r="N111" s="1" t="s">
        <v>48</v>
      </c>
      <c r="O111" s="1">
        <v>195175</v>
      </c>
      <c r="P111" s="1">
        <v>94</v>
      </c>
      <c r="Q111" s="1" t="s">
        <v>125</v>
      </c>
      <c r="R111" s="1" t="s">
        <v>50</v>
      </c>
      <c r="S111" s="1">
        <v>0</v>
      </c>
      <c r="T111" s="1">
        <v>0</v>
      </c>
      <c r="U111" s="1">
        <v>387.74799999999999</v>
      </c>
      <c r="V111" s="1">
        <v>21.367999999999999</v>
      </c>
      <c r="W111" s="1">
        <v>1.62</v>
      </c>
      <c r="X111" s="1">
        <v>4.0369999999999999</v>
      </c>
      <c r="Y111" s="1">
        <v>25.405999999999999</v>
      </c>
      <c r="Z111" s="1">
        <v>0.38400000000000001</v>
      </c>
      <c r="AA111" s="1">
        <v>-3</v>
      </c>
      <c r="AB111" s="1">
        <v>2.8</v>
      </c>
      <c r="AC111" s="1">
        <v>2.8</v>
      </c>
      <c r="AD111" s="1">
        <v>4.0359999999999996</v>
      </c>
      <c r="AE111" s="1">
        <v>2.5999999999999999E-2</v>
      </c>
      <c r="AF111" s="1">
        <v>0.105</v>
      </c>
      <c r="AG111" s="1">
        <v>-3</v>
      </c>
      <c r="AI111" s="1">
        <v>0</v>
      </c>
      <c r="AJ111" s="1">
        <v>0</v>
      </c>
      <c r="AK111" s="1">
        <v>0</v>
      </c>
      <c r="AL111" s="1">
        <v>1</v>
      </c>
      <c r="AM111" s="1">
        <v>78411</v>
      </c>
      <c r="AN111" s="1">
        <v>41813</v>
      </c>
      <c r="AO111" s="1">
        <v>36583</v>
      </c>
      <c r="AP111" s="1">
        <v>50468</v>
      </c>
      <c r="AQ111" s="1">
        <v>3.0715079833882188</v>
      </c>
    </row>
    <row r="112" spans="1:43" x14ac:dyDescent="0.45">
      <c r="A112" s="1">
        <v>111</v>
      </c>
      <c r="B112" s="1">
        <v>128</v>
      </c>
      <c r="C112" s="1">
        <v>88</v>
      </c>
      <c r="D112" s="1" t="s">
        <v>115</v>
      </c>
      <c r="E112" s="1" t="s">
        <v>116</v>
      </c>
      <c r="F112" s="1" t="s">
        <v>117</v>
      </c>
      <c r="G112" s="1" t="s">
        <v>54</v>
      </c>
      <c r="H112" s="1" t="s">
        <v>47</v>
      </c>
      <c r="I112" s="1">
        <v>830</v>
      </c>
      <c r="J112" s="1">
        <v>39746</v>
      </c>
      <c r="K112" s="1">
        <v>1</v>
      </c>
      <c r="L112" s="1">
        <v>87</v>
      </c>
      <c r="M112" s="1">
        <v>1999</v>
      </c>
      <c r="N112" s="1" t="s">
        <v>48</v>
      </c>
      <c r="O112" s="1">
        <v>195176</v>
      </c>
      <c r="P112" s="1">
        <v>94</v>
      </c>
      <c r="Q112" s="1" t="s">
        <v>125</v>
      </c>
      <c r="R112" s="1" t="s">
        <v>50</v>
      </c>
      <c r="S112" s="1">
        <v>0</v>
      </c>
      <c r="T112" s="1">
        <v>0</v>
      </c>
      <c r="U112" s="1">
        <v>305.37299999999999</v>
      </c>
      <c r="V112" s="1">
        <v>22.896999999999998</v>
      </c>
      <c r="W112" s="1">
        <v>1.39</v>
      </c>
      <c r="X112" s="1">
        <v>2.5089999999999999</v>
      </c>
      <c r="Y112" s="1">
        <v>25.405999999999999</v>
      </c>
      <c r="Z112" s="1">
        <v>0.22500000000000001</v>
      </c>
      <c r="AA112" s="1">
        <v>2.1</v>
      </c>
      <c r="AB112" s="1">
        <v>0.5</v>
      </c>
      <c r="AC112" s="1">
        <v>0.5</v>
      </c>
      <c r="AD112" s="1">
        <v>2.5089999999999999</v>
      </c>
      <c r="AE112" s="1">
        <v>1.0999999999999999E-2</v>
      </c>
      <c r="AF112" s="1">
        <v>3.9E-2</v>
      </c>
      <c r="AI112" s="1">
        <v>0</v>
      </c>
      <c r="AJ112" s="1">
        <v>0</v>
      </c>
      <c r="AK112" s="1">
        <v>0</v>
      </c>
      <c r="AL112" s="1">
        <v>1</v>
      </c>
      <c r="AM112" s="1">
        <v>68022</v>
      </c>
      <c r="AN112" s="1">
        <v>22701</v>
      </c>
      <c r="AO112" s="1">
        <v>45321</v>
      </c>
      <c r="AP112" s="1">
        <v>50440</v>
      </c>
      <c r="AQ112" s="1">
        <v>32.115410528628978</v>
      </c>
    </row>
    <row r="113" spans="1:43" x14ac:dyDescent="0.45">
      <c r="A113" s="1">
        <v>112</v>
      </c>
      <c r="B113" s="1">
        <v>128</v>
      </c>
      <c r="C113" s="1">
        <v>88</v>
      </c>
      <c r="D113" s="1" t="s">
        <v>115</v>
      </c>
      <c r="E113" s="1" t="s">
        <v>116</v>
      </c>
      <c r="F113" s="1" t="s">
        <v>117</v>
      </c>
      <c r="G113" s="1" t="s">
        <v>54</v>
      </c>
      <c r="H113" s="1" t="s">
        <v>47</v>
      </c>
      <c r="I113" s="1">
        <v>830</v>
      </c>
      <c r="J113" s="1">
        <v>39746</v>
      </c>
      <c r="K113" s="1">
        <v>1</v>
      </c>
      <c r="L113" s="1">
        <v>87</v>
      </c>
      <c r="M113" s="1">
        <v>2000</v>
      </c>
      <c r="N113" s="1" t="s">
        <v>48</v>
      </c>
      <c r="O113" s="1">
        <v>195178</v>
      </c>
      <c r="P113" s="1">
        <v>94</v>
      </c>
      <c r="Q113" s="1" t="s">
        <v>125</v>
      </c>
      <c r="R113" s="1" t="s">
        <v>50</v>
      </c>
      <c r="S113" s="1">
        <v>0</v>
      </c>
      <c r="T113" s="1">
        <v>0</v>
      </c>
      <c r="U113" s="1">
        <v>164.86</v>
      </c>
      <c r="V113" s="1">
        <v>21.922999999999998</v>
      </c>
      <c r="W113" s="1">
        <v>1.54</v>
      </c>
      <c r="X113" s="1">
        <v>3.4830000000000001</v>
      </c>
      <c r="Y113" s="1">
        <v>25.407</v>
      </c>
      <c r="Z113" s="1">
        <v>0.23699999999999999</v>
      </c>
      <c r="AA113" s="1">
        <v>2.6</v>
      </c>
      <c r="AB113" s="1">
        <v>-2.8</v>
      </c>
      <c r="AC113" s="1">
        <v>-2.8</v>
      </c>
      <c r="AD113" s="1">
        <v>3.4830000000000001</v>
      </c>
      <c r="AE113" s="1">
        <v>3.6999999999999998E-2</v>
      </c>
      <c r="AF113" s="1">
        <v>0.127</v>
      </c>
      <c r="AI113" s="1">
        <v>0</v>
      </c>
      <c r="AJ113" s="1">
        <v>0</v>
      </c>
      <c r="AK113" s="1">
        <v>0</v>
      </c>
      <c r="AL113" s="1">
        <v>1</v>
      </c>
      <c r="AM113" s="1">
        <v>75263</v>
      </c>
      <c r="AN113" s="1">
        <v>31460</v>
      </c>
      <c r="AO113" s="1">
        <v>43802</v>
      </c>
      <c r="AP113" s="1">
        <v>50468</v>
      </c>
      <c r="AQ113" s="1">
        <v>2.7422035102508739</v>
      </c>
    </row>
    <row r="114" spans="1:43" x14ac:dyDescent="0.45">
      <c r="A114" s="1">
        <v>113</v>
      </c>
      <c r="B114" s="1">
        <v>128</v>
      </c>
      <c r="C114" s="1">
        <v>88</v>
      </c>
      <c r="D114" s="1" t="s">
        <v>115</v>
      </c>
      <c r="E114" s="1" t="s">
        <v>116</v>
      </c>
      <c r="F114" s="1" t="s">
        <v>117</v>
      </c>
      <c r="G114" s="1" t="s">
        <v>54</v>
      </c>
      <c r="H114" s="1" t="s">
        <v>47</v>
      </c>
      <c r="I114" s="1">
        <v>830</v>
      </c>
      <c r="J114" s="1">
        <v>39746</v>
      </c>
      <c r="K114" s="1">
        <v>1</v>
      </c>
      <c r="L114" s="1">
        <v>87</v>
      </c>
      <c r="M114" s="1">
        <v>2001</v>
      </c>
      <c r="N114" s="1" t="s">
        <v>48</v>
      </c>
      <c r="O114" s="1">
        <v>195179</v>
      </c>
      <c r="P114" s="1">
        <v>94</v>
      </c>
      <c r="Q114" s="1" t="s">
        <v>125</v>
      </c>
      <c r="R114" s="1" t="s">
        <v>50</v>
      </c>
      <c r="S114" s="1">
        <v>0</v>
      </c>
      <c r="T114" s="1">
        <v>0</v>
      </c>
      <c r="U114" s="1">
        <v>155.964</v>
      </c>
      <c r="V114" s="1">
        <v>22.390999999999998</v>
      </c>
      <c r="W114" s="1">
        <v>1.47</v>
      </c>
      <c r="X114" s="1">
        <v>3.0150000000000001</v>
      </c>
      <c r="Y114" s="1">
        <v>25.405999999999999</v>
      </c>
      <c r="Z114" s="1">
        <v>0.19600000000000001</v>
      </c>
      <c r="AA114" s="1">
        <v>2.1</v>
      </c>
      <c r="AB114" s="1">
        <v>-2.7</v>
      </c>
      <c r="AC114" s="1">
        <v>-2.7</v>
      </c>
      <c r="AD114" s="1">
        <v>3.0150000000000001</v>
      </c>
      <c r="AE114" s="1">
        <v>2.9000000000000001E-2</v>
      </c>
      <c r="AF114" s="1">
        <v>8.8999999999999996E-2</v>
      </c>
      <c r="AI114" s="1">
        <v>0</v>
      </c>
      <c r="AJ114" s="1">
        <v>0</v>
      </c>
      <c r="AK114" s="1">
        <v>0</v>
      </c>
      <c r="AL114" s="1">
        <v>1</v>
      </c>
      <c r="AM114" s="1">
        <v>71512</v>
      </c>
      <c r="AN114" s="1">
        <v>27002</v>
      </c>
      <c r="AO114" s="1">
        <v>44510</v>
      </c>
      <c r="AP114" s="1">
        <v>50435</v>
      </c>
      <c r="AQ114" s="1">
        <v>21.291210193614429</v>
      </c>
    </row>
    <row r="115" spans="1:43" x14ac:dyDescent="0.45">
      <c r="A115" s="1">
        <v>114</v>
      </c>
      <c r="B115" s="1">
        <v>128</v>
      </c>
      <c r="C115" s="1">
        <v>88</v>
      </c>
      <c r="D115" s="1" t="s">
        <v>115</v>
      </c>
      <c r="E115" s="1" t="s">
        <v>116</v>
      </c>
      <c r="F115" s="1" t="s">
        <v>117</v>
      </c>
      <c r="G115" s="1" t="s">
        <v>54</v>
      </c>
      <c r="H115" s="1" t="s">
        <v>47</v>
      </c>
      <c r="I115" s="1">
        <v>830</v>
      </c>
      <c r="J115" s="1">
        <v>39746</v>
      </c>
      <c r="K115" s="1">
        <v>1</v>
      </c>
      <c r="L115" s="1">
        <v>87</v>
      </c>
      <c r="M115" s="1">
        <v>2002</v>
      </c>
      <c r="N115" s="1" t="s">
        <v>48</v>
      </c>
      <c r="O115" s="1">
        <v>195188</v>
      </c>
      <c r="P115" s="1">
        <v>94</v>
      </c>
      <c r="Q115" s="1" t="s">
        <v>125</v>
      </c>
      <c r="R115" s="1" t="s">
        <v>50</v>
      </c>
      <c r="S115" s="1">
        <v>0</v>
      </c>
      <c r="T115" s="1">
        <v>0</v>
      </c>
      <c r="U115" s="1">
        <v>759.12900000000002</v>
      </c>
      <c r="V115" s="1">
        <v>21.216000000000001</v>
      </c>
      <c r="W115" s="1">
        <v>1.64</v>
      </c>
      <c r="X115" s="1">
        <v>4.1900000000000004</v>
      </c>
      <c r="Y115" s="1">
        <v>25.405000000000001</v>
      </c>
      <c r="Z115" s="1">
        <v>0.434</v>
      </c>
      <c r="AA115" s="1">
        <v>2.5</v>
      </c>
      <c r="AB115" s="1">
        <v>-2.6</v>
      </c>
      <c r="AC115" s="1">
        <v>-2.6</v>
      </c>
      <c r="AD115" s="1">
        <v>4.1890000000000001</v>
      </c>
      <c r="AE115" s="1">
        <v>1.2999999999999999E-2</v>
      </c>
      <c r="AF115" s="1">
        <v>0.27900000000000003</v>
      </c>
      <c r="AG115" s="1">
        <v>2.5</v>
      </c>
      <c r="AI115" s="1">
        <v>0</v>
      </c>
      <c r="AJ115" s="1">
        <v>0</v>
      </c>
      <c r="AK115" s="1">
        <v>0</v>
      </c>
      <c r="AL115" s="1">
        <v>1</v>
      </c>
      <c r="AM115" s="1">
        <v>86400</v>
      </c>
      <c r="AN115" s="1">
        <v>81303</v>
      </c>
      <c r="AO115" s="1">
        <v>5097</v>
      </c>
      <c r="AP115" s="1">
        <v>50423</v>
      </c>
      <c r="AQ115" s="1">
        <v>2.840576342070904</v>
      </c>
    </row>
    <row r="116" spans="1:43" x14ac:dyDescent="0.45">
      <c r="A116" s="1">
        <v>115</v>
      </c>
      <c r="B116" s="1">
        <v>128</v>
      </c>
      <c r="C116" s="1">
        <v>88</v>
      </c>
      <c r="D116" s="1" t="s">
        <v>115</v>
      </c>
      <c r="E116" s="1" t="s">
        <v>116</v>
      </c>
      <c r="F116" s="1" t="s">
        <v>117</v>
      </c>
      <c r="G116" s="1" t="s">
        <v>54</v>
      </c>
      <c r="H116" s="1" t="s">
        <v>47</v>
      </c>
      <c r="I116" s="1">
        <v>830</v>
      </c>
      <c r="J116" s="1">
        <v>39746</v>
      </c>
      <c r="K116" s="1">
        <v>1</v>
      </c>
      <c r="L116" s="1">
        <v>87</v>
      </c>
      <c r="M116" s="1">
        <v>2003</v>
      </c>
      <c r="N116" s="1" t="s">
        <v>48</v>
      </c>
      <c r="O116" s="1">
        <v>195189</v>
      </c>
      <c r="P116" s="1">
        <v>94</v>
      </c>
      <c r="Q116" s="1" t="s">
        <v>125</v>
      </c>
      <c r="R116" s="1" t="s">
        <v>50</v>
      </c>
      <c r="S116" s="1">
        <v>0</v>
      </c>
      <c r="T116" s="1">
        <v>0</v>
      </c>
      <c r="U116" s="1">
        <v>648.024</v>
      </c>
      <c r="V116" s="1">
        <v>21.824000000000002</v>
      </c>
      <c r="W116" s="1">
        <v>1.55</v>
      </c>
      <c r="X116" s="1">
        <v>3.5819999999999999</v>
      </c>
      <c r="Y116" s="1">
        <v>25.405000000000001</v>
      </c>
      <c r="Z116" s="1">
        <v>0.56999999999999995</v>
      </c>
      <c r="AA116" s="1">
        <v>-3</v>
      </c>
      <c r="AB116" s="1">
        <v>-2.9</v>
      </c>
      <c r="AC116" s="1">
        <v>-2.9</v>
      </c>
      <c r="AD116" s="1">
        <v>3.581</v>
      </c>
      <c r="AE116" s="1">
        <v>1.0999999999999999E-2</v>
      </c>
      <c r="AF116" s="1">
        <v>3.7999999999999999E-2</v>
      </c>
      <c r="AG116" s="1">
        <v>-3</v>
      </c>
      <c r="AI116" s="1">
        <v>0</v>
      </c>
      <c r="AJ116" s="1">
        <v>0</v>
      </c>
      <c r="AK116" s="1">
        <v>0</v>
      </c>
      <c r="AL116" s="1">
        <v>1</v>
      </c>
      <c r="AM116" s="1">
        <v>76039</v>
      </c>
      <c r="AN116" s="1">
        <v>32740</v>
      </c>
      <c r="AO116" s="1">
        <v>43299</v>
      </c>
      <c r="AP116" s="1">
        <v>50439</v>
      </c>
      <c r="AQ116" s="1">
        <v>34.814007380376417</v>
      </c>
    </row>
    <row r="117" spans="1:43" x14ac:dyDescent="0.45">
      <c r="A117" s="1">
        <v>116</v>
      </c>
      <c r="B117" s="1">
        <v>128</v>
      </c>
      <c r="C117" s="1">
        <v>88</v>
      </c>
      <c r="D117" s="1" t="s">
        <v>115</v>
      </c>
      <c r="E117" s="1" t="s">
        <v>116</v>
      </c>
      <c r="F117" s="1" t="s">
        <v>117</v>
      </c>
      <c r="G117" s="1" t="s">
        <v>54</v>
      </c>
      <c r="H117" s="1" t="s">
        <v>47</v>
      </c>
      <c r="I117" s="1">
        <v>830</v>
      </c>
      <c r="J117" s="1">
        <v>39746</v>
      </c>
      <c r="K117" s="1">
        <v>1</v>
      </c>
      <c r="L117" s="1">
        <v>87</v>
      </c>
      <c r="M117" s="1">
        <v>2004</v>
      </c>
      <c r="N117" s="1" t="s">
        <v>48</v>
      </c>
      <c r="O117" s="1">
        <v>195190</v>
      </c>
      <c r="P117" s="1">
        <v>94</v>
      </c>
      <c r="Q117" s="1" t="s">
        <v>125</v>
      </c>
      <c r="R117" s="1" t="s">
        <v>50</v>
      </c>
      <c r="S117" s="1">
        <v>0</v>
      </c>
      <c r="T117" s="1">
        <v>0</v>
      </c>
      <c r="U117" s="1">
        <v>162.02699999999999</v>
      </c>
      <c r="V117" s="1">
        <v>21.437000000000001</v>
      </c>
      <c r="W117" s="1">
        <v>1.61</v>
      </c>
      <c r="X117" s="1">
        <v>3.968</v>
      </c>
      <c r="Y117" s="1">
        <v>25.405000000000001</v>
      </c>
      <c r="Z117" s="1">
        <v>0.38100000000000001</v>
      </c>
      <c r="AA117" s="1">
        <v>3.1</v>
      </c>
      <c r="AB117" s="1">
        <v>-3.1</v>
      </c>
      <c r="AC117" s="1">
        <v>-3</v>
      </c>
      <c r="AD117" s="1">
        <v>3.968</v>
      </c>
      <c r="AE117" s="1">
        <v>1.0999999999999999E-2</v>
      </c>
      <c r="AF117" s="1">
        <v>0.17799999999999999</v>
      </c>
      <c r="AG117" s="1">
        <v>3.1</v>
      </c>
      <c r="AI117" s="1">
        <v>0</v>
      </c>
      <c r="AJ117" s="1">
        <v>0</v>
      </c>
      <c r="AK117" s="1">
        <v>0</v>
      </c>
      <c r="AL117" s="1">
        <v>1</v>
      </c>
      <c r="AM117" s="1">
        <v>86400</v>
      </c>
      <c r="AN117" s="1">
        <v>79839</v>
      </c>
      <c r="AO117" s="1">
        <v>6561</v>
      </c>
      <c r="AP117" s="1">
        <v>50457</v>
      </c>
      <c r="AQ117" s="1">
        <v>1.181862772484338</v>
      </c>
    </row>
    <row r="118" spans="1:43" x14ac:dyDescent="0.45">
      <c r="A118" s="1">
        <v>117</v>
      </c>
      <c r="B118" s="1">
        <v>128</v>
      </c>
      <c r="C118" s="1">
        <v>88</v>
      </c>
      <c r="D118" s="1" t="s">
        <v>115</v>
      </c>
      <c r="E118" s="1" t="s">
        <v>116</v>
      </c>
      <c r="F118" s="1" t="s">
        <v>117</v>
      </c>
      <c r="G118" s="1" t="s">
        <v>54</v>
      </c>
      <c r="H118" s="1" t="s">
        <v>47</v>
      </c>
      <c r="I118" s="1">
        <v>830</v>
      </c>
      <c r="J118" s="1">
        <v>39746</v>
      </c>
      <c r="K118" s="1">
        <v>1</v>
      </c>
      <c r="L118" s="1">
        <v>87</v>
      </c>
      <c r="M118" s="1">
        <v>2011</v>
      </c>
      <c r="N118" s="1" t="s">
        <v>48</v>
      </c>
      <c r="O118" s="1">
        <v>195201</v>
      </c>
      <c r="P118" s="1">
        <v>94</v>
      </c>
      <c r="Q118" s="1" t="s">
        <v>125</v>
      </c>
      <c r="R118" s="1" t="s">
        <v>50</v>
      </c>
      <c r="S118" s="1">
        <v>0</v>
      </c>
      <c r="T118" s="1">
        <v>0</v>
      </c>
      <c r="U118" s="1">
        <v>137.08600000000001</v>
      </c>
      <c r="V118" s="1">
        <v>21.556000000000001</v>
      </c>
      <c r="W118" s="1">
        <v>1.59</v>
      </c>
      <c r="X118" s="1">
        <v>3.8490000000000002</v>
      </c>
      <c r="Y118" s="1">
        <v>25.405000000000001</v>
      </c>
      <c r="Z118" s="1">
        <v>0.03</v>
      </c>
      <c r="AA118" s="1">
        <v>1.4</v>
      </c>
      <c r="AB118" s="1">
        <v>-2.2999999999999998</v>
      </c>
      <c r="AC118" s="1">
        <v>-2.4</v>
      </c>
      <c r="AD118" s="1">
        <v>3.8490000000000002</v>
      </c>
      <c r="AE118" s="1">
        <v>8.9999999999999993E-3</v>
      </c>
      <c r="AF118" s="1">
        <v>3.6999999999999998E-2</v>
      </c>
      <c r="AG118" s="1">
        <v>1.4</v>
      </c>
      <c r="AI118" s="1">
        <v>0</v>
      </c>
      <c r="AJ118" s="1">
        <v>0</v>
      </c>
      <c r="AK118" s="1">
        <v>0</v>
      </c>
      <c r="AL118" s="1">
        <v>1</v>
      </c>
      <c r="AM118" s="1">
        <v>86400</v>
      </c>
      <c r="AN118" s="1">
        <v>77240</v>
      </c>
      <c r="AO118" s="1">
        <v>9160</v>
      </c>
      <c r="AP118" s="1">
        <v>50411</v>
      </c>
      <c r="AQ118" s="1">
        <v>4.4034149939720413</v>
      </c>
    </row>
    <row r="119" spans="1:43" x14ac:dyDescent="0.45">
      <c r="A119" s="1">
        <v>118</v>
      </c>
      <c r="B119" s="1">
        <v>128</v>
      </c>
      <c r="C119" s="1">
        <v>88</v>
      </c>
      <c r="D119" s="1" t="s">
        <v>115</v>
      </c>
      <c r="E119" s="1" t="s">
        <v>116</v>
      </c>
      <c r="F119" s="1" t="s">
        <v>117</v>
      </c>
      <c r="G119" s="1" t="s">
        <v>54</v>
      </c>
      <c r="H119" s="1" t="s">
        <v>47</v>
      </c>
      <c r="I119" s="1">
        <v>830</v>
      </c>
      <c r="J119" s="1">
        <v>39746</v>
      </c>
      <c r="K119" s="1">
        <v>1</v>
      </c>
      <c r="L119" s="1">
        <v>87</v>
      </c>
      <c r="M119" s="1">
        <v>2013</v>
      </c>
      <c r="N119" s="1" t="s">
        <v>48</v>
      </c>
      <c r="O119" s="1">
        <v>195203</v>
      </c>
      <c r="P119" s="1">
        <v>94</v>
      </c>
      <c r="Q119" s="1" t="s">
        <v>125</v>
      </c>
      <c r="R119" s="1" t="s">
        <v>50</v>
      </c>
      <c r="S119" s="1">
        <v>0</v>
      </c>
      <c r="T119" s="1">
        <v>0</v>
      </c>
      <c r="U119" s="1">
        <v>91.207999999999998</v>
      </c>
      <c r="V119" s="1">
        <v>21.504000000000001</v>
      </c>
      <c r="W119" s="1">
        <v>1.6</v>
      </c>
      <c r="X119" s="1">
        <v>3.9009999999999998</v>
      </c>
      <c r="Y119" s="1">
        <v>25.405000000000001</v>
      </c>
      <c r="Z119" s="1">
        <v>3.7999999999999999E-2</v>
      </c>
      <c r="AA119" s="1">
        <v>2.6</v>
      </c>
      <c r="AB119" s="1">
        <v>-2.9</v>
      </c>
      <c r="AC119" s="1">
        <v>-2.8</v>
      </c>
      <c r="AD119" s="1">
        <v>3.9</v>
      </c>
      <c r="AE119" s="1">
        <v>1.0999999999999999E-2</v>
      </c>
      <c r="AF119" s="1">
        <v>4.2000000000000003E-2</v>
      </c>
      <c r="AI119" s="1">
        <v>0</v>
      </c>
      <c r="AJ119" s="1">
        <v>0</v>
      </c>
      <c r="AK119" s="1">
        <v>0</v>
      </c>
      <c r="AL119" s="1">
        <v>1</v>
      </c>
      <c r="AM119" s="1">
        <v>86400</v>
      </c>
      <c r="AN119" s="1">
        <v>78355</v>
      </c>
      <c r="AO119" s="1">
        <v>8045</v>
      </c>
      <c r="AP119" s="1">
        <v>50419</v>
      </c>
      <c r="AQ119" s="1">
        <v>13.665509821742679</v>
      </c>
    </row>
    <row r="120" spans="1:43" x14ac:dyDescent="0.45">
      <c r="A120" s="1">
        <v>119</v>
      </c>
      <c r="B120" s="1">
        <v>128</v>
      </c>
      <c r="C120" s="1">
        <v>88</v>
      </c>
      <c r="D120" s="1" t="s">
        <v>115</v>
      </c>
      <c r="E120" s="1" t="s">
        <v>116</v>
      </c>
      <c r="F120" s="1" t="s">
        <v>117</v>
      </c>
      <c r="G120" s="1" t="s">
        <v>54</v>
      </c>
      <c r="H120" s="1" t="s">
        <v>47</v>
      </c>
      <c r="I120" s="1">
        <v>830</v>
      </c>
      <c r="J120" s="1">
        <v>39746</v>
      </c>
      <c r="K120" s="1">
        <v>1</v>
      </c>
      <c r="L120" s="1">
        <v>87</v>
      </c>
      <c r="M120" s="1">
        <v>2014</v>
      </c>
      <c r="N120" s="1" t="s">
        <v>48</v>
      </c>
      <c r="O120" s="1">
        <v>195204</v>
      </c>
      <c r="P120" s="1">
        <v>94</v>
      </c>
      <c r="Q120" s="1" t="s">
        <v>125</v>
      </c>
      <c r="R120" s="1" t="s">
        <v>50</v>
      </c>
      <c r="S120" s="1">
        <v>0</v>
      </c>
      <c r="T120" s="1">
        <v>0</v>
      </c>
      <c r="U120" s="1">
        <v>154.404</v>
      </c>
      <c r="V120" s="1">
        <v>21.431999999999999</v>
      </c>
      <c r="W120" s="1">
        <v>1.61</v>
      </c>
      <c r="X120" s="1">
        <v>3.9740000000000002</v>
      </c>
      <c r="Y120" s="1">
        <v>25.405000000000001</v>
      </c>
      <c r="Z120" s="1">
        <v>4.2999999999999997E-2</v>
      </c>
      <c r="AA120" s="1">
        <v>2</v>
      </c>
      <c r="AB120" s="1">
        <v>-2.9</v>
      </c>
      <c r="AC120" s="1">
        <v>-2.9</v>
      </c>
      <c r="AD120" s="1">
        <v>3.9729999999999999</v>
      </c>
      <c r="AE120" s="1">
        <v>1.0999999999999999E-2</v>
      </c>
      <c r="AF120" s="1">
        <v>4.2999999999999997E-2</v>
      </c>
      <c r="AI120" s="1">
        <v>0</v>
      </c>
      <c r="AJ120" s="1">
        <v>0</v>
      </c>
      <c r="AK120" s="1">
        <v>0</v>
      </c>
      <c r="AL120" s="1">
        <v>1</v>
      </c>
      <c r="AM120" s="1">
        <v>86400</v>
      </c>
      <c r="AN120" s="1">
        <v>79975</v>
      </c>
      <c r="AO120" s="1">
        <v>6425</v>
      </c>
      <c r="AP120" s="1">
        <v>50415</v>
      </c>
      <c r="AQ120" s="1">
        <v>3.810868070110133</v>
      </c>
    </row>
    <row r="121" spans="1:43" x14ac:dyDescent="0.45">
      <c r="A121" s="1">
        <v>120</v>
      </c>
      <c r="B121" s="1">
        <v>128</v>
      </c>
      <c r="C121" s="1">
        <v>88</v>
      </c>
      <c r="D121" s="1" t="s">
        <v>115</v>
      </c>
      <c r="E121" s="1" t="s">
        <v>116</v>
      </c>
      <c r="F121" s="1" t="s">
        <v>117</v>
      </c>
      <c r="G121" s="1" t="s">
        <v>54</v>
      </c>
      <c r="H121" s="1" t="s">
        <v>47</v>
      </c>
      <c r="I121" s="1">
        <v>830</v>
      </c>
      <c r="J121" s="1">
        <v>39746</v>
      </c>
      <c r="K121" s="1">
        <v>1</v>
      </c>
      <c r="L121" s="1">
        <v>87</v>
      </c>
      <c r="M121" s="1">
        <v>2015</v>
      </c>
      <c r="N121" s="1" t="s">
        <v>48</v>
      </c>
      <c r="O121" s="1">
        <v>195205</v>
      </c>
      <c r="P121" s="1">
        <v>94</v>
      </c>
      <c r="Q121" s="1" t="s">
        <v>125</v>
      </c>
      <c r="R121" s="1" t="s">
        <v>50</v>
      </c>
      <c r="S121" s="1">
        <v>0</v>
      </c>
      <c r="T121" s="1">
        <v>0</v>
      </c>
      <c r="U121" s="1">
        <v>130.07499999999999</v>
      </c>
      <c r="V121" s="1">
        <v>21.893000000000001</v>
      </c>
      <c r="W121" s="1">
        <v>1.54</v>
      </c>
      <c r="X121" s="1">
        <v>3.512</v>
      </c>
      <c r="Y121" s="1">
        <v>25.405000000000001</v>
      </c>
      <c r="Z121" s="1">
        <v>0.219</v>
      </c>
      <c r="AA121" s="1">
        <v>2.1</v>
      </c>
      <c r="AB121" s="1">
        <v>-2.9</v>
      </c>
      <c r="AC121" s="1">
        <v>-2.9</v>
      </c>
      <c r="AD121" s="1">
        <v>3.5110000000000001</v>
      </c>
      <c r="AE121" s="1">
        <v>1.0999999999999999E-2</v>
      </c>
      <c r="AF121" s="1">
        <v>3.9E-2</v>
      </c>
      <c r="AI121" s="1">
        <v>0</v>
      </c>
      <c r="AJ121" s="1">
        <v>0</v>
      </c>
      <c r="AK121" s="1">
        <v>0</v>
      </c>
      <c r="AL121" s="1">
        <v>1</v>
      </c>
      <c r="AM121" s="1">
        <v>75497</v>
      </c>
      <c r="AN121" s="1">
        <v>31703</v>
      </c>
      <c r="AO121" s="1">
        <v>43794</v>
      </c>
      <c r="AP121" s="1">
        <v>50406</v>
      </c>
      <c r="AQ121" s="1">
        <v>12.478949660479341</v>
      </c>
    </row>
    <row r="122" spans="1:43" x14ac:dyDescent="0.45">
      <c r="A122" s="1">
        <v>121</v>
      </c>
      <c r="B122" s="1">
        <v>128</v>
      </c>
      <c r="C122" s="1">
        <v>88</v>
      </c>
      <c r="D122" s="1" t="s">
        <v>115</v>
      </c>
      <c r="E122" s="1" t="s">
        <v>116</v>
      </c>
      <c r="F122" s="1" t="s">
        <v>117</v>
      </c>
      <c r="G122" s="1" t="s">
        <v>54</v>
      </c>
      <c r="H122" s="1" t="s">
        <v>47</v>
      </c>
      <c r="I122" s="1">
        <v>830</v>
      </c>
      <c r="J122" s="1">
        <v>39746</v>
      </c>
      <c r="K122" s="1">
        <v>1</v>
      </c>
      <c r="L122" s="1">
        <v>87</v>
      </c>
      <c r="M122" s="1">
        <v>2016</v>
      </c>
      <c r="N122" s="1" t="s">
        <v>48</v>
      </c>
      <c r="O122" s="1">
        <v>195208</v>
      </c>
      <c r="P122" s="1">
        <v>94</v>
      </c>
      <c r="Q122" s="1" t="s">
        <v>125</v>
      </c>
      <c r="R122" s="1" t="s">
        <v>50</v>
      </c>
      <c r="S122" s="1">
        <v>0</v>
      </c>
      <c r="T122" s="1">
        <v>0</v>
      </c>
      <c r="U122" s="1">
        <v>264.02999999999997</v>
      </c>
      <c r="V122" s="1">
        <v>22.882999999999999</v>
      </c>
      <c r="W122" s="1">
        <v>1.39</v>
      </c>
      <c r="X122" s="1">
        <v>2.5219999999999998</v>
      </c>
      <c r="Y122" s="1">
        <v>25.405000000000001</v>
      </c>
      <c r="Z122" s="1">
        <v>0.253</v>
      </c>
      <c r="AA122" s="1">
        <v>2</v>
      </c>
      <c r="AB122" s="1">
        <v>2.2000000000000002</v>
      </c>
      <c r="AC122" s="1">
        <v>2.5</v>
      </c>
      <c r="AD122" s="1">
        <v>2.5219999999999998</v>
      </c>
      <c r="AE122" s="1">
        <v>3.0000000000000001E-3</v>
      </c>
      <c r="AF122" s="1">
        <v>8.0000000000000002E-3</v>
      </c>
      <c r="AI122" s="1">
        <v>0</v>
      </c>
      <c r="AJ122" s="1">
        <v>0</v>
      </c>
      <c r="AK122" s="1">
        <v>0</v>
      </c>
      <c r="AL122" s="1">
        <v>1</v>
      </c>
      <c r="AM122" s="1">
        <v>68114</v>
      </c>
      <c r="AN122" s="1">
        <v>22816</v>
      </c>
      <c r="AO122" s="1">
        <v>45298</v>
      </c>
      <c r="AP122" s="1">
        <v>50430</v>
      </c>
      <c r="AQ122" s="1">
        <v>31.230541444332388</v>
      </c>
    </row>
    <row r="123" spans="1:43" x14ac:dyDescent="0.45">
      <c r="A123" s="1">
        <v>122</v>
      </c>
      <c r="B123" s="1">
        <v>128</v>
      </c>
      <c r="C123" s="1">
        <v>88</v>
      </c>
      <c r="D123" s="1" t="s">
        <v>115</v>
      </c>
      <c r="E123" s="1" t="s">
        <v>116</v>
      </c>
      <c r="F123" s="1" t="s">
        <v>117</v>
      </c>
      <c r="G123" s="1" t="s">
        <v>54</v>
      </c>
      <c r="H123" s="1" t="s">
        <v>47</v>
      </c>
      <c r="I123" s="1">
        <v>830</v>
      </c>
      <c r="J123" s="1">
        <v>39746</v>
      </c>
      <c r="K123" s="1">
        <v>1</v>
      </c>
      <c r="L123" s="1">
        <v>87</v>
      </c>
      <c r="M123" s="1">
        <v>2017</v>
      </c>
      <c r="N123" s="1" t="s">
        <v>48</v>
      </c>
      <c r="O123" s="1">
        <v>195209</v>
      </c>
      <c r="P123" s="1">
        <v>94</v>
      </c>
      <c r="Q123" s="1" t="s">
        <v>125</v>
      </c>
      <c r="R123" s="1" t="s">
        <v>50</v>
      </c>
      <c r="S123" s="1">
        <v>0</v>
      </c>
      <c r="T123" s="1">
        <v>0</v>
      </c>
      <c r="U123" s="1">
        <v>245.447</v>
      </c>
      <c r="V123" s="1">
        <v>22.640999999999998</v>
      </c>
      <c r="W123" s="1">
        <v>1.42</v>
      </c>
      <c r="X123" s="1">
        <v>2.7639999999999998</v>
      </c>
      <c r="Y123" s="1">
        <v>25.405000000000001</v>
      </c>
      <c r="Z123" s="1">
        <v>0.248</v>
      </c>
      <c r="AA123" s="1">
        <v>2.2999999999999998</v>
      </c>
      <c r="AB123" s="1">
        <v>2.4</v>
      </c>
      <c r="AC123" s="1">
        <v>2.4</v>
      </c>
      <c r="AD123" s="1">
        <v>2.7639999999999998</v>
      </c>
      <c r="AE123" s="1">
        <v>2E-3</v>
      </c>
      <c r="AF123" s="1">
        <v>3.7999999999999999E-2</v>
      </c>
      <c r="AI123" s="1">
        <v>0</v>
      </c>
      <c r="AJ123" s="1">
        <v>0</v>
      </c>
      <c r="AK123" s="1">
        <v>0</v>
      </c>
      <c r="AL123" s="1">
        <v>1</v>
      </c>
      <c r="AM123" s="1">
        <v>69755</v>
      </c>
      <c r="AN123" s="1">
        <v>24889</v>
      </c>
      <c r="AO123" s="1">
        <v>44867</v>
      </c>
      <c r="AP123" s="1">
        <v>50446</v>
      </c>
      <c r="AQ123" s="1">
        <v>2.9340896201097939</v>
      </c>
    </row>
    <row r="124" spans="1:43" x14ac:dyDescent="0.45">
      <c r="A124" s="1">
        <v>123</v>
      </c>
      <c r="B124" s="1">
        <v>128</v>
      </c>
      <c r="C124" s="1">
        <v>88</v>
      </c>
      <c r="D124" s="1" t="s">
        <v>115</v>
      </c>
      <c r="E124" s="1" t="s">
        <v>116</v>
      </c>
      <c r="F124" s="1" t="s">
        <v>117</v>
      </c>
      <c r="G124" s="1" t="s">
        <v>54</v>
      </c>
      <c r="H124" s="1" t="s">
        <v>47</v>
      </c>
      <c r="I124" s="1">
        <v>830</v>
      </c>
      <c r="J124" s="1">
        <v>39746</v>
      </c>
      <c r="K124" s="1">
        <v>1</v>
      </c>
      <c r="L124" s="1">
        <v>87</v>
      </c>
      <c r="M124" s="1">
        <v>2019</v>
      </c>
      <c r="N124" s="1" t="s">
        <v>48</v>
      </c>
      <c r="O124" s="1">
        <v>195258</v>
      </c>
      <c r="P124" s="1">
        <v>94</v>
      </c>
      <c r="Q124" s="1" t="s">
        <v>125</v>
      </c>
      <c r="R124" s="1" t="s">
        <v>50</v>
      </c>
      <c r="S124" s="1">
        <v>0</v>
      </c>
      <c r="T124" s="1">
        <v>0</v>
      </c>
      <c r="U124" s="1">
        <v>78.058999999999997</v>
      </c>
      <c r="V124" s="1">
        <v>21.181000000000001</v>
      </c>
      <c r="W124" s="1">
        <v>1.65</v>
      </c>
      <c r="X124" s="1">
        <v>4.2249999999999996</v>
      </c>
      <c r="Y124" s="1">
        <v>25.405000000000001</v>
      </c>
      <c r="Z124" s="1">
        <v>9.5000000000000001E-2</v>
      </c>
      <c r="AA124" s="1">
        <v>2.1</v>
      </c>
      <c r="AB124" s="1">
        <v>-1.2</v>
      </c>
      <c r="AC124" s="1">
        <v>-1.2</v>
      </c>
      <c r="AD124" s="1">
        <v>4.2249999999999996</v>
      </c>
      <c r="AE124" s="1">
        <v>1.2E-2</v>
      </c>
      <c r="AF124" s="1">
        <v>5.0999999999999997E-2</v>
      </c>
      <c r="AG124" s="1">
        <v>2.1</v>
      </c>
      <c r="AI124" s="1">
        <v>0</v>
      </c>
      <c r="AJ124" s="1">
        <v>0</v>
      </c>
      <c r="AK124" s="1">
        <v>0</v>
      </c>
      <c r="AL124" s="1">
        <v>1</v>
      </c>
      <c r="AM124" s="1">
        <v>79165</v>
      </c>
      <c r="AN124" s="1">
        <v>46090</v>
      </c>
      <c r="AO124" s="1">
        <v>33075</v>
      </c>
      <c r="AP124" s="1">
        <v>50441</v>
      </c>
      <c r="AQ124" s="1">
        <v>15.472366591781739</v>
      </c>
    </row>
    <row r="125" spans="1:43" x14ac:dyDescent="0.45">
      <c r="A125" s="1">
        <v>124</v>
      </c>
      <c r="B125" s="1">
        <v>128</v>
      </c>
      <c r="C125" s="1">
        <v>88</v>
      </c>
      <c r="D125" s="1" t="s">
        <v>115</v>
      </c>
      <c r="E125" s="1" t="s">
        <v>116</v>
      </c>
      <c r="F125" s="1" t="s">
        <v>117</v>
      </c>
      <c r="G125" s="1" t="s">
        <v>54</v>
      </c>
      <c r="H125" s="1" t="s">
        <v>47</v>
      </c>
      <c r="I125" s="1">
        <v>830</v>
      </c>
      <c r="J125" s="1">
        <v>39746</v>
      </c>
      <c r="K125" s="1">
        <v>1</v>
      </c>
      <c r="L125" s="1">
        <v>87</v>
      </c>
      <c r="M125" s="1">
        <v>2022</v>
      </c>
      <c r="N125" s="1" t="s">
        <v>48</v>
      </c>
      <c r="O125" s="1">
        <v>195261</v>
      </c>
      <c r="P125" s="1">
        <v>94</v>
      </c>
      <c r="Q125" s="1" t="s">
        <v>125</v>
      </c>
      <c r="R125" s="1" t="s">
        <v>50</v>
      </c>
      <c r="S125" s="1">
        <v>0</v>
      </c>
      <c r="T125" s="1">
        <v>0</v>
      </c>
      <c r="U125" s="1">
        <v>153.06899999999999</v>
      </c>
      <c r="V125" s="1">
        <v>21.137</v>
      </c>
      <c r="W125" s="1">
        <v>1.66</v>
      </c>
      <c r="X125" s="1">
        <v>4.2679999999999998</v>
      </c>
      <c r="Y125" s="1">
        <v>25.405000000000001</v>
      </c>
      <c r="Z125" s="1">
        <v>0.109</v>
      </c>
      <c r="AA125" s="1">
        <v>2.4</v>
      </c>
      <c r="AB125" s="1">
        <v>-1.2</v>
      </c>
      <c r="AC125" s="1">
        <v>-1.2</v>
      </c>
      <c r="AD125" s="1">
        <v>4.2679999999999998</v>
      </c>
      <c r="AE125" s="1">
        <v>1.2E-2</v>
      </c>
      <c r="AF125" s="1">
        <v>5.0999999999999997E-2</v>
      </c>
      <c r="AG125" s="1">
        <v>2.4</v>
      </c>
      <c r="AI125" s="1">
        <v>0</v>
      </c>
      <c r="AJ125" s="1">
        <v>0</v>
      </c>
      <c r="AK125" s="1">
        <v>0</v>
      </c>
      <c r="AL125" s="1">
        <v>1</v>
      </c>
      <c r="AM125" s="1">
        <v>79693</v>
      </c>
      <c r="AN125" s="1">
        <v>53802</v>
      </c>
      <c r="AO125" s="1">
        <v>25891</v>
      </c>
      <c r="AP125" s="1">
        <v>50426</v>
      </c>
      <c r="AQ125" s="1">
        <v>15.89005224095512</v>
      </c>
    </row>
    <row r="126" spans="1:43" x14ac:dyDescent="0.45">
      <c r="A126" s="1">
        <v>125</v>
      </c>
      <c r="B126" s="1">
        <v>128</v>
      </c>
      <c r="C126" s="1">
        <v>88</v>
      </c>
      <c r="D126" s="1" t="s">
        <v>115</v>
      </c>
      <c r="E126" s="1" t="s">
        <v>116</v>
      </c>
      <c r="F126" s="1" t="s">
        <v>117</v>
      </c>
      <c r="G126" s="1" t="s">
        <v>54</v>
      </c>
      <c r="H126" s="1" t="s">
        <v>47</v>
      </c>
      <c r="I126" s="1">
        <v>830</v>
      </c>
      <c r="J126" s="1">
        <v>39746</v>
      </c>
      <c r="K126" s="1">
        <v>1</v>
      </c>
      <c r="L126" s="1">
        <v>87</v>
      </c>
      <c r="M126" s="1">
        <v>2023</v>
      </c>
      <c r="N126" s="1" t="s">
        <v>48</v>
      </c>
      <c r="O126" s="1">
        <v>195262</v>
      </c>
      <c r="P126" s="1">
        <v>94</v>
      </c>
      <c r="Q126" s="1" t="s">
        <v>125</v>
      </c>
      <c r="R126" s="1" t="s">
        <v>50</v>
      </c>
      <c r="S126" s="1">
        <v>0</v>
      </c>
      <c r="T126" s="1">
        <v>0</v>
      </c>
      <c r="U126" s="1">
        <v>125.68300000000001</v>
      </c>
      <c r="V126" s="1">
        <v>21.154</v>
      </c>
      <c r="W126" s="1">
        <v>1.65</v>
      </c>
      <c r="X126" s="1">
        <v>4.2510000000000003</v>
      </c>
      <c r="Y126" s="1">
        <v>25.405000000000001</v>
      </c>
      <c r="Z126" s="1">
        <v>0.13400000000000001</v>
      </c>
      <c r="AA126" s="1">
        <v>2.4</v>
      </c>
      <c r="AB126" s="1">
        <v>-1.2</v>
      </c>
      <c r="AC126" s="1">
        <v>-1.2</v>
      </c>
      <c r="AD126" s="1">
        <v>4.2510000000000003</v>
      </c>
      <c r="AE126" s="1">
        <v>1.2E-2</v>
      </c>
      <c r="AF126" s="1">
        <v>5.1999999999999998E-2</v>
      </c>
      <c r="AG126" s="1">
        <v>2.4</v>
      </c>
      <c r="AI126" s="1">
        <v>0</v>
      </c>
      <c r="AJ126" s="1">
        <v>0</v>
      </c>
      <c r="AK126" s="1">
        <v>0</v>
      </c>
      <c r="AL126" s="1">
        <v>1</v>
      </c>
      <c r="AM126" s="1">
        <v>79403</v>
      </c>
      <c r="AN126" s="1">
        <v>49966</v>
      </c>
      <c r="AO126" s="1">
        <v>29437</v>
      </c>
      <c r="AP126" s="1">
        <v>50430</v>
      </c>
      <c r="AQ126" s="1">
        <v>1.520562052601047</v>
      </c>
    </row>
    <row r="127" spans="1:43" x14ac:dyDescent="0.45">
      <c r="A127" s="1">
        <v>126</v>
      </c>
      <c r="B127" s="1">
        <v>128</v>
      </c>
      <c r="C127" s="1">
        <v>88</v>
      </c>
      <c r="D127" s="1" t="s">
        <v>115</v>
      </c>
      <c r="E127" s="1" t="s">
        <v>116</v>
      </c>
      <c r="F127" s="1" t="s">
        <v>117</v>
      </c>
      <c r="G127" s="1" t="s">
        <v>54</v>
      </c>
      <c r="H127" s="1" t="s">
        <v>47</v>
      </c>
      <c r="I127" s="1">
        <v>830</v>
      </c>
      <c r="J127" s="1">
        <v>39746</v>
      </c>
      <c r="K127" s="1">
        <v>1</v>
      </c>
      <c r="L127" s="1">
        <v>87</v>
      </c>
      <c r="M127" s="1">
        <v>2029</v>
      </c>
      <c r="N127" s="1" t="s">
        <v>48</v>
      </c>
      <c r="O127" s="1">
        <v>195270</v>
      </c>
      <c r="P127" s="1">
        <v>94</v>
      </c>
      <c r="Q127" s="1" t="s">
        <v>125</v>
      </c>
      <c r="R127" s="1" t="s">
        <v>50</v>
      </c>
      <c r="S127" s="1">
        <v>0</v>
      </c>
      <c r="T127" s="1">
        <v>0</v>
      </c>
      <c r="U127" s="1">
        <v>69.132000000000005</v>
      </c>
      <c r="V127" s="1">
        <v>21.013999999999999</v>
      </c>
      <c r="W127" s="1">
        <v>1.67</v>
      </c>
      <c r="X127" s="1">
        <v>4.391</v>
      </c>
      <c r="Y127" s="1">
        <v>25.405000000000001</v>
      </c>
      <c r="Z127" s="1">
        <v>8.4000000000000005E-2</v>
      </c>
      <c r="AA127" s="1">
        <v>1.8</v>
      </c>
      <c r="AB127" s="1">
        <v>-0.5</v>
      </c>
      <c r="AC127" s="1">
        <v>-0.5</v>
      </c>
      <c r="AD127" s="1">
        <v>4.391</v>
      </c>
      <c r="AE127" s="1">
        <v>6.0000000000000001E-3</v>
      </c>
      <c r="AF127" s="1">
        <v>6.2E-2</v>
      </c>
      <c r="AG127" s="1">
        <v>1.8</v>
      </c>
      <c r="AI127" s="1">
        <v>0</v>
      </c>
      <c r="AJ127" s="1">
        <v>0</v>
      </c>
      <c r="AK127" s="1">
        <v>0</v>
      </c>
      <c r="AL127" s="1">
        <v>1</v>
      </c>
      <c r="AM127" s="1">
        <v>86400</v>
      </c>
      <c r="AN127" s="1">
        <v>75048</v>
      </c>
      <c r="AO127" s="1">
        <v>11352</v>
      </c>
      <c r="AP127" s="1">
        <v>50410</v>
      </c>
      <c r="AQ127" s="1">
        <v>1.392836945343001</v>
      </c>
    </row>
    <row r="128" spans="1:43" x14ac:dyDescent="0.45">
      <c r="A128" s="1">
        <v>127</v>
      </c>
      <c r="B128" s="1">
        <v>128</v>
      </c>
      <c r="C128" s="1">
        <v>88</v>
      </c>
      <c r="D128" s="1" t="s">
        <v>115</v>
      </c>
      <c r="E128" s="1" t="s">
        <v>116</v>
      </c>
      <c r="F128" s="1" t="s">
        <v>117</v>
      </c>
      <c r="G128" s="1" t="s">
        <v>54</v>
      </c>
      <c r="H128" s="1" t="s">
        <v>47</v>
      </c>
      <c r="I128" s="1">
        <v>830</v>
      </c>
      <c r="J128" s="1">
        <v>39746</v>
      </c>
      <c r="K128" s="1">
        <v>1</v>
      </c>
      <c r="L128" s="1">
        <v>87</v>
      </c>
      <c r="M128" s="1">
        <v>2030</v>
      </c>
      <c r="N128" s="1" t="s">
        <v>48</v>
      </c>
      <c r="O128" s="1">
        <v>195271</v>
      </c>
      <c r="P128" s="1">
        <v>94</v>
      </c>
      <c r="Q128" s="1" t="s">
        <v>125</v>
      </c>
      <c r="R128" s="1" t="s">
        <v>50</v>
      </c>
      <c r="S128" s="1">
        <v>0</v>
      </c>
      <c r="T128" s="1">
        <v>0</v>
      </c>
      <c r="U128" s="1">
        <v>153.398</v>
      </c>
      <c r="V128" s="1">
        <v>20.052</v>
      </c>
      <c r="W128" s="1">
        <v>1.82</v>
      </c>
      <c r="X128" s="1">
        <v>5.3529999999999998</v>
      </c>
      <c r="Y128" s="1">
        <v>25.405000000000001</v>
      </c>
      <c r="Z128" s="1">
        <v>6.0999999999999999E-2</v>
      </c>
      <c r="AA128" s="1">
        <v>0.8</v>
      </c>
      <c r="AB128" s="1">
        <v>-0.9</v>
      </c>
      <c r="AC128" s="1">
        <v>-0.9</v>
      </c>
      <c r="AD128" s="1">
        <v>5.3529999999999998</v>
      </c>
      <c r="AE128" s="1">
        <v>6.0000000000000001E-3</v>
      </c>
      <c r="AF128" s="1">
        <v>7.3999999999999996E-2</v>
      </c>
      <c r="AI128" s="1">
        <v>0</v>
      </c>
      <c r="AJ128" s="1">
        <v>0</v>
      </c>
      <c r="AK128" s="1">
        <v>0</v>
      </c>
      <c r="AL128" s="1">
        <v>1</v>
      </c>
      <c r="AM128" s="1">
        <v>86400</v>
      </c>
      <c r="AN128" s="1">
        <v>80528</v>
      </c>
      <c r="AO128" s="1">
        <v>5872</v>
      </c>
      <c r="AP128" s="1">
        <v>50447</v>
      </c>
      <c r="AQ128" s="1">
        <v>1.848400219853761</v>
      </c>
    </row>
    <row r="129" spans="1:43" x14ac:dyDescent="0.45">
      <c r="A129" s="1">
        <v>128</v>
      </c>
      <c r="B129" s="1">
        <v>128</v>
      </c>
      <c r="C129" s="1">
        <v>88</v>
      </c>
      <c r="D129" s="1" t="s">
        <v>115</v>
      </c>
      <c r="E129" s="1" t="s">
        <v>116</v>
      </c>
      <c r="F129" s="1" t="s">
        <v>117</v>
      </c>
      <c r="G129" s="1" t="s">
        <v>54</v>
      </c>
      <c r="H129" s="1" t="s">
        <v>47</v>
      </c>
      <c r="I129" s="1">
        <v>830</v>
      </c>
      <c r="J129" s="1">
        <v>39746</v>
      </c>
      <c r="K129" s="1">
        <v>1</v>
      </c>
      <c r="L129" s="1">
        <v>87</v>
      </c>
      <c r="M129" s="1">
        <v>2031</v>
      </c>
      <c r="N129" s="1" t="s">
        <v>48</v>
      </c>
      <c r="O129" s="1">
        <v>195272</v>
      </c>
      <c r="P129" s="1">
        <v>94</v>
      </c>
      <c r="Q129" s="1" t="s">
        <v>125</v>
      </c>
      <c r="R129" s="1" t="s">
        <v>50</v>
      </c>
      <c r="S129" s="1">
        <v>0</v>
      </c>
      <c r="T129" s="1">
        <v>0</v>
      </c>
      <c r="U129" s="1">
        <v>122.854</v>
      </c>
      <c r="V129" s="1">
        <v>20.367000000000001</v>
      </c>
      <c r="W129" s="1">
        <v>1.77</v>
      </c>
      <c r="X129" s="1">
        <v>5.0380000000000003</v>
      </c>
      <c r="Y129" s="1">
        <v>25.405000000000001</v>
      </c>
      <c r="Z129" s="1">
        <v>4.2000000000000003E-2</v>
      </c>
      <c r="AA129" s="1">
        <v>0.1</v>
      </c>
      <c r="AB129" s="1">
        <v>-1.4</v>
      </c>
      <c r="AC129" s="1">
        <v>-1.4</v>
      </c>
      <c r="AD129" s="1">
        <v>5.0380000000000003</v>
      </c>
      <c r="AE129" s="1">
        <v>3.0000000000000001E-3</v>
      </c>
      <c r="AF129" s="1">
        <v>3.9E-2</v>
      </c>
      <c r="AI129" s="1">
        <v>0</v>
      </c>
      <c r="AJ129" s="1">
        <v>0</v>
      </c>
      <c r="AK129" s="1">
        <v>0</v>
      </c>
      <c r="AL129" s="1">
        <v>1</v>
      </c>
      <c r="AM129" s="1">
        <v>86400</v>
      </c>
      <c r="AN129" s="1">
        <v>78880</v>
      </c>
      <c r="AO129" s="1">
        <v>7520</v>
      </c>
      <c r="AP129" s="1">
        <v>50447</v>
      </c>
      <c r="AQ129" s="1">
        <v>15.112516080123729</v>
      </c>
    </row>
    <row r="130" spans="1:43" x14ac:dyDescent="0.45">
      <c r="A130" s="1">
        <v>129</v>
      </c>
      <c r="B130" s="1">
        <v>128</v>
      </c>
      <c r="C130" s="1">
        <v>88</v>
      </c>
      <c r="D130" s="1" t="s">
        <v>115</v>
      </c>
      <c r="E130" s="1" t="s">
        <v>116</v>
      </c>
      <c r="F130" s="1" t="s">
        <v>117</v>
      </c>
      <c r="G130" s="1" t="s">
        <v>54</v>
      </c>
      <c r="H130" s="1" t="s">
        <v>47</v>
      </c>
      <c r="I130" s="1">
        <v>830</v>
      </c>
      <c r="J130" s="1">
        <v>39746</v>
      </c>
      <c r="K130" s="1">
        <v>1</v>
      </c>
      <c r="L130" s="1">
        <v>87</v>
      </c>
      <c r="M130" s="1">
        <v>2032</v>
      </c>
      <c r="N130" s="1" t="s">
        <v>48</v>
      </c>
      <c r="O130" s="1">
        <v>195273</v>
      </c>
      <c r="P130" s="1">
        <v>94</v>
      </c>
      <c r="Q130" s="1" t="s">
        <v>125</v>
      </c>
      <c r="R130" s="1" t="s">
        <v>50</v>
      </c>
      <c r="S130" s="1">
        <v>0</v>
      </c>
      <c r="T130" s="1">
        <v>0</v>
      </c>
      <c r="U130" s="1">
        <v>85.891000000000005</v>
      </c>
      <c r="V130" s="1">
        <v>19.951000000000001</v>
      </c>
      <c r="W130" s="1">
        <v>1.84</v>
      </c>
      <c r="X130" s="1">
        <v>5.4539999999999997</v>
      </c>
      <c r="Y130" s="1">
        <v>25.405999999999999</v>
      </c>
      <c r="Z130" s="1">
        <v>0.21099999999999999</v>
      </c>
      <c r="AA130" s="1">
        <v>0.4</v>
      </c>
      <c r="AB130" s="1">
        <v>0</v>
      </c>
      <c r="AC130" s="1">
        <v>0.3</v>
      </c>
      <c r="AD130" s="1">
        <v>5.4409999999999998</v>
      </c>
      <c r="AE130" s="1">
        <v>1.7000000000000001E-2</v>
      </c>
      <c r="AF130" s="1">
        <v>0.28799999999999998</v>
      </c>
      <c r="AG130" s="1">
        <v>0.4</v>
      </c>
      <c r="AI130" s="1">
        <v>0</v>
      </c>
      <c r="AJ130" s="1">
        <v>0</v>
      </c>
      <c r="AK130" s="1">
        <v>0</v>
      </c>
      <c r="AL130" s="1">
        <v>1</v>
      </c>
      <c r="AM130" s="1">
        <v>86400</v>
      </c>
      <c r="AN130" s="1">
        <v>81160</v>
      </c>
      <c r="AO130" s="1">
        <v>5240</v>
      </c>
      <c r="AP130" s="1">
        <v>50471</v>
      </c>
      <c r="AQ130" s="1">
        <v>1.1430980625257849</v>
      </c>
    </row>
    <row r="131" spans="1:43" x14ac:dyDescent="0.45">
      <c r="A131" s="1">
        <v>130</v>
      </c>
      <c r="B131" s="1">
        <v>128</v>
      </c>
      <c r="C131" s="1">
        <v>88</v>
      </c>
      <c r="D131" s="1" t="s">
        <v>115</v>
      </c>
      <c r="E131" s="1" t="s">
        <v>116</v>
      </c>
      <c r="F131" s="1" t="s">
        <v>117</v>
      </c>
      <c r="G131" s="1" t="s">
        <v>54</v>
      </c>
      <c r="H131" s="1" t="s">
        <v>47</v>
      </c>
      <c r="I131" s="1">
        <v>830</v>
      </c>
      <c r="J131" s="1">
        <v>39746</v>
      </c>
      <c r="K131" s="1">
        <v>1</v>
      </c>
      <c r="L131" s="1">
        <v>87</v>
      </c>
      <c r="M131" s="1">
        <v>2045</v>
      </c>
      <c r="N131" s="1" t="s">
        <v>48</v>
      </c>
      <c r="O131" s="1">
        <v>195302</v>
      </c>
      <c r="P131" s="1">
        <v>94</v>
      </c>
      <c r="Q131" s="1" t="s">
        <v>125</v>
      </c>
      <c r="R131" s="1" t="s">
        <v>50</v>
      </c>
      <c r="S131" s="1">
        <v>0</v>
      </c>
      <c r="T131" s="1">
        <v>0</v>
      </c>
      <c r="U131" s="1">
        <v>78.664000000000001</v>
      </c>
      <c r="V131" s="1">
        <v>21.154</v>
      </c>
      <c r="W131" s="1">
        <v>1.65</v>
      </c>
      <c r="X131" s="1">
        <v>4.2510000000000003</v>
      </c>
      <c r="Y131" s="1">
        <v>25.405000000000001</v>
      </c>
      <c r="Z131" s="1">
        <v>0.24</v>
      </c>
      <c r="AA131" s="1">
        <v>2.6</v>
      </c>
      <c r="AB131" s="1">
        <v>-1.3</v>
      </c>
      <c r="AC131" s="1">
        <v>-1.3</v>
      </c>
      <c r="AD131" s="1">
        <v>4.2510000000000003</v>
      </c>
      <c r="AE131" s="1">
        <v>1.0999999999999999E-2</v>
      </c>
      <c r="AF131" s="1">
        <v>5.1999999999999998E-2</v>
      </c>
      <c r="AG131" s="1">
        <v>2.6</v>
      </c>
      <c r="AI131" s="1">
        <v>0</v>
      </c>
      <c r="AJ131" s="1">
        <v>0</v>
      </c>
      <c r="AK131" s="1">
        <v>0</v>
      </c>
      <c r="AL131" s="1">
        <v>1</v>
      </c>
      <c r="AM131" s="1">
        <v>79503</v>
      </c>
      <c r="AN131" s="1">
        <v>52391</v>
      </c>
      <c r="AO131" s="1">
        <v>27111</v>
      </c>
      <c r="AP131" s="1">
        <v>50440</v>
      </c>
      <c r="AQ131" s="1">
        <v>1.1310608105362661</v>
      </c>
    </row>
    <row r="132" spans="1:43" x14ac:dyDescent="0.45">
      <c r="A132" s="1">
        <v>131</v>
      </c>
      <c r="B132" s="1">
        <v>128</v>
      </c>
      <c r="C132" s="1">
        <v>88</v>
      </c>
      <c r="D132" s="1" t="s">
        <v>115</v>
      </c>
      <c r="E132" s="1" t="s">
        <v>116</v>
      </c>
      <c r="F132" s="1" t="s">
        <v>117</v>
      </c>
      <c r="G132" s="1" t="s">
        <v>54</v>
      </c>
      <c r="H132" s="1" t="s">
        <v>47</v>
      </c>
      <c r="I132" s="1">
        <v>830</v>
      </c>
      <c r="J132" s="1">
        <v>39746</v>
      </c>
      <c r="K132" s="1">
        <v>1</v>
      </c>
      <c r="L132" s="1">
        <v>87</v>
      </c>
      <c r="M132" s="1">
        <v>2046</v>
      </c>
      <c r="N132" s="1" t="s">
        <v>48</v>
      </c>
      <c r="O132" s="1">
        <v>195303</v>
      </c>
      <c r="P132" s="1">
        <v>94</v>
      </c>
      <c r="Q132" s="1" t="s">
        <v>125</v>
      </c>
      <c r="R132" s="1" t="s">
        <v>50</v>
      </c>
      <c r="S132" s="1">
        <v>0</v>
      </c>
      <c r="T132" s="1">
        <v>0</v>
      </c>
      <c r="U132" s="1">
        <v>59.354999999999997</v>
      </c>
      <c r="V132" s="1">
        <v>21.082000000000001</v>
      </c>
      <c r="W132" s="1">
        <v>1.66</v>
      </c>
      <c r="X132" s="1">
        <v>4.3230000000000004</v>
      </c>
      <c r="Y132" s="1">
        <v>25.405000000000001</v>
      </c>
      <c r="Z132" s="1">
        <v>8.8999999999999996E-2</v>
      </c>
      <c r="AA132" s="1">
        <v>1.8</v>
      </c>
      <c r="AB132" s="1">
        <v>-1.3</v>
      </c>
      <c r="AC132" s="1">
        <v>-1.3</v>
      </c>
      <c r="AD132" s="1">
        <v>4.3230000000000004</v>
      </c>
      <c r="AE132" s="1">
        <v>1.0999999999999999E-2</v>
      </c>
      <c r="AF132" s="1">
        <v>4.9000000000000002E-2</v>
      </c>
      <c r="AG132" s="1">
        <v>1.8</v>
      </c>
      <c r="AI132" s="1">
        <v>0</v>
      </c>
      <c r="AJ132" s="1">
        <v>0</v>
      </c>
      <c r="AK132" s="1">
        <v>0</v>
      </c>
      <c r="AL132" s="1">
        <v>1</v>
      </c>
      <c r="AM132" s="1">
        <v>86400</v>
      </c>
      <c r="AN132" s="1">
        <v>81191</v>
      </c>
      <c r="AO132" s="1">
        <v>5209</v>
      </c>
      <c r="AP132" s="1">
        <v>50437</v>
      </c>
      <c r="AQ132" s="1">
        <v>0.78619780940348905</v>
      </c>
    </row>
    <row r="133" spans="1:43" x14ac:dyDescent="0.45">
      <c r="A133" s="1">
        <v>132</v>
      </c>
      <c r="B133" s="1">
        <v>128</v>
      </c>
      <c r="C133" s="1">
        <v>88</v>
      </c>
      <c r="D133" s="1" t="s">
        <v>115</v>
      </c>
      <c r="E133" s="1" t="s">
        <v>116</v>
      </c>
      <c r="F133" s="1" t="s">
        <v>117</v>
      </c>
      <c r="G133" s="1" t="s">
        <v>54</v>
      </c>
      <c r="H133" s="1" t="s">
        <v>47</v>
      </c>
      <c r="I133" s="1">
        <v>830</v>
      </c>
      <c r="J133" s="1">
        <v>39746</v>
      </c>
      <c r="K133" s="1">
        <v>1</v>
      </c>
      <c r="L133" s="1">
        <v>87</v>
      </c>
      <c r="M133" s="1">
        <v>2047</v>
      </c>
      <c r="N133" s="1" t="s">
        <v>48</v>
      </c>
      <c r="O133" s="1">
        <v>195304</v>
      </c>
      <c r="P133" s="1">
        <v>94</v>
      </c>
      <c r="Q133" s="1" t="s">
        <v>125</v>
      </c>
      <c r="R133" s="1" t="s">
        <v>50</v>
      </c>
      <c r="S133" s="1">
        <v>0</v>
      </c>
      <c r="T133" s="1">
        <v>0</v>
      </c>
      <c r="U133" s="1">
        <v>185.06</v>
      </c>
      <c r="V133" s="1">
        <v>21.213999999999999</v>
      </c>
      <c r="W133" s="1">
        <v>1.64</v>
      </c>
      <c r="X133" s="1">
        <v>4.1920000000000002</v>
      </c>
      <c r="Y133" s="1">
        <v>25.405000000000001</v>
      </c>
      <c r="Z133" s="1">
        <v>0.14299999999999999</v>
      </c>
      <c r="AA133" s="1">
        <v>2.2999999999999998</v>
      </c>
      <c r="AB133" s="1">
        <v>-1.2</v>
      </c>
      <c r="AC133" s="1">
        <v>-1.2</v>
      </c>
      <c r="AD133" s="1">
        <v>4.1909999999999998</v>
      </c>
      <c r="AE133" s="1">
        <v>1.2E-2</v>
      </c>
      <c r="AF133" s="1">
        <v>5.1999999999999998E-2</v>
      </c>
      <c r="AG133" s="1">
        <v>2.2999999999999998</v>
      </c>
      <c r="AI133" s="1">
        <v>0</v>
      </c>
      <c r="AJ133" s="1">
        <v>0</v>
      </c>
      <c r="AK133" s="1">
        <v>0</v>
      </c>
      <c r="AL133" s="1">
        <v>1</v>
      </c>
      <c r="AM133" s="1">
        <v>79050</v>
      </c>
      <c r="AN133" s="1">
        <v>42554</v>
      </c>
      <c r="AO133" s="1">
        <v>36496</v>
      </c>
      <c r="AP133" s="1">
        <v>50445</v>
      </c>
      <c r="AQ133" s="1">
        <v>25.54400995282375</v>
      </c>
    </row>
    <row r="134" spans="1:43" x14ac:dyDescent="0.45">
      <c r="A134" s="1">
        <v>133</v>
      </c>
      <c r="B134" s="1">
        <v>128</v>
      </c>
      <c r="C134" s="1">
        <v>88</v>
      </c>
      <c r="D134" s="1" t="s">
        <v>115</v>
      </c>
      <c r="E134" s="1" t="s">
        <v>116</v>
      </c>
      <c r="F134" s="1" t="s">
        <v>117</v>
      </c>
      <c r="G134" s="1" t="s">
        <v>54</v>
      </c>
      <c r="H134" s="1" t="s">
        <v>47</v>
      </c>
      <c r="I134" s="1">
        <v>830</v>
      </c>
      <c r="J134" s="1">
        <v>39746</v>
      </c>
      <c r="K134" s="1">
        <v>1</v>
      </c>
      <c r="L134" s="1">
        <v>87</v>
      </c>
      <c r="M134" s="1">
        <v>2048</v>
      </c>
      <c r="N134" s="1" t="s">
        <v>48</v>
      </c>
      <c r="O134" s="1">
        <v>195308</v>
      </c>
      <c r="P134" s="1">
        <v>94</v>
      </c>
      <c r="Q134" s="1" t="s">
        <v>125</v>
      </c>
      <c r="R134" s="1" t="s">
        <v>50</v>
      </c>
      <c r="S134" s="1">
        <v>0</v>
      </c>
      <c r="T134" s="1">
        <v>0</v>
      </c>
      <c r="U134" s="1">
        <v>95.602999999999994</v>
      </c>
      <c r="V134" s="1">
        <v>21.193000000000001</v>
      </c>
      <c r="W134" s="1">
        <v>1.65</v>
      </c>
      <c r="X134" s="1">
        <v>4.2119999999999997</v>
      </c>
      <c r="Y134" s="1">
        <v>25.405000000000001</v>
      </c>
      <c r="Z134" s="1">
        <v>0.1</v>
      </c>
      <c r="AA134" s="1">
        <v>2</v>
      </c>
      <c r="AB134" s="1">
        <v>-1.2</v>
      </c>
      <c r="AC134" s="1">
        <v>-1.2</v>
      </c>
      <c r="AD134" s="1">
        <v>4.2119999999999997</v>
      </c>
      <c r="AE134" s="1">
        <v>2.4E-2</v>
      </c>
      <c r="AF134" s="1">
        <v>9.9000000000000005E-2</v>
      </c>
      <c r="AG134" s="1">
        <v>2</v>
      </c>
      <c r="AI134" s="1">
        <v>0</v>
      </c>
      <c r="AJ134" s="1">
        <v>0</v>
      </c>
      <c r="AK134" s="1">
        <v>0</v>
      </c>
      <c r="AL134" s="1">
        <v>1</v>
      </c>
      <c r="AM134" s="1">
        <v>79148</v>
      </c>
      <c r="AN134" s="1">
        <v>45804</v>
      </c>
      <c r="AO134" s="1">
        <v>33344</v>
      </c>
      <c r="AP134" s="1">
        <v>50429</v>
      </c>
      <c r="AQ134" s="1">
        <v>23.159593782099659</v>
      </c>
    </row>
    <row r="135" spans="1:43" x14ac:dyDescent="0.45">
      <c r="A135" s="1">
        <v>134</v>
      </c>
      <c r="B135" s="1">
        <v>128</v>
      </c>
      <c r="C135" s="1">
        <v>88</v>
      </c>
      <c r="D135" s="1" t="s">
        <v>115</v>
      </c>
      <c r="E135" s="1" t="s">
        <v>116</v>
      </c>
      <c r="F135" s="1" t="s">
        <v>117</v>
      </c>
      <c r="G135" s="1" t="s">
        <v>54</v>
      </c>
      <c r="H135" s="1" t="s">
        <v>47</v>
      </c>
      <c r="I135" s="1">
        <v>830</v>
      </c>
      <c r="J135" s="1">
        <v>39746</v>
      </c>
      <c r="K135" s="1">
        <v>1</v>
      </c>
      <c r="L135" s="1">
        <v>87</v>
      </c>
      <c r="M135" s="1">
        <v>2049</v>
      </c>
      <c r="N135" s="1" t="s">
        <v>48</v>
      </c>
      <c r="O135" s="1">
        <v>195309</v>
      </c>
      <c r="P135" s="1">
        <v>94</v>
      </c>
      <c r="Q135" s="1" t="s">
        <v>125</v>
      </c>
      <c r="R135" s="1" t="s">
        <v>50</v>
      </c>
      <c r="S135" s="1">
        <v>0</v>
      </c>
      <c r="T135" s="1">
        <v>0</v>
      </c>
      <c r="U135" s="1">
        <v>66.171999999999997</v>
      </c>
      <c r="V135" s="1">
        <v>21.103999999999999</v>
      </c>
      <c r="W135" s="1">
        <v>1.66</v>
      </c>
      <c r="X135" s="1">
        <v>4.3010000000000002</v>
      </c>
      <c r="Y135" s="1">
        <v>25.405000000000001</v>
      </c>
      <c r="Z135" s="1">
        <v>7.2999999999999995E-2</v>
      </c>
      <c r="AA135" s="1">
        <v>1.9</v>
      </c>
      <c r="AB135" s="1">
        <v>-0.5</v>
      </c>
      <c r="AC135" s="1">
        <v>-0.5</v>
      </c>
      <c r="AD135" s="1">
        <v>4.3010000000000002</v>
      </c>
      <c r="AE135" s="1">
        <v>1.0999999999999999E-2</v>
      </c>
      <c r="AF135" s="1">
        <v>4.8000000000000001E-2</v>
      </c>
      <c r="AG135" s="1">
        <v>1.9</v>
      </c>
      <c r="AI135" s="1">
        <v>0</v>
      </c>
      <c r="AJ135" s="1">
        <v>0</v>
      </c>
      <c r="AK135" s="1">
        <v>0</v>
      </c>
      <c r="AL135" s="1">
        <v>1</v>
      </c>
      <c r="AM135" s="1">
        <v>86400</v>
      </c>
      <c r="AN135" s="1">
        <v>80933</v>
      </c>
      <c r="AO135" s="1">
        <v>5467</v>
      </c>
      <c r="AP135" s="1">
        <v>50421</v>
      </c>
      <c r="AQ135" s="1">
        <v>2.0028434179116399</v>
      </c>
    </row>
    <row r="136" spans="1:43" x14ac:dyDescent="0.45">
      <c r="A136" s="1">
        <v>135</v>
      </c>
      <c r="B136" s="1">
        <v>128</v>
      </c>
      <c r="C136" s="1">
        <v>88</v>
      </c>
      <c r="D136" s="1" t="s">
        <v>115</v>
      </c>
      <c r="E136" s="1" t="s">
        <v>116</v>
      </c>
      <c r="F136" s="1" t="s">
        <v>117</v>
      </c>
      <c r="G136" s="1" t="s">
        <v>54</v>
      </c>
      <c r="H136" s="1" t="s">
        <v>47</v>
      </c>
      <c r="I136" s="1">
        <v>830</v>
      </c>
      <c r="J136" s="1">
        <v>39746</v>
      </c>
      <c r="K136" s="1">
        <v>1</v>
      </c>
      <c r="L136" s="1">
        <v>87</v>
      </c>
      <c r="M136" s="1">
        <v>2054</v>
      </c>
      <c r="N136" s="1" t="s">
        <v>48</v>
      </c>
      <c r="O136" s="1">
        <v>195314</v>
      </c>
      <c r="P136" s="1">
        <v>94</v>
      </c>
      <c r="Q136" s="1" t="s">
        <v>125</v>
      </c>
      <c r="R136" s="1" t="s">
        <v>50</v>
      </c>
      <c r="S136" s="1">
        <v>0</v>
      </c>
      <c r="T136" s="1">
        <v>0</v>
      </c>
      <c r="U136" s="1">
        <v>54.076000000000001</v>
      </c>
      <c r="V136" s="1">
        <v>21.242999999999999</v>
      </c>
      <c r="W136" s="1">
        <v>1.66</v>
      </c>
      <c r="X136" s="1">
        <v>4.1630000000000003</v>
      </c>
      <c r="Y136" s="1">
        <v>25.407</v>
      </c>
      <c r="Z136" s="1">
        <v>0.11700000000000001</v>
      </c>
      <c r="AA136" s="1">
        <v>1.9</v>
      </c>
      <c r="AB136" s="1">
        <v>-0.9</v>
      </c>
      <c r="AC136" s="1">
        <v>-0.9</v>
      </c>
      <c r="AD136" s="1">
        <v>4.1619999999999999</v>
      </c>
      <c r="AE136" s="1">
        <v>7.0999999999999994E-2</v>
      </c>
      <c r="AF136" s="1">
        <v>0.29599999999999999</v>
      </c>
      <c r="AG136" s="1">
        <v>1.9</v>
      </c>
      <c r="AI136" s="1">
        <v>0</v>
      </c>
      <c r="AJ136" s="1">
        <v>0</v>
      </c>
      <c r="AK136" s="1">
        <v>0</v>
      </c>
      <c r="AL136" s="1">
        <v>1</v>
      </c>
      <c r="AM136" s="1">
        <v>78945</v>
      </c>
      <c r="AN136" s="1">
        <v>40689</v>
      </c>
      <c r="AO136" s="1">
        <v>38250</v>
      </c>
      <c r="AP136" s="1">
        <v>50422</v>
      </c>
      <c r="AQ136" s="1">
        <v>2.475593700290871</v>
      </c>
    </row>
    <row r="137" spans="1:43" x14ac:dyDescent="0.45">
      <c r="A137" s="1">
        <v>136</v>
      </c>
      <c r="B137" s="1">
        <v>128</v>
      </c>
      <c r="C137" s="1">
        <v>88</v>
      </c>
      <c r="D137" s="1" t="s">
        <v>115</v>
      </c>
      <c r="E137" s="1" t="s">
        <v>116</v>
      </c>
      <c r="F137" s="1" t="s">
        <v>117</v>
      </c>
      <c r="G137" s="1" t="s">
        <v>54</v>
      </c>
      <c r="H137" s="1" t="s">
        <v>47</v>
      </c>
      <c r="I137" s="1">
        <v>830</v>
      </c>
      <c r="J137" s="1">
        <v>39746</v>
      </c>
      <c r="K137" s="1">
        <v>1</v>
      </c>
      <c r="L137" s="1">
        <v>87</v>
      </c>
      <c r="M137" s="1">
        <v>2055</v>
      </c>
      <c r="N137" s="1" t="s">
        <v>48</v>
      </c>
      <c r="O137" s="1">
        <v>195315</v>
      </c>
      <c r="P137" s="1">
        <v>94</v>
      </c>
      <c r="Q137" s="1" t="s">
        <v>125</v>
      </c>
      <c r="R137" s="1" t="s">
        <v>50</v>
      </c>
      <c r="S137" s="1">
        <v>0</v>
      </c>
      <c r="T137" s="1">
        <v>0</v>
      </c>
      <c r="U137" s="1">
        <v>96.864000000000004</v>
      </c>
      <c r="V137" s="1">
        <v>23.88</v>
      </c>
      <c r="W137" s="1">
        <v>1.25</v>
      </c>
      <c r="X137" s="1">
        <v>1.524</v>
      </c>
      <c r="Y137" s="1">
        <v>25.404</v>
      </c>
      <c r="Z137" s="1">
        <v>0.24199999999999999</v>
      </c>
      <c r="AA137" s="1">
        <v>2.8</v>
      </c>
      <c r="AB137" s="1">
        <v>-1.7</v>
      </c>
      <c r="AC137" s="1">
        <v>-1.7</v>
      </c>
      <c r="AD137" s="1">
        <v>1.524</v>
      </c>
      <c r="AE137" s="1">
        <v>0.13500000000000001</v>
      </c>
      <c r="AF137" s="1">
        <v>0.20699999999999999</v>
      </c>
      <c r="AI137" s="1">
        <v>0</v>
      </c>
      <c r="AJ137" s="1">
        <v>0</v>
      </c>
      <c r="AK137" s="1">
        <v>0</v>
      </c>
      <c r="AL137" s="1">
        <v>1</v>
      </c>
      <c r="AM137" s="1">
        <v>61853</v>
      </c>
      <c r="AN137" s="1">
        <v>14649</v>
      </c>
      <c r="AO137" s="1">
        <v>47204</v>
      </c>
      <c r="AP137" s="1">
        <v>50452</v>
      </c>
      <c r="AQ137" s="1">
        <v>12.865381977203279</v>
      </c>
    </row>
    <row r="138" spans="1:43" x14ac:dyDescent="0.45">
      <c r="A138" s="1">
        <v>137</v>
      </c>
      <c r="B138" s="1">
        <v>128</v>
      </c>
      <c r="C138" s="1">
        <v>88</v>
      </c>
      <c r="D138" s="1" t="s">
        <v>115</v>
      </c>
      <c r="E138" s="1" t="s">
        <v>116</v>
      </c>
      <c r="F138" s="1" t="s">
        <v>117</v>
      </c>
      <c r="G138" s="1" t="s">
        <v>54</v>
      </c>
      <c r="H138" s="1" t="s">
        <v>47</v>
      </c>
      <c r="I138" s="1">
        <v>830</v>
      </c>
      <c r="J138" s="1">
        <v>39746</v>
      </c>
      <c r="K138" s="1">
        <v>1</v>
      </c>
      <c r="L138" s="1">
        <v>87</v>
      </c>
      <c r="M138" s="1">
        <v>2056</v>
      </c>
      <c r="N138" s="1" t="s">
        <v>48</v>
      </c>
      <c r="O138" s="1">
        <v>195316</v>
      </c>
      <c r="P138" s="1">
        <v>94</v>
      </c>
      <c r="Q138" s="1" t="s">
        <v>125</v>
      </c>
      <c r="R138" s="1" t="s">
        <v>50</v>
      </c>
      <c r="S138" s="1">
        <v>0</v>
      </c>
      <c r="T138" s="1">
        <v>0</v>
      </c>
      <c r="U138" s="1">
        <v>75.606999999999999</v>
      </c>
      <c r="V138" s="1">
        <v>22.675999999999998</v>
      </c>
      <c r="W138" s="1">
        <v>1.44</v>
      </c>
      <c r="X138" s="1">
        <v>2.7290000000000001</v>
      </c>
      <c r="Y138" s="1">
        <v>25.405000000000001</v>
      </c>
      <c r="Z138" s="1">
        <v>0.32500000000000001</v>
      </c>
      <c r="AA138" s="1">
        <v>2.7</v>
      </c>
      <c r="AB138" s="1">
        <v>-1.4</v>
      </c>
      <c r="AC138" s="1">
        <v>-1.4</v>
      </c>
      <c r="AD138" s="1">
        <v>2.7280000000000002</v>
      </c>
      <c r="AE138" s="1">
        <v>9.4E-2</v>
      </c>
      <c r="AF138" s="1">
        <v>0.25600000000000001</v>
      </c>
      <c r="AI138" s="1">
        <v>0</v>
      </c>
      <c r="AJ138" s="1">
        <v>0</v>
      </c>
      <c r="AK138" s="1">
        <v>0</v>
      </c>
      <c r="AL138" s="1">
        <v>1</v>
      </c>
      <c r="AM138" s="1">
        <v>69513</v>
      </c>
      <c r="AN138" s="1">
        <v>24589</v>
      </c>
      <c r="AO138" s="1">
        <v>44923</v>
      </c>
      <c r="AP138" s="1">
        <v>50434</v>
      </c>
      <c r="AQ138" s="1">
        <v>10.23284716234854</v>
      </c>
    </row>
    <row r="139" spans="1:43" x14ac:dyDescent="0.45">
      <c r="A139" s="1">
        <v>138</v>
      </c>
      <c r="B139" s="1">
        <v>128</v>
      </c>
      <c r="C139" s="1">
        <v>88</v>
      </c>
      <c r="D139" s="1" t="s">
        <v>115</v>
      </c>
      <c r="E139" s="1" t="s">
        <v>116</v>
      </c>
      <c r="F139" s="1" t="s">
        <v>117</v>
      </c>
      <c r="G139" s="1" t="s">
        <v>54</v>
      </c>
      <c r="H139" s="1" t="s">
        <v>47</v>
      </c>
      <c r="I139" s="1">
        <v>830</v>
      </c>
      <c r="J139" s="1">
        <v>39746</v>
      </c>
      <c r="K139" s="1">
        <v>1</v>
      </c>
      <c r="L139" s="1">
        <v>87</v>
      </c>
      <c r="M139" s="1">
        <v>2064</v>
      </c>
      <c r="N139" s="1" t="s">
        <v>48</v>
      </c>
      <c r="O139" s="1">
        <v>195324</v>
      </c>
      <c r="P139" s="1">
        <v>94</v>
      </c>
      <c r="Q139" s="1" t="s">
        <v>125</v>
      </c>
      <c r="R139" s="1" t="s">
        <v>50</v>
      </c>
      <c r="S139" s="1">
        <v>0</v>
      </c>
      <c r="T139" s="1">
        <v>0</v>
      </c>
      <c r="U139" s="1">
        <v>52.463000000000001</v>
      </c>
      <c r="V139" s="1">
        <v>25.091999999999999</v>
      </c>
      <c r="W139" s="1">
        <v>0.55000000000000004</v>
      </c>
      <c r="X139" s="1">
        <v>0.31</v>
      </c>
      <c r="Y139" s="1">
        <v>25.401</v>
      </c>
      <c r="Z139" s="1">
        <v>0.22</v>
      </c>
      <c r="AA139" s="1">
        <v>3.1</v>
      </c>
      <c r="AB139" s="1">
        <v>-1.3</v>
      </c>
      <c r="AC139" s="1">
        <v>-1.3</v>
      </c>
      <c r="AD139" s="1">
        <v>0.31</v>
      </c>
      <c r="AE139" s="1">
        <v>0.17599999999999999</v>
      </c>
      <c r="AF139" s="1">
        <v>5.5E-2</v>
      </c>
      <c r="AI139" s="1">
        <v>0</v>
      </c>
      <c r="AJ139" s="1">
        <v>0</v>
      </c>
      <c r="AK139" s="1">
        <v>0</v>
      </c>
      <c r="AL139" s="1">
        <v>1</v>
      </c>
      <c r="AM139" s="1">
        <v>54084</v>
      </c>
      <c r="AN139" s="1">
        <v>4385</v>
      </c>
      <c r="AO139" s="1">
        <v>49699</v>
      </c>
      <c r="AP139" s="1">
        <v>50410</v>
      </c>
      <c r="AQ139" s="1">
        <v>1.7206750990600941</v>
      </c>
    </row>
    <row r="140" spans="1:43" x14ac:dyDescent="0.45">
      <c r="A140" s="1">
        <v>139</v>
      </c>
      <c r="B140" s="1">
        <v>128</v>
      </c>
      <c r="C140" s="1">
        <v>88</v>
      </c>
      <c r="D140" s="1" t="s">
        <v>115</v>
      </c>
      <c r="E140" s="1" t="s">
        <v>116</v>
      </c>
      <c r="F140" s="1" t="s">
        <v>117</v>
      </c>
      <c r="G140" s="1" t="s">
        <v>54</v>
      </c>
      <c r="H140" s="1" t="s">
        <v>47</v>
      </c>
      <c r="I140" s="1">
        <v>830</v>
      </c>
      <c r="J140" s="1">
        <v>39746</v>
      </c>
      <c r="K140" s="1">
        <v>1</v>
      </c>
      <c r="L140" s="1">
        <v>87</v>
      </c>
      <c r="M140" s="1">
        <v>2065</v>
      </c>
      <c r="N140" s="1" t="s">
        <v>48</v>
      </c>
      <c r="O140" s="1">
        <v>195325</v>
      </c>
      <c r="P140" s="1">
        <v>94</v>
      </c>
      <c r="Q140" s="1" t="s">
        <v>125</v>
      </c>
      <c r="R140" s="1" t="s">
        <v>50</v>
      </c>
      <c r="S140" s="1">
        <v>0</v>
      </c>
      <c r="T140" s="1">
        <v>0</v>
      </c>
      <c r="U140" s="1">
        <v>69.257000000000005</v>
      </c>
      <c r="V140" s="1">
        <v>25.234000000000002</v>
      </c>
      <c r="W140" s="1">
        <v>0.53</v>
      </c>
      <c r="X140" s="1">
        <v>0.16400000000000001</v>
      </c>
      <c r="Y140" s="1">
        <v>25.398</v>
      </c>
      <c r="Z140" s="1">
        <v>0.248</v>
      </c>
      <c r="AA140" s="1">
        <v>-2.6</v>
      </c>
      <c r="AB140" s="1">
        <v>-1.3</v>
      </c>
      <c r="AC140" s="1">
        <v>-1.3</v>
      </c>
      <c r="AD140" s="1">
        <v>0.16400000000000001</v>
      </c>
      <c r="AE140" s="1">
        <v>0.20599999999999999</v>
      </c>
      <c r="AF140" s="1">
        <v>3.4000000000000002E-2</v>
      </c>
      <c r="AI140" s="1">
        <v>0</v>
      </c>
      <c r="AJ140" s="1">
        <v>0</v>
      </c>
      <c r="AK140" s="1">
        <v>0</v>
      </c>
      <c r="AL140" s="1">
        <v>1</v>
      </c>
      <c r="AM140" s="1">
        <v>51816</v>
      </c>
      <c r="AN140" s="1">
        <v>1802</v>
      </c>
      <c r="AO140" s="1">
        <v>50014</v>
      </c>
      <c r="AP140" s="1">
        <v>50418</v>
      </c>
      <c r="AQ140" s="1">
        <v>16.41623868931535</v>
      </c>
    </row>
    <row r="141" spans="1:43" x14ac:dyDescent="0.45">
      <c r="A141" s="1">
        <v>140</v>
      </c>
      <c r="B141" s="1">
        <v>128</v>
      </c>
      <c r="C141" s="1">
        <v>88</v>
      </c>
      <c r="D141" s="1" t="s">
        <v>115</v>
      </c>
      <c r="E141" s="1" t="s">
        <v>116</v>
      </c>
      <c r="F141" s="1" t="s">
        <v>117</v>
      </c>
      <c r="G141" s="1" t="s">
        <v>54</v>
      </c>
      <c r="H141" s="1" t="s">
        <v>47</v>
      </c>
      <c r="I141" s="1">
        <v>830</v>
      </c>
      <c r="J141" s="1">
        <v>39746</v>
      </c>
      <c r="K141" s="1">
        <v>1</v>
      </c>
      <c r="L141" s="1">
        <v>87</v>
      </c>
      <c r="M141" s="1">
        <v>2068</v>
      </c>
      <c r="N141" s="1" t="s">
        <v>48</v>
      </c>
      <c r="O141" s="1">
        <v>195328</v>
      </c>
      <c r="P141" s="1">
        <v>94</v>
      </c>
      <c r="Q141" s="1" t="s">
        <v>125</v>
      </c>
      <c r="R141" s="1" t="s">
        <v>50</v>
      </c>
      <c r="S141" s="1">
        <v>0</v>
      </c>
      <c r="T141" s="1">
        <v>0</v>
      </c>
      <c r="U141" s="1">
        <v>137.88300000000001</v>
      </c>
      <c r="V141" s="1">
        <v>25.17</v>
      </c>
      <c r="W141" s="1">
        <v>0.55000000000000004</v>
      </c>
      <c r="X141" s="1">
        <v>0.23</v>
      </c>
      <c r="Y141" s="1">
        <v>25.399000000000001</v>
      </c>
      <c r="Z141" s="1">
        <v>0.50900000000000001</v>
      </c>
      <c r="AA141" s="1">
        <v>-0.8</v>
      </c>
      <c r="AB141" s="1">
        <v>-0.8</v>
      </c>
      <c r="AC141" s="1">
        <v>-0.8</v>
      </c>
      <c r="AD141" s="1">
        <v>0.23</v>
      </c>
      <c r="AE141" s="1">
        <v>0.50900000000000001</v>
      </c>
      <c r="AF141" s="1">
        <v>0.11700000000000001</v>
      </c>
      <c r="AG141" s="1">
        <v>-0.8</v>
      </c>
      <c r="AI141" s="1">
        <v>0</v>
      </c>
      <c r="AJ141" s="1">
        <v>0</v>
      </c>
      <c r="AK141" s="1">
        <v>0</v>
      </c>
      <c r="AL141" s="1">
        <v>1</v>
      </c>
      <c r="AM141" s="1">
        <v>52884</v>
      </c>
      <c r="AN141" s="1">
        <v>3022</v>
      </c>
      <c r="AO141" s="1">
        <v>49861</v>
      </c>
      <c r="AP141" s="1">
        <v>50424</v>
      </c>
      <c r="AQ141" s="1">
        <v>1.8390180991566989</v>
      </c>
    </row>
    <row r="142" spans="1:43" x14ac:dyDescent="0.45">
      <c r="A142" s="1">
        <v>141</v>
      </c>
      <c r="B142" s="1">
        <v>128</v>
      </c>
      <c r="C142" s="1">
        <v>88</v>
      </c>
      <c r="D142" s="1" t="s">
        <v>115</v>
      </c>
      <c r="E142" s="1" t="s">
        <v>116</v>
      </c>
      <c r="F142" s="1" t="s">
        <v>117</v>
      </c>
      <c r="G142" s="1" t="s">
        <v>54</v>
      </c>
      <c r="H142" s="1" t="s">
        <v>47</v>
      </c>
      <c r="I142" s="1">
        <v>830</v>
      </c>
      <c r="J142" s="1">
        <v>39746</v>
      </c>
      <c r="K142" s="1">
        <v>1</v>
      </c>
      <c r="L142" s="1">
        <v>87</v>
      </c>
      <c r="M142" s="1">
        <v>2074</v>
      </c>
      <c r="N142" s="1" t="s">
        <v>48</v>
      </c>
      <c r="O142" s="1">
        <v>195372</v>
      </c>
      <c r="P142" s="1">
        <v>94</v>
      </c>
      <c r="Q142" s="1" t="s">
        <v>125</v>
      </c>
      <c r="R142" s="1" t="s">
        <v>50</v>
      </c>
      <c r="S142" s="1">
        <v>0</v>
      </c>
      <c r="T142" s="1">
        <v>0</v>
      </c>
      <c r="U142" s="1">
        <v>335.548</v>
      </c>
      <c r="V142" s="1">
        <v>25.24</v>
      </c>
      <c r="W142" s="1">
        <v>0.53</v>
      </c>
      <c r="X142" s="1">
        <v>0.13100000000000001</v>
      </c>
      <c r="Y142" s="1">
        <v>25.370999999999999</v>
      </c>
      <c r="Z142" s="1">
        <v>0.43099999999999999</v>
      </c>
      <c r="AA142" s="1">
        <v>-1.1000000000000001</v>
      </c>
      <c r="AB142" s="1">
        <v>-1.1000000000000001</v>
      </c>
      <c r="AC142" s="1">
        <v>-1.1000000000000001</v>
      </c>
      <c r="AD142" s="1">
        <v>0.13100000000000001</v>
      </c>
      <c r="AE142" s="1">
        <v>0.43099999999999999</v>
      </c>
      <c r="AF142" s="1">
        <v>5.6000000000000001E-2</v>
      </c>
      <c r="AG142" s="1">
        <v>-1.1000000000000001</v>
      </c>
      <c r="AI142" s="1">
        <v>0</v>
      </c>
      <c r="AJ142" s="1">
        <v>0</v>
      </c>
      <c r="AK142" s="1">
        <v>0</v>
      </c>
      <c r="AL142" s="1">
        <v>1</v>
      </c>
      <c r="AM142" s="1">
        <v>51640</v>
      </c>
      <c r="AN142" s="1">
        <v>1594</v>
      </c>
      <c r="AO142" s="1">
        <v>50046</v>
      </c>
      <c r="AP142" s="1">
        <v>50429</v>
      </c>
      <c r="AQ142" s="1">
        <v>0.85005359735964148</v>
      </c>
    </row>
    <row r="143" spans="1:43" x14ac:dyDescent="0.45">
      <c r="A143" s="1">
        <v>142</v>
      </c>
      <c r="B143" s="1">
        <v>142</v>
      </c>
      <c r="C143" s="1">
        <v>78</v>
      </c>
      <c r="D143" s="1" t="s">
        <v>67</v>
      </c>
      <c r="E143" s="1" t="s">
        <v>68</v>
      </c>
      <c r="F143" s="1" t="s">
        <v>69</v>
      </c>
      <c r="G143" s="1" t="s">
        <v>46</v>
      </c>
      <c r="H143" s="1" t="s">
        <v>47</v>
      </c>
      <c r="I143" s="1">
        <v>1163</v>
      </c>
      <c r="J143" s="1">
        <v>33073</v>
      </c>
      <c r="K143" s="1">
        <v>1</v>
      </c>
      <c r="L143" s="1">
        <v>77</v>
      </c>
      <c r="M143" s="1">
        <v>1948</v>
      </c>
      <c r="N143" s="1" t="s">
        <v>48</v>
      </c>
      <c r="O143" s="1">
        <v>194275</v>
      </c>
      <c r="P143" s="1">
        <v>94</v>
      </c>
      <c r="Q143" s="1" t="s">
        <v>125</v>
      </c>
      <c r="R143" s="1" t="s">
        <v>50</v>
      </c>
      <c r="S143" s="1">
        <v>0</v>
      </c>
      <c r="T143" s="1">
        <v>0</v>
      </c>
      <c r="U143" s="1">
        <v>87.491</v>
      </c>
      <c r="V143" s="1">
        <v>25.385000000000002</v>
      </c>
      <c r="W143" s="1">
        <v>0.52</v>
      </c>
      <c r="X143" s="1">
        <v>0.152</v>
      </c>
      <c r="Y143" s="1">
        <v>25.536999999999999</v>
      </c>
      <c r="Z143" s="1">
        <v>6.6000000000000003E-2</v>
      </c>
      <c r="AA143" s="1">
        <v>2.2000000000000002</v>
      </c>
      <c r="AB143" s="1">
        <v>1.7</v>
      </c>
      <c r="AC143" s="1">
        <v>1.7</v>
      </c>
      <c r="AD143" s="1">
        <v>0.152</v>
      </c>
      <c r="AE143" s="1">
        <v>4.9000000000000002E-2</v>
      </c>
      <c r="AF143" s="1">
        <v>7.0000000000000001E-3</v>
      </c>
      <c r="AI143" s="1">
        <v>0</v>
      </c>
      <c r="AJ143" s="1">
        <v>0</v>
      </c>
      <c r="AK143" s="1">
        <v>0</v>
      </c>
      <c r="AL143" s="1">
        <v>1</v>
      </c>
      <c r="AM143" s="1">
        <v>51172</v>
      </c>
      <c r="AN143" s="1">
        <v>5297</v>
      </c>
      <c r="AO143" s="1">
        <v>45875</v>
      </c>
      <c r="AP143" s="1">
        <v>49588</v>
      </c>
      <c r="AQ143" s="1">
        <v>1.836567749218486</v>
      </c>
    </row>
    <row r="144" spans="1:43" x14ac:dyDescent="0.45">
      <c r="A144" s="1">
        <v>143</v>
      </c>
      <c r="B144" s="1">
        <v>142</v>
      </c>
      <c r="C144" s="1">
        <v>78</v>
      </c>
      <c r="D144" s="1" t="s">
        <v>67</v>
      </c>
      <c r="E144" s="1" t="s">
        <v>68</v>
      </c>
      <c r="F144" s="1" t="s">
        <v>69</v>
      </c>
      <c r="G144" s="1" t="s">
        <v>46</v>
      </c>
      <c r="H144" s="1" t="s">
        <v>47</v>
      </c>
      <c r="I144" s="1">
        <v>1163</v>
      </c>
      <c r="J144" s="1">
        <v>33073</v>
      </c>
      <c r="K144" s="1">
        <v>1</v>
      </c>
      <c r="L144" s="1">
        <v>77</v>
      </c>
      <c r="M144" s="1">
        <v>1951</v>
      </c>
      <c r="N144" s="1" t="s">
        <v>48</v>
      </c>
      <c r="O144" s="1">
        <v>194312</v>
      </c>
      <c r="P144" s="1">
        <v>94</v>
      </c>
      <c r="Q144" s="1" t="s">
        <v>125</v>
      </c>
      <c r="R144" s="1" t="s">
        <v>50</v>
      </c>
      <c r="S144" s="1">
        <v>0</v>
      </c>
      <c r="T144" s="1">
        <v>0</v>
      </c>
      <c r="U144" s="1">
        <v>570.83799999999997</v>
      </c>
      <c r="V144" s="1">
        <v>25.484000000000002</v>
      </c>
      <c r="W144" s="1">
        <v>0.56000000000000005</v>
      </c>
      <c r="X144" s="1">
        <v>0.34</v>
      </c>
      <c r="Y144" s="1">
        <v>25.824000000000002</v>
      </c>
      <c r="Z144" s="1">
        <v>0.113</v>
      </c>
      <c r="AA144" s="1">
        <v>-1.6</v>
      </c>
      <c r="AB144" s="1">
        <v>-1.6</v>
      </c>
      <c r="AC144" s="1">
        <v>-1.6</v>
      </c>
      <c r="AD144" s="1">
        <v>0.34</v>
      </c>
      <c r="AE144" s="1">
        <v>0.113</v>
      </c>
      <c r="AF144" s="1">
        <v>3.9E-2</v>
      </c>
      <c r="AG144" s="1">
        <v>-1.6</v>
      </c>
      <c r="AI144" s="1">
        <v>0</v>
      </c>
      <c r="AJ144" s="1">
        <v>0</v>
      </c>
      <c r="AK144" s="1">
        <v>0</v>
      </c>
      <c r="AL144" s="1">
        <v>1</v>
      </c>
      <c r="AM144" s="1">
        <v>86400</v>
      </c>
      <c r="AN144" s="1">
        <v>79672</v>
      </c>
      <c r="AO144" s="1">
        <v>6728</v>
      </c>
      <c r="AP144" s="1">
        <v>47058</v>
      </c>
      <c r="AQ144" s="1">
        <v>1.131743174433216</v>
      </c>
    </row>
    <row r="145" spans="1:43" x14ac:dyDescent="0.45">
      <c r="A145" s="1">
        <v>144</v>
      </c>
      <c r="B145" s="1">
        <v>142</v>
      </c>
      <c r="C145" s="1">
        <v>78</v>
      </c>
      <c r="D145" s="1" t="s">
        <v>67</v>
      </c>
      <c r="E145" s="1" t="s">
        <v>68</v>
      </c>
      <c r="F145" s="1" t="s">
        <v>69</v>
      </c>
      <c r="G145" s="1" t="s">
        <v>46</v>
      </c>
      <c r="H145" s="1" t="s">
        <v>47</v>
      </c>
      <c r="I145" s="1">
        <v>1163</v>
      </c>
      <c r="J145" s="1">
        <v>33073</v>
      </c>
      <c r="K145" s="1">
        <v>1</v>
      </c>
      <c r="L145" s="1">
        <v>77</v>
      </c>
      <c r="M145" s="1">
        <v>1952</v>
      </c>
      <c r="N145" s="1" t="s">
        <v>48</v>
      </c>
      <c r="O145" s="1">
        <v>194313</v>
      </c>
      <c r="P145" s="1">
        <v>94</v>
      </c>
      <c r="Q145" s="1" t="s">
        <v>125</v>
      </c>
      <c r="R145" s="1" t="s">
        <v>50</v>
      </c>
      <c r="S145" s="1">
        <v>0</v>
      </c>
      <c r="T145" s="1">
        <v>0</v>
      </c>
      <c r="U145" s="1">
        <v>403.28300000000002</v>
      </c>
      <c r="V145" s="1">
        <v>25.466999999999999</v>
      </c>
      <c r="W145" s="1">
        <v>0.56000000000000005</v>
      </c>
      <c r="X145" s="1">
        <v>0.35599999999999998</v>
      </c>
      <c r="Y145" s="1">
        <v>25.824000000000002</v>
      </c>
      <c r="Z145" s="1">
        <v>0.109</v>
      </c>
      <c r="AA145" s="1">
        <v>-1.7</v>
      </c>
      <c r="AB145" s="1">
        <v>-1.6</v>
      </c>
      <c r="AC145" s="1">
        <v>-1.6</v>
      </c>
      <c r="AD145" s="1">
        <v>0.35599999999999998</v>
      </c>
      <c r="AE145" s="1">
        <v>0.1</v>
      </c>
      <c r="AF145" s="1">
        <v>3.7999999999999999E-2</v>
      </c>
      <c r="AG145" s="1">
        <v>-1.7</v>
      </c>
      <c r="AI145" s="1">
        <v>0</v>
      </c>
      <c r="AJ145" s="1">
        <v>0</v>
      </c>
      <c r="AK145" s="1">
        <v>0</v>
      </c>
      <c r="AL145" s="1">
        <v>1</v>
      </c>
      <c r="AM145" s="1">
        <v>86400</v>
      </c>
      <c r="AN145" s="1">
        <v>80561</v>
      </c>
      <c r="AO145" s="1">
        <v>5839</v>
      </c>
      <c r="AP145" s="1">
        <v>47050</v>
      </c>
      <c r="AQ145" s="1">
        <v>27.22208285825711</v>
      </c>
    </row>
    <row r="146" spans="1:43" x14ac:dyDescent="0.45">
      <c r="A146" s="1">
        <v>145</v>
      </c>
      <c r="B146" s="1">
        <v>142</v>
      </c>
      <c r="C146" s="1">
        <v>78</v>
      </c>
      <c r="D146" s="1" t="s">
        <v>67</v>
      </c>
      <c r="E146" s="1" t="s">
        <v>68</v>
      </c>
      <c r="F146" s="1" t="s">
        <v>69</v>
      </c>
      <c r="G146" s="1" t="s">
        <v>46</v>
      </c>
      <c r="H146" s="1" t="s">
        <v>47</v>
      </c>
      <c r="I146" s="1">
        <v>1163</v>
      </c>
      <c r="J146" s="1">
        <v>33073</v>
      </c>
      <c r="K146" s="1">
        <v>1</v>
      </c>
      <c r="L146" s="1">
        <v>77</v>
      </c>
      <c r="M146" s="1">
        <v>1953</v>
      </c>
      <c r="N146" s="1" t="s">
        <v>48</v>
      </c>
      <c r="O146" s="1">
        <v>194321</v>
      </c>
      <c r="P146" s="1">
        <v>94</v>
      </c>
      <c r="Q146" s="1" t="s">
        <v>125</v>
      </c>
      <c r="R146" s="1" t="s">
        <v>50</v>
      </c>
      <c r="S146" s="1">
        <v>0</v>
      </c>
      <c r="T146" s="1">
        <v>0</v>
      </c>
      <c r="U146" s="1">
        <v>430.35700000000003</v>
      </c>
      <c r="V146" s="1">
        <v>25.529</v>
      </c>
      <c r="W146" s="1">
        <v>0.55000000000000004</v>
      </c>
      <c r="X146" s="1">
        <v>0.28299999999999997</v>
      </c>
      <c r="Y146" s="1">
        <v>25.812000000000001</v>
      </c>
      <c r="Z146" s="1">
        <v>0.14299999999999999</v>
      </c>
      <c r="AA146" s="1">
        <v>-0.8</v>
      </c>
      <c r="AB146" s="1">
        <v>-0.8</v>
      </c>
      <c r="AC146" s="1">
        <v>-0.8</v>
      </c>
      <c r="AD146" s="1">
        <v>0.28299999999999997</v>
      </c>
      <c r="AE146" s="1">
        <v>0.14299999999999999</v>
      </c>
      <c r="AF146" s="1">
        <v>0.04</v>
      </c>
      <c r="AG146" s="1">
        <v>-0.8</v>
      </c>
      <c r="AI146" s="1">
        <v>0</v>
      </c>
      <c r="AJ146" s="1">
        <v>0</v>
      </c>
      <c r="AK146" s="1">
        <v>0</v>
      </c>
      <c r="AL146" s="1">
        <v>1</v>
      </c>
      <c r="AM146" s="1">
        <v>86400</v>
      </c>
      <c r="AN146" s="1">
        <v>79053</v>
      </c>
      <c r="AO146" s="1">
        <v>7347</v>
      </c>
      <c r="AP146" s="1">
        <v>46817</v>
      </c>
      <c r="AQ146" s="1">
        <v>0.81082726490215773</v>
      </c>
    </row>
    <row r="147" spans="1:43" x14ac:dyDescent="0.45">
      <c r="A147" s="1">
        <v>146</v>
      </c>
      <c r="B147" s="1">
        <v>142</v>
      </c>
      <c r="C147" s="1">
        <v>78</v>
      </c>
      <c r="D147" s="1" t="s">
        <v>67</v>
      </c>
      <c r="E147" s="1" t="s">
        <v>68</v>
      </c>
      <c r="F147" s="1" t="s">
        <v>69</v>
      </c>
      <c r="G147" s="1" t="s">
        <v>46</v>
      </c>
      <c r="H147" s="1" t="s">
        <v>47</v>
      </c>
      <c r="I147" s="1">
        <v>1163</v>
      </c>
      <c r="J147" s="1">
        <v>33073</v>
      </c>
      <c r="K147" s="1">
        <v>1</v>
      </c>
      <c r="L147" s="1">
        <v>77</v>
      </c>
      <c r="M147" s="1">
        <v>1954</v>
      </c>
      <c r="N147" s="1" t="s">
        <v>48</v>
      </c>
      <c r="O147" s="1">
        <v>194325</v>
      </c>
      <c r="P147" s="1">
        <v>94</v>
      </c>
      <c r="Q147" s="1" t="s">
        <v>125</v>
      </c>
      <c r="R147" s="1" t="s">
        <v>50</v>
      </c>
      <c r="S147" s="1">
        <v>0</v>
      </c>
      <c r="T147" s="1">
        <v>0</v>
      </c>
      <c r="U147" s="1">
        <v>137.80099999999999</v>
      </c>
      <c r="V147" s="1">
        <v>25.645</v>
      </c>
      <c r="W147" s="1">
        <v>0.53</v>
      </c>
      <c r="X147" s="1">
        <v>0.16600000000000001</v>
      </c>
      <c r="Y147" s="1">
        <v>25.811</v>
      </c>
      <c r="Z147" s="1">
        <v>0.245</v>
      </c>
      <c r="AA147" s="1">
        <v>-0.5</v>
      </c>
      <c r="AB147" s="1">
        <v>-0.4</v>
      </c>
      <c r="AC147" s="1">
        <v>-0.4</v>
      </c>
      <c r="AD147" s="1">
        <v>0.16600000000000001</v>
      </c>
      <c r="AE147" s="1">
        <v>0.24099999999999999</v>
      </c>
      <c r="AF147" s="1">
        <v>0.04</v>
      </c>
      <c r="AG147" s="1">
        <v>-0.5</v>
      </c>
      <c r="AI147" s="1">
        <v>0</v>
      </c>
      <c r="AJ147" s="1">
        <v>0</v>
      </c>
      <c r="AK147" s="1">
        <v>0</v>
      </c>
      <c r="AL147" s="1">
        <v>1</v>
      </c>
      <c r="AM147" s="1">
        <v>65369</v>
      </c>
      <c r="AN147" s="1">
        <v>36395</v>
      </c>
      <c r="AO147" s="1">
        <v>28974</v>
      </c>
      <c r="AP147" s="1">
        <v>46989</v>
      </c>
      <c r="AQ147" s="1">
        <v>0.71025518424474854</v>
      </c>
    </row>
    <row r="148" spans="1:43" x14ac:dyDescent="0.45">
      <c r="A148" s="1">
        <v>147</v>
      </c>
      <c r="B148" s="1">
        <v>142</v>
      </c>
      <c r="C148" s="1">
        <v>78</v>
      </c>
      <c r="D148" s="1" t="s">
        <v>67</v>
      </c>
      <c r="E148" s="1" t="s">
        <v>68</v>
      </c>
      <c r="F148" s="1" t="s">
        <v>69</v>
      </c>
      <c r="G148" s="1" t="s">
        <v>46</v>
      </c>
      <c r="H148" s="1" t="s">
        <v>47</v>
      </c>
      <c r="I148" s="1">
        <v>1163</v>
      </c>
      <c r="J148" s="1">
        <v>33073</v>
      </c>
      <c r="K148" s="1">
        <v>1</v>
      </c>
      <c r="L148" s="1">
        <v>77</v>
      </c>
      <c r="M148" s="1">
        <v>1955</v>
      </c>
      <c r="N148" s="1" t="s">
        <v>48</v>
      </c>
      <c r="O148" s="1">
        <v>194520</v>
      </c>
      <c r="P148" s="1">
        <v>94</v>
      </c>
      <c r="Q148" s="1" t="s">
        <v>125</v>
      </c>
      <c r="R148" s="1" t="s">
        <v>50</v>
      </c>
      <c r="S148" s="1">
        <v>0</v>
      </c>
      <c r="T148" s="1">
        <v>0</v>
      </c>
      <c r="U148" s="1">
        <v>414.14699999999999</v>
      </c>
      <c r="V148" s="1">
        <v>25.219000000000001</v>
      </c>
      <c r="W148" s="1">
        <v>0.55000000000000004</v>
      </c>
      <c r="X148" s="1">
        <v>0.313</v>
      </c>
      <c r="Y148" s="1">
        <v>25.532</v>
      </c>
      <c r="Z148" s="1">
        <v>0.16400000000000001</v>
      </c>
      <c r="AA148" s="1">
        <v>2.2000000000000002</v>
      </c>
      <c r="AB148" s="1">
        <v>1.9</v>
      </c>
      <c r="AC148" s="1">
        <v>1.9</v>
      </c>
      <c r="AD148" s="1">
        <v>0.313</v>
      </c>
      <c r="AE148" s="1">
        <v>0.10299999999999999</v>
      </c>
      <c r="AF148" s="1">
        <v>3.2000000000000001E-2</v>
      </c>
      <c r="AG148" s="1">
        <v>2.2000000000000002</v>
      </c>
      <c r="AI148" s="1">
        <v>0</v>
      </c>
      <c r="AJ148" s="1">
        <v>0</v>
      </c>
      <c r="AK148" s="1">
        <v>0</v>
      </c>
      <c r="AL148" s="1">
        <v>1</v>
      </c>
      <c r="AM148" s="1">
        <v>51775</v>
      </c>
      <c r="AN148" s="1">
        <v>8425</v>
      </c>
      <c r="AO148" s="1">
        <v>43350</v>
      </c>
      <c r="AP148" s="1">
        <v>49526</v>
      </c>
      <c r="AQ148" s="1">
        <v>1.3579774994867071</v>
      </c>
    </row>
    <row r="149" spans="1:43" x14ac:dyDescent="0.45">
      <c r="A149" s="1">
        <v>148</v>
      </c>
      <c r="B149" s="1">
        <v>142</v>
      </c>
      <c r="C149" s="1">
        <v>78</v>
      </c>
      <c r="D149" s="1" t="s">
        <v>67</v>
      </c>
      <c r="E149" s="1" t="s">
        <v>68</v>
      </c>
      <c r="F149" s="1" t="s">
        <v>69</v>
      </c>
      <c r="G149" s="1" t="s">
        <v>46</v>
      </c>
      <c r="H149" s="1" t="s">
        <v>47</v>
      </c>
      <c r="I149" s="1">
        <v>1163</v>
      </c>
      <c r="J149" s="1">
        <v>33073</v>
      </c>
      <c r="K149" s="1">
        <v>1</v>
      </c>
      <c r="L149" s="1">
        <v>77</v>
      </c>
      <c r="M149" s="1">
        <v>1956</v>
      </c>
      <c r="N149" s="1" t="s">
        <v>48</v>
      </c>
      <c r="O149" s="1">
        <v>194521</v>
      </c>
      <c r="P149" s="1">
        <v>94</v>
      </c>
      <c r="Q149" s="1" t="s">
        <v>125</v>
      </c>
      <c r="R149" s="1" t="s">
        <v>50</v>
      </c>
      <c r="S149" s="1">
        <v>0</v>
      </c>
      <c r="T149" s="1">
        <v>0</v>
      </c>
      <c r="U149" s="1">
        <v>220.93799999999999</v>
      </c>
      <c r="V149" s="1">
        <v>25.358000000000001</v>
      </c>
      <c r="W149" s="1">
        <v>0.53</v>
      </c>
      <c r="X149" s="1">
        <v>0.17799999999999999</v>
      </c>
      <c r="Y149" s="1">
        <v>25.536999999999999</v>
      </c>
      <c r="Z149" s="1">
        <v>0.15</v>
      </c>
      <c r="AA149" s="1">
        <v>2.4</v>
      </c>
      <c r="AB149" s="1">
        <v>2.2999999999999998</v>
      </c>
      <c r="AC149" s="1">
        <v>2.2999999999999998</v>
      </c>
      <c r="AD149" s="1">
        <v>0.17799999999999999</v>
      </c>
      <c r="AE149" s="1">
        <v>9.5000000000000001E-2</v>
      </c>
      <c r="AF149" s="1">
        <v>1.7000000000000001E-2</v>
      </c>
      <c r="AG149" s="1">
        <v>2.4</v>
      </c>
      <c r="AI149" s="1">
        <v>0</v>
      </c>
      <c r="AJ149" s="1">
        <v>0</v>
      </c>
      <c r="AK149" s="1">
        <v>0</v>
      </c>
      <c r="AL149" s="1">
        <v>1</v>
      </c>
      <c r="AM149" s="1">
        <v>51367</v>
      </c>
      <c r="AN149" s="1">
        <v>7997</v>
      </c>
      <c r="AO149" s="1">
        <v>43370</v>
      </c>
      <c r="AP149" s="1">
        <v>49538</v>
      </c>
      <c r="AQ149" s="1">
        <v>1.47174704749596</v>
      </c>
    </row>
    <row r="150" spans="1:43" x14ac:dyDescent="0.45">
      <c r="A150" s="1">
        <v>149</v>
      </c>
      <c r="B150" s="1">
        <v>142</v>
      </c>
      <c r="C150" s="1">
        <v>78</v>
      </c>
      <c r="D150" s="1" t="s">
        <v>67</v>
      </c>
      <c r="E150" s="1" t="s">
        <v>68</v>
      </c>
      <c r="F150" s="1" t="s">
        <v>69</v>
      </c>
      <c r="G150" s="1" t="s">
        <v>46</v>
      </c>
      <c r="H150" s="1" t="s">
        <v>47</v>
      </c>
      <c r="I150" s="1">
        <v>1163</v>
      </c>
      <c r="J150" s="1">
        <v>33073</v>
      </c>
      <c r="K150" s="1">
        <v>1</v>
      </c>
      <c r="L150" s="1">
        <v>77</v>
      </c>
      <c r="M150" s="1">
        <v>1957</v>
      </c>
      <c r="N150" s="1" t="s">
        <v>48</v>
      </c>
      <c r="O150" s="1">
        <v>194522</v>
      </c>
      <c r="P150" s="1">
        <v>94</v>
      </c>
      <c r="Q150" s="1" t="s">
        <v>125</v>
      </c>
      <c r="R150" s="1" t="s">
        <v>50</v>
      </c>
      <c r="S150" s="1">
        <v>0</v>
      </c>
      <c r="T150" s="1">
        <v>0</v>
      </c>
      <c r="U150" s="1">
        <v>257.673</v>
      </c>
      <c r="V150" s="1">
        <v>25.335000000000001</v>
      </c>
      <c r="W150" s="1">
        <v>0.53</v>
      </c>
      <c r="X150" s="1">
        <v>0.2</v>
      </c>
      <c r="Y150" s="1">
        <v>25.535</v>
      </c>
      <c r="Z150" s="1">
        <v>0.17499999999999999</v>
      </c>
      <c r="AA150" s="1">
        <v>1.9</v>
      </c>
      <c r="AB150" s="1">
        <v>1.8</v>
      </c>
      <c r="AC150" s="1">
        <v>1.8</v>
      </c>
      <c r="AD150" s="1">
        <v>0.2</v>
      </c>
      <c r="AE150" s="1">
        <v>0.11799999999999999</v>
      </c>
      <c r="AF150" s="1">
        <v>2.4E-2</v>
      </c>
      <c r="AG150" s="1">
        <v>1.9</v>
      </c>
      <c r="AI150" s="1">
        <v>0</v>
      </c>
      <c r="AJ150" s="1">
        <v>0</v>
      </c>
      <c r="AK150" s="1">
        <v>0</v>
      </c>
      <c r="AL150" s="1">
        <v>1</v>
      </c>
      <c r="AM150" s="1">
        <v>51402</v>
      </c>
      <c r="AN150" s="1">
        <v>8058</v>
      </c>
      <c r="AO150" s="1">
        <v>43345</v>
      </c>
      <c r="AP150" s="1">
        <v>49795</v>
      </c>
      <c r="AQ150" s="1">
        <v>22.689816183403011</v>
      </c>
    </row>
    <row r="151" spans="1:43" x14ac:dyDescent="0.45">
      <c r="A151" s="1">
        <v>150</v>
      </c>
      <c r="B151" s="1">
        <v>142</v>
      </c>
      <c r="C151" s="1">
        <v>78</v>
      </c>
      <c r="D151" s="1" t="s">
        <v>67</v>
      </c>
      <c r="E151" s="1" t="s">
        <v>68</v>
      </c>
      <c r="F151" s="1" t="s">
        <v>69</v>
      </c>
      <c r="G151" s="1" t="s">
        <v>46</v>
      </c>
      <c r="H151" s="1" t="s">
        <v>47</v>
      </c>
      <c r="I151" s="1">
        <v>1163</v>
      </c>
      <c r="J151" s="1">
        <v>33073</v>
      </c>
      <c r="K151" s="1">
        <v>1</v>
      </c>
      <c r="L151" s="1">
        <v>77</v>
      </c>
      <c r="M151" s="1">
        <v>1958</v>
      </c>
      <c r="N151" s="1" t="s">
        <v>48</v>
      </c>
      <c r="O151" s="1">
        <v>194524</v>
      </c>
      <c r="P151" s="1">
        <v>94</v>
      </c>
      <c r="Q151" s="1" t="s">
        <v>125</v>
      </c>
      <c r="R151" s="1" t="s">
        <v>50</v>
      </c>
      <c r="S151" s="1">
        <v>0</v>
      </c>
      <c r="T151" s="1">
        <v>0</v>
      </c>
      <c r="U151" s="1">
        <v>184.20400000000001</v>
      </c>
      <c r="V151" s="1">
        <v>25.36</v>
      </c>
      <c r="W151" s="1">
        <v>0.53</v>
      </c>
      <c r="X151" s="1">
        <v>0.17699999999999999</v>
      </c>
      <c r="Y151" s="1">
        <v>25.536999999999999</v>
      </c>
      <c r="Z151" s="1">
        <v>0.17199999999999999</v>
      </c>
      <c r="AA151" s="1">
        <v>1.4</v>
      </c>
      <c r="AB151" s="1">
        <v>1.4</v>
      </c>
      <c r="AC151" s="1">
        <v>1.4</v>
      </c>
      <c r="AD151" s="1">
        <v>0.17699999999999999</v>
      </c>
      <c r="AE151" s="1">
        <v>6.0999999999999999E-2</v>
      </c>
      <c r="AF151" s="1">
        <v>1.0999999999999999E-2</v>
      </c>
      <c r="AG151" s="1">
        <v>1.4</v>
      </c>
      <c r="AI151" s="1">
        <v>0</v>
      </c>
      <c r="AJ151" s="1">
        <v>0</v>
      </c>
      <c r="AK151" s="1">
        <v>0</v>
      </c>
      <c r="AL151" s="1">
        <v>1</v>
      </c>
      <c r="AM151" s="1">
        <v>51395</v>
      </c>
      <c r="AN151" s="1">
        <v>8068</v>
      </c>
      <c r="AO151" s="1">
        <v>43328</v>
      </c>
      <c r="AP151" s="1">
        <v>49796</v>
      </c>
      <c r="AQ151" s="1">
        <v>22.12004868858822</v>
      </c>
    </row>
    <row r="152" spans="1:43" x14ac:dyDescent="0.45">
      <c r="A152" s="1">
        <v>151</v>
      </c>
      <c r="B152" s="1">
        <v>142</v>
      </c>
      <c r="C152" s="1">
        <v>78</v>
      </c>
      <c r="D152" s="1" t="s">
        <v>67</v>
      </c>
      <c r="E152" s="1" t="s">
        <v>68</v>
      </c>
      <c r="F152" s="1" t="s">
        <v>69</v>
      </c>
      <c r="G152" s="1" t="s">
        <v>46</v>
      </c>
      <c r="H152" s="1" t="s">
        <v>47</v>
      </c>
      <c r="I152" s="1">
        <v>1163</v>
      </c>
      <c r="J152" s="1">
        <v>33073</v>
      </c>
      <c r="K152" s="1">
        <v>1</v>
      </c>
      <c r="L152" s="1">
        <v>77</v>
      </c>
      <c r="M152" s="1">
        <v>1964</v>
      </c>
      <c r="N152" s="1" t="s">
        <v>48</v>
      </c>
      <c r="O152" s="1">
        <v>194540</v>
      </c>
      <c r="P152" s="1">
        <v>94</v>
      </c>
      <c r="Q152" s="1" t="s">
        <v>125</v>
      </c>
      <c r="R152" s="1" t="s">
        <v>50</v>
      </c>
      <c r="S152" s="1">
        <v>0</v>
      </c>
      <c r="T152" s="1">
        <v>0</v>
      </c>
      <c r="U152" s="1">
        <v>880.29600000000005</v>
      </c>
      <c r="V152" s="1">
        <v>25.163</v>
      </c>
      <c r="W152" s="1">
        <v>0.56000000000000005</v>
      </c>
      <c r="X152" s="1">
        <v>0.36799999999999999</v>
      </c>
      <c r="Y152" s="1">
        <v>25.530999999999999</v>
      </c>
      <c r="Z152" s="1">
        <v>0.14299999999999999</v>
      </c>
      <c r="AA152" s="1">
        <v>0.4</v>
      </c>
      <c r="AB152" s="1">
        <v>0.5</v>
      </c>
      <c r="AC152" s="1">
        <v>0.5</v>
      </c>
      <c r="AD152" s="1">
        <v>0.36799999999999999</v>
      </c>
      <c r="AE152" s="1">
        <v>0.104</v>
      </c>
      <c r="AF152" s="1">
        <v>3.9E-2</v>
      </c>
      <c r="AG152" s="1">
        <v>0.4</v>
      </c>
      <c r="AI152" s="1">
        <v>0</v>
      </c>
      <c r="AJ152" s="1">
        <v>0</v>
      </c>
      <c r="AK152" s="1">
        <v>0</v>
      </c>
      <c r="AL152" s="1">
        <v>1</v>
      </c>
      <c r="AM152" s="1">
        <v>51913</v>
      </c>
      <c r="AN152" s="1">
        <v>8500</v>
      </c>
      <c r="AO152" s="1">
        <v>43414</v>
      </c>
      <c r="AP152" s="1">
        <v>49591</v>
      </c>
      <c r="AQ152" s="1">
        <v>0.30473785546464988</v>
      </c>
    </row>
    <row r="153" spans="1:43" x14ac:dyDescent="0.45">
      <c r="A153" s="1">
        <v>152</v>
      </c>
      <c r="B153" s="1">
        <v>142</v>
      </c>
      <c r="C153" s="1">
        <v>78</v>
      </c>
      <c r="D153" s="1" t="s">
        <v>67</v>
      </c>
      <c r="E153" s="1" t="s">
        <v>68</v>
      </c>
      <c r="F153" s="1" t="s">
        <v>69</v>
      </c>
      <c r="G153" s="1" t="s">
        <v>46</v>
      </c>
      <c r="H153" s="1" t="s">
        <v>47</v>
      </c>
      <c r="I153" s="1">
        <v>1163</v>
      </c>
      <c r="J153" s="1">
        <v>33073</v>
      </c>
      <c r="K153" s="1">
        <v>1</v>
      </c>
      <c r="L153" s="1">
        <v>77</v>
      </c>
      <c r="M153" s="1">
        <v>1965</v>
      </c>
      <c r="N153" s="1" t="s">
        <v>48</v>
      </c>
      <c r="O153" s="1">
        <v>194541</v>
      </c>
      <c r="P153" s="1">
        <v>94</v>
      </c>
      <c r="Q153" s="1" t="s">
        <v>125</v>
      </c>
      <c r="R153" s="1" t="s">
        <v>50</v>
      </c>
      <c r="S153" s="1">
        <v>0</v>
      </c>
      <c r="T153" s="1">
        <v>0</v>
      </c>
      <c r="U153" s="1">
        <v>444.91399999999999</v>
      </c>
      <c r="V153" s="1">
        <v>25.006</v>
      </c>
      <c r="W153" s="1">
        <v>0.57999999999999996</v>
      </c>
      <c r="X153" s="1">
        <v>0.52600000000000002</v>
      </c>
      <c r="Y153" s="1">
        <v>25.532</v>
      </c>
      <c r="Z153" s="1">
        <v>0.18099999999999999</v>
      </c>
      <c r="AA153" s="1">
        <v>0.7</v>
      </c>
      <c r="AB153" s="1">
        <v>0.1</v>
      </c>
      <c r="AC153" s="1">
        <v>0.1</v>
      </c>
      <c r="AD153" s="1">
        <v>0.52600000000000002</v>
      </c>
      <c r="AE153" s="1">
        <v>7.8E-2</v>
      </c>
      <c r="AF153" s="1">
        <v>4.1000000000000002E-2</v>
      </c>
      <c r="AG153" s="1">
        <v>0.7</v>
      </c>
      <c r="AI153" s="1">
        <v>0</v>
      </c>
      <c r="AJ153" s="1">
        <v>0</v>
      </c>
      <c r="AK153" s="1">
        <v>0</v>
      </c>
      <c r="AL153" s="1">
        <v>1</v>
      </c>
      <c r="AM153" s="1">
        <v>86400</v>
      </c>
      <c r="AN153" s="1">
        <v>78280</v>
      </c>
      <c r="AO153" s="1">
        <v>8120</v>
      </c>
      <c r="AP153" s="1">
        <v>49615</v>
      </c>
      <c r="AQ153" s="1">
        <v>26.147441836754549</v>
      </c>
    </row>
    <row r="154" spans="1:43" x14ac:dyDescent="0.45">
      <c r="A154" s="1">
        <v>153</v>
      </c>
      <c r="B154" s="1">
        <v>142</v>
      </c>
      <c r="C154" s="1">
        <v>78</v>
      </c>
      <c r="D154" s="1" t="s">
        <v>67</v>
      </c>
      <c r="E154" s="1" t="s">
        <v>68</v>
      </c>
      <c r="F154" s="1" t="s">
        <v>69</v>
      </c>
      <c r="G154" s="1" t="s">
        <v>46</v>
      </c>
      <c r="H154" s="1" t="s">
        <v>47</v>
      </c>
      <c r="I154" s="1">
        <v>1163</v>
      </c>
      <c r="J154" s="1">
        <v>33073</v>
      </c>
      <c r="K154" s="1">
        <v>1</v>
      </c>
      <c r="L154" s="1">
        <v>77</v>
      </c>
      <c r="M154" s="1">
        <v>1966</v>
      </c>
      <c r="N154" s="1" t="s">
        <v>48</v>
      </c>
      <c r="O154" s="1">
        <v>194543</v>
      </c>
      <c r="P154" s="1">
        <v>94</v>
      </c>
      <c r="Q154" s="1" t="s">
        <v>125</v>
      </c>
      <c r="R154" s="1" t="s">
        <v>50</v>
      </c>
      <c r="S154" s="1">
        <v>0</v>
      </c>
      <c r="T154" s="1">
        <v>0</v>
      </c>
      <c r="U154" s="1">
        <v>99.31</v>
      </c>
      <c r="V154" s="1">
        <v>24.934000000000001</v>
      </c>
      <c r="W154" s="1">
        <v>0.59</v>
      </c>
      <c r="X154" s="1">
        <v>0.59799999999999998</v>
      </c>
      <c r="Y154" s="1">
        <v>25.532</v>
      </c>
      <c r="Z154" s="1">
        <v>0.13</v>
      </c>
      <c r="AA154" s="1">
        <v>0.5</v>
      </c>
      <c r="AB154" s="1">
        <v>0.4</v>
      </c>
      <c r="AC154" s="1">
        <v>0.4</v>
      </c>
      <c r="AD154" s="1">
        <v>0.59799999999999998</v>
      </c>
      <c r="AE154" s="1">
        <v>4.9000000000000002E-2</v>
      </c>
      <c r="AF154" s="1">
        <v>3.9E-2</v>
      </c>
      <c r="AG154" s="1">
        <v>0.5</v>
      </c>
      <c r="AI154" s="1">
        <v>0</v>
      </c>
      <c r="AJ154" s="1">
        <v>0</v>
      </c>
      <c r="AK154" s="1">
        <v>0</v>
      </c>
      <c r="AL154" s="1">
        <v>1</v>
      </c>
      <c r="AM154" s="1">
        <v>86400</v>
      </c>
      <c r="AN154" s="1">
        <v>80115</v>
      </c>
      <c r="AO154" s="1">
        <v>6285</v>
      </c>
      <c r="AP154" s="1">
        <v>49642</v>
      </c>
      <c r="AQ154" s="1">
        <v>9.402992152571759</v>
      </c>
    </row>
    <row r="155" spans="1:43" x14ac:dyDescent="0.45">
      <c r="A155" s="1">
        <v>154</v>
      </c>
      <c r="B155" s="1">
        <v>142</v>
      </c>
      <c r="C155" s="1">
        <v>78</v>
      </c>
      <c r="D155" s="1" t="s">
        <v>67</v>
      </c>
      <c r="E155" s="1" t="s">
        <v>68</v>
      </c>
      <c r="F155" s="1" t="s">
        <v>69</v>
      </c>
      <c r="G155" s="1" t="s">
        <v>46</v>
      </c>
      <c r="H155" s="1" t="s">
        <v>47</v>
      </c>
      <c r="I155" s="1">
        <v>1163</v>
      </c>
      <c r="J155" s="1">
        <v>33073</v>
      </c>
      <c r="K155" s="1">
        <v>1</v>
      </c>
      <c r="L155" s="1">
        <v>77</v>
      </c>
      <c r="M155" s="1">
        <v>1967</v>
      </c>
      <c r="N155" s="1" t="s">
        <v>48</v>
      </c>
      <c r="O155" s="1">
        <v>194544</v>
      </c>
      <c r="P155" s="1">
        <v>94</v>
      </c>
      <c r="Q155" s="1" t="s">
        <v>125</v>
      </c>
      <c r="R155" s="1" t="s">
        <v>50</v>
      </c>
      <c r="S155" s="1">
        <v>0</v>
      </c>
      <c r="T155" s="1">
        <v>0</v>
      </c>
      <c r="U155" s="1">
        <v>98.995000000000005</v>
      </c>
      <c r="V155" s="1">
        <v>24.971</v>
      </c>
      <c r="W155" s="1">
        <v>0.59</v>
      </c>
      <c r="X155" s="1">
        <v>0.56100000000000005</v>
      </c>
      <c r="Y155" s="1">
        <v>25.532</v>
      </c>
      <c r="Z155" s="1">
        <v>0.124</v>
      </c>
      <c r="AA155" s="1">
        <v>0.2</v>
      </c>
      <c r="AB155" s="1">
        <v>0.2</v>
      </c>
      <c r="AC155" s="1">
        <v>0.2</v>
      </c>
      <c r="AD155" s="1">
        <v>0.56100000000000005</v>
      </c>
      <c r="AE155" s="1">
        <v>4.7E-2</v>
      </c>
      <c r="AF155" s="1">
        <v>3.2000000000000001E-2</v>
      </c>
      <c r="AG155" s="1">
        <v>0.2</v>
      </c>
      <c r="AI155" s="1">
        <v>0</v>
      </c>
      <c r="AJ155" s="1">
        <v>0</v>
      </c>
      <c r="AK155" s="1">
        <v>0</v>
      </c>
      <c r="AL155" s="1">
        <v>1</v>
      </c>
      <c r="AM155" s="1">
        <v>86400</v>
      </c>
      <c r="AN155" s="1">
        <v>79358</v>
      </c>
      <c r="AO155" s="1">
        <v>7042</v>
      </c>
      <c r="AP155" s="1">
        <v>49788</v>
      </c>
      <c r="AQ155" s="1">
        <v>17.426884546178929</v>
      </c>
    </row>
    <row r="156" spans="1:43" x14ac:dyDescent="0.45">
      <c r="A156" s="1">
        <v>155</v>
      </c>
      <c r="B156" s="1">
        <v>142</v>
      </c>
      <c r="C156" s="1">
        <v>78</v>
      </c>
      <c r="D156" s="1" t="s">
        <v>67</v>
      </c>
      <c r="E156" s="1" t="s">
        <v>68</v>
      </c>
      <c r="F156" s="1" t="s">
        <v>69</v>
      </c>
      <c r="G156" s="1" t="s">
        <v>46</v>
      </c>
      <c r="H156" s="1" t="s">
        <v>47</v>
      </c>
      <c r="I156" s="1">
        <v>1163</v>
      </c>
      <c r="J156" s="1">
        <v>33073</v>
      </c>
      <c r="K156" s="1">
        <v>1</v>
      </c>
      <c r="L156" s="1">
        <v>77</v>
      </c>
      <c r="M156" s="1">
        <v>1968</v>
      </c>
      <c r="N156" s="1" t="s">
        <v>48</v>
      </c>
      <c r="O156" s="1">
        <v>194545</v>
      </c>
      <c r="P156" s="1">
        <v>94</v>
      </c>
      <c r="Q156" s="1" t="s">
        <v>125</v>
      </c>
      <c r="R156" s="1" t="s">
        <v>50</v>
      </c>
      <c r="S156" s="1">
        <v>0</v>
      </c>
      <c r="T156" s="1">
        <v>0</v>
      </c>
      <c r="U156" s="1">
        <v>108.714</v>
      </c>
      <c r="V156" s="1">
        <v>24.908000000000001</v>
      </c>
      <c r="W156" s="1">
        <v>0.6</v>
      </c>
      <c r="X156" s="1">
        <v>0.624</v>
      </c>
      <c r="Y156" s="1">
        <v>25.532</v>
      </c>
      <c r="Z156" s="1">
        <v>7.6999999999999999E-2</v>
      </c>
      <c r="AA156" s="1">
        <v>1</v>
      </c>
      <c r="AB156" s="1">
        <v>0.9</v>
      </c>
      <c r="AC156" s="1">
        <v>0.9</v>
      </c>
      <c r="AD156" s="1">
        <v>0.624</v>
      </c>
      <c r="AE156" s="1">
        <v>2.7E-2</v>
      </c>
      <c r="AF156" s="1">
        <v>2.5000000000000001E-2</v>
      </c>
      <c r="AG156" s="1">
        <v>1</v>
      </c>
      <c r="AI156" s="1">
        <v>0</v>
      </c>
      <c r="AJ156" s="1">
        <v>0</v>
      </c>
      <c r="AK156" s="1">
        <v>0</v>
      </c>
      <c r="AL156" s="1">
        <v>1</v>
      </c>
      <c r="AM156" s="1">
        <v>86400</v>
      </c>
      <c r="AN156" s="1">
        <v>80590</v>
      </c>
      <c r="AO156" s="1">
        <v>5810</v>
      </c>
      <c r="AP156" s="1">
        <v>49725</v>
      </c>
      <c r="AQ156" s="1">
        <v>1.6593705371570009</v>
      </c>
    </row>
    <row r="157" spans="1:43" x14ac:dyDescent="0.45">
      <c r="A157" s="1">
        <v>156</v>
      </c>
      <c r="B157" s="1">
        <v>142</v>
      </c>
      <c r="C157" s="1">
        <v>78</v>
      </c>
      <c r="D157" s="1" t="s">
        <v>67</v>
      </c>
      <c r="E157" s="1" t="s">
        <v>68</v>
      </c>
      <c r="F157" s="1" t="s">
        <v>69</v>
      </c>
      <c r="G157" s="1" t="s">
        <v>46</v>
      </c>
      <c r="H157" s="1" t="s">
        <v>47</v>
      </c>
      <c r="I157" s="1">
        <v>1163</v>
      </c>
      <c r="J157" s="1">
        <v>33073</v>
      </c>
      <c r="K157" s="1">
        <v>1</v>
      </c>
      <c r="L157" s="1">
        <v>77</v>
      </c>
      <c r="M157" s="1">
        <v>1969</v>
      </c>
      <c r="N157" s="1" t="s">
        <v>48</v>
      </c>
      <c r="O157" s="1">
        <v>194546</v>
      </c>
      <c r="P157" s="1">
        <v>94</v>
      </c>
      <c r="Q157" s="1" t="s">
        <v>125</v>
      </c>
      <c r="R157" s="1" t="s">
        <v>50</v>
      </c>
      <c r="S157" s="1">
        <v>0</v>
      </c>
      <c r="T157" s="1">
        <v>0</v>
      </c>
      <c r="U157" s="1">
        <v>327.06</v>
      </c>
      <c r="V157" s="1">
        <v>24.867999999999999</v>
      </c>
      <c r="W157" s="1">
        <v>0.61</v>
      </c>
      <c r="X157" s="1">
        <v>0.66500000000000004</v>
      </c>
      <c r="Y157" s="1">
        <v>25.532</v>
      </c>
      <c r="Z157" s="1">
        <v>0.14499999999999999</v>
      </c>
      <c r="AA157" s="1">
        <v>0.2</v>
      </c>
      <c r="AB157" s="1">
        <v>0.4</v>
      </c>
      <c r="AC157" s="1">
        <v>0.4</v>
      </c>
      <c r="AD157" s="1">
        <v>0.66500000000000004</v>
      </c>
      <c r="AE157" s="1">
        <v>7.4999999999999997E-2</v>
      </c>
      <c r="AF157" s="1">
        <v>5.2999999999999999E-2</v>
      </c>
      <c r="AG157" s="1">
        <v>0.2</v>
      </c>
      <c r="AI157" s="1">
        <v>0</v>
      </c>
      <c r="AJ157" s="1">
        <v>0</v>
      </c>
      <c r="AK157" s="1">
        <v>0</v>
      </c>
      <c r="AL157" s="1">
        <v>1</v>
      </c>
      <c r="AM157" s="1">
        <v>86400</v>
      </c>
      <c r="AN157" s="1">
        <v>81349</v>
      </c>
      <c r="AO157" s="1">
        <v>5051</v>
      </c>
      <c r="AP157" s="1">
        <v>50261</v>
      </c>
      <c r="AQ157" s="1">
        <v>0.62107041281627839</v>
      </c>
    </row>
    <row r="158" spans="1:43" x14ac:dyDescent="0.45">
      <c r="A158" s="1">
        <v>157</v>
      </c>
      <c r="B158" s="1">
        <v>142</v>
      </c>
      <c r="C158" s="1">
        <v>78</v>
      </c>
      <c r="D158" s="1" t="s">
        <v>67</v>
      </c>
      <c r="E158" s="1" t="s">
        <v>68</v>
      </c>
      <c r="F158" s="1" t="s">
        <v>69</v>
      </c>
      <c r="G158" s="1" t="s">
        <v>46</v>
      </c>
      <c r="H158" s="1" t="s">
        <v>47</v>
      </c>
      <c r="I158" s="1">
        <v>1163</v>
      </c>
      <c r="J158" s="1">
        <v>33073</v>
      </c>
      <c r="K158" s="1">
        <v>1</v>
      </c>
      <c r="L158" s="1">
        <v>77</v>
      </c>
      <c r="M158" s="1">
        <v>1970</v>
      </c>
      <c r="N158" s="1" t="s">
        <v>48</v>
      </c>
      <c r="O158" s="1">
        <v>194547</v>
      </c>
      <c r="P158" s="1">
        <v>94</v>
      </c>
      <c r="Q158" s="1" t="s">
        <v>125</v>
      </c>
      <c r="R158" s="1" t="s">
        <v>50</v>
      </c>
      <c r="S158" s="1">
        <v>0</v>
      </c>
      <c r="T158" s="1">
        <v>0</v>
      </c>
      <c r="U158" s="1">
        <v>353.36399999999998</v>
      </c>
      <c r="V158" s="1">
        <v>25.148</v>
      </c>
      <c r="W158" s="1">
        <v>0.56000000000000005</v>
      </c>
      <c r="X158" s="1">
        <v>0.38400000000000001</v>
      </c>
      <c r="Y158" s="1">
        <v>25.532</v>
      </c>
      <c r="Z158" s="1">
        <v>0.216</v>
      </c>
      <c r="AA158" s="1">
        <v>2.2999999999999998</v>
      </c>
      <c r="AB158" s="1">
        <v>2</v>
      </c>
      <c r="AC158" s="1">
        <v>2</v>
      </c>
      <c r="AD158" s="1">
        <v>0.38400000000000001</v>
      </c>
      <c r="AE158" s="1">
        <v>8.5999999999999993E-2</v>
      </c>
      <c r="AF158" s="1">
        <v>3.3000000000000002E-2</v>
      </c>
      <c r="AG158" s="1">
        <v>2.2999999999999998</v>
      </c>
      <c r="AI158" s="1">
        <v>0</v>
      </c>
      <c r="AJ158" s="1">
        <v>0</v>
      </c>
      <c r="AK158" s="1">
        <v>0</v>
      </c>
      <c r="AL158" s="1">
        <v>1</v>
      </c>
      <c r="AM158" s="1">
        <v>52154</v>
      </c>
      <c r="AN158" s="1">
        <v>8892</v>
      </c>
      <c r="AO158" s="1">
        <v>43262</v>
      </c>
      <c r="AP158" s="1">
        <v>49672</v>
      </c>
      <c r="AQ158" s="1">
        <v>23.042309260256211</v>
      </c>
    </row>
    <row r="159" spans="1:43" x14ac:dyDescent="0.45">
      <c r="A159" s="1">
        <v>158</v>
      </c>
      <c r="B159" s="1">
        <v>142</v>
      </c>
      <c r="C159" s="1">
        <v>78</v>
      </c>
      <c r="D159" s="1" t="s">
        <v>67</v>
      </c>
      <c r="E159" s="1" t="s">
        <v>68</v>
      </c>
      <c r="F159" s="1" t="s">
        <v>69</v>
      </c>
      <c r="G159" s="1" t="s">
        <v>46</v>
      </c>
      <c r="H159" s="1" t="s">
        <v>47</v>
      </c>
      <c r="I159" s="1">
        <v>1163</v>
      </c>
      <c r="J159" s="1">
        <v>33073</v>
      </c>
      <c r="K159" s="1">
        <v>1</v>
      </c>
      <c r="L159" s="1">
        <v>77</v>
      </c>
      <c r="M159" s="1">
        <v>1971</v>
      </c>
      <c r="N159" s="1" t="s">
        <v>48</v>
      </c>
      <c r="O159" s="1">
        <v>194548</v>
      </c>
      <c r="P159" s="1">
        <v>94</v>
      </c>
      <c r="Q159" s="1" t="s">
        <v>125</v>
      </c>
      <c r="R159" s="1" t="s">
        <v>50</v>
      </c>
      <c r="S159" s="1">
        <v>0</v>
      </c>
      <c r="T159" s="1">
        <v>0</v>
      </c>
      <c r="U159" s="1">
        <v>95.963999999999999</v>
      </c>
      <c r="V159" s="1">
        <v>25.006</v>
      </c>
      <c r="W159" s="1">
        <v>0.57999999999999996</v>
      </c>
      <c r="X159" s="1">
        <v>0.52600000000000002</v>
      </c>
      <c r="Y159" s="1">
        <v>25.532</v>
      </c>
      <c r="Z159" s="1">
        <v>0.113</v>
      </c>
      <c r="AA159" s="1">
        <v>1.8</v>
      </c>
      <c r="AB159" s="1">
        <v>1.6</v>
      </c>
      <c r="AC159" s="1">
        <v>1.6</v>
      </c>
      <c r="AD159" s="1">
        <v>0.52600000000000002</v>
      </c>
      <c r="AE159" s="1">
        <v>3.4000000000000002E-2</v>
      </c>
      <c r="AF159" s="1">
        <v>2.5999999999999999E-2</v>
      </c>
      <c r="AG159" s="1">
        <v>1.8</v>
      </c>
      <c r="AI159" s="1">
        <v>0</v>
      </c>
      <c r="AJ159" s="1">
        <v>0</v>
      </c>
      <c r="AK159" s="1">
        <v>0</v>
      </c>
      <c r="AL159" s="1">
        <v>1</v>
      </c>
      <c r="AM159" s="1">
        <v>86400</v>
      </c>
      <c r="AN159" s="1">
        <v>78268</v>
      </c>
      <c r="AO159" s="1">
        <v>8132</v>
      </c>
      <c r="AP159" s="1">
        <v>49616</v>
      </c>
      <c r="AQ159" s="1">
        <v>21.031178832719188</v>
      </c>
    </row>
    <row r="160" spans="1:43" x14ac:dyDescent="0.45">
      <c r="A160" s="1">
        <v>159</v>
      </c>
      <c r="B160" s="1">
        <v>142</v>
      </c>
      <c r="C160" s="1">
        <v>78</v>
      </c>
      <c r="D160" s="1" t="s">
        <v>67</v>
      </c>
      <c r="E160" s="1" t="s">
        <v>68</v>
      </c>
      <c r="F160" s="1" t="s">
        <v>69</v>
      </c>
      <c r="G160" s="1" t="s">
        <v>46</v>
      </c>
      <c r="H160" s="1" t="s">
        <v>47</v>
      </c>
      <c r="I160" s="1">
        <v>1163</v>
      </c>
      <c r="J160" s="1">
        <v>33073</v>
      </c>
      <c r="K160" s="1">
        <v>1</v>
      </c>
      <c r="L160" s="1">
        <v>77</v>
      </c>
      <c r="M160" s="1">
        <v>1972</v>
      </c>
      <c r="N160" s="1" t="s">
        <v>48</v>
      </c>
      <c r="O160" s="1">
        <v>194549</v>
      </c>
      <c r="P160" s="1">
        <v>94</v>
      </c>
      <c r="Q160" s="1" t="s">
        <v>125</v>
      </c>
      <c r="R160" s="1" t="s">
        <v>50</v>
      </c>
      <c r="S160" s="1">
        <v>0</v>
      </c>
      <c r="T160" s="1">
        <v>0</v>
      </c>
      <c r="U160" s="1">
        <v>199.88499999999999</v>
      </c>
      <c r="V160" s="1">
        <v>24.984000000000002</v>
      </c>
      <c r="W160" s="1">
        <v>0.59</v>
      </c>
      <c r="X160" s="1">
        <v>0.54700000000000004</v>
      </c>
      <c r="Y160" s="1">
        <v>25.530999999999999</v>
      </c>
      <c r="Z160" s="1">
        <v>0.17299999999999999</v>
      </c>
      <c r="AA160" s="1">
        <v>1.9</v>
      </c>
      <c r="AB160" s="1">
        <v>1.7</v>
      </c>
      <c r="AC160" s="1">
        <v>1.7</v>
      </c>
      <c r="AD160" s="1">
        <v>0.54700000000000004</v>
      </c>
      <c r="AE160" s="1">
        <v>7.4999999999999997E-2</v>
      </c>
      <c r="AF160" s="1">
        <v>4.2999999999999997E-2</v>
      </c>
      <c r="AG160" s="1">
        <v>1.9</v>
      </c>
      <c r="AI160" s="1">
        <v>0</v>
      </c>
      <c r="AJ160" s="1">
        <v>0</v>
      </c>
      <c r="AK160" s="1">
        <v>0</v>
      </c>
      <c r="AL160" s="1">
        <v>1</v>
      </c>
      <c r="AM160" s="1">
        <v>86400</v>
      </c>
      <c r="AN160" s="1">
        <v>78981</v>
      </c>
      <c r="AO160" s="1">
        <v>7419</v>
      </c>
      <c r="AP160" s="1">
        <v>49970</v>
      </c>
      <c r="AQ160" s="1">
        <v>1.6535050133315661</v>
      </c>
    </row>
    <row r="161" spans="1:43" x14ac:dyDescent="0.45">
      <c r="A161" s="1">
        <v>160</v>
      </c>
      <c r="B161" s="1">
        <v>142</v>
      </c>
      <c r="C161" s="1">
        <v>78</v>
      </c>
      <c r="D161" s="1" t="s">
        <v>67</v>
      </c>
      <c r="E161" s="1" t="s">
        <v>68</v>
      </c>
      <c r="F161" s="1" t="s">
        <v>69</v>
      </c>
      <c r="G161" s="1" t="s">
        <v>46</v>
      </c>
      <c r="H161" s="1" t="s">
        <v>47</v>
      </c>
      <c r="I161" s="1">
        <v>1163</v>
      </c>
      <c r="J161" s="1">
        <v>33073</v>
      </c>
      <c r="K161" s="1">
        <v>1</v>
      </c>
      <c r="L161" s="1">
        <v>77</v>
      </c>
      <c r="M161" s="1">
        <v>1974</v>
      </c>
      <c r="N161" s="1" t="s">
        <v>48</v>
      </c>
      <c r="O161" s="1">
        <v>194554</v>
      </c>
      <c r="P161" s="1">
        <v>94</v>
      </c>
      <c r="Q161" s="1" t="s">
        <v>125</v>
      </c>
      <c r="R161" s="1" t="s">
        <v>50</v>
      </c>
      <c r="S161" s="1">
        <v>0</v>
      </c>
      <c r="T161" s="1">
        <v>0</v>
      </c>
      <c r="U161" s="1">
        <v>58.304000000000002</v>
      </c>
      <c r="V161" s="1">
        <v>25.05</v>
      </c>
      <c r="W161" s="1">
        <v>0.57999999999999996</v>
      </c>
      <c r="X161" s="1">
        <v>0.48099999999999998</v>
      </c>
      <c r="Y161" s="1">
        <v>25.530999999999999</v>
      </c>
      <c r="Z161" s="1">
        <v>0.112</v>
      </c>
      <c r="AA161" s="1">
        <v>0.6</v>
      </c>
      <c r="AB161" s="1">
        <v>0.8</v>
      </c>
      <c r="AC161" s="1">
        <v>0.8</v>
      </c>
      <c r="AD161" s="1">
        <v>0.48099999999999998</v>
      </c>
      <c r="AE161" s="1">
        <v>7.9000000000000001E-2</v>
      </c>
      <c r="AF161" s="1">
        <v>3.7999999999999999E-2</v>
      </c>
      <c r="AG161" s="1">
        <v>0.6</v>
      </c>
      <c r="AI161" s="1">
        <v>0</v>
      </c>
      <c r="AJ161" s="1">
        <v>0</v>
      </c>
      <c r="AK161" s="1">
        <v>0</v>
      </c>
      <c r="AL161" s="1">
        <v>1</v>
      </c>
      <c r="AM161" s="1">
        <v>86400</v>
      </c>
      <c r="AN161" s="1">
        <v>76628</v>
      </c>
      <c r="AO161" s="1">
        <v>9772</v>
      </c>
      <c r="AP161" s="1">
        <v>50148</v>
      </c>
      <c r="AQ161" s="1">
        <v>17.997133913275309</v>
      </c>
    </row>
    <row r="162" spans="1:43" x14ac:dyDescent="0.45">
      <c r="A162" s="1">
        <v>161</v>
      </c>
      <c r="B162" s="1">
        <v>142</v>
      </c>
      <c r="C162" s="1">
        <v>78</v>
      </c>
      <c r="D162" s="1" t="s">
        <v>67</v>
      </c>
      <c r="E162" s="1" t="s">
        <v>68</v>
      </c>
      <c r="F162" s="1" t="s">
        <v>69</v>
      </c>
      <c r="G162" s="1" t="s">
        <v>46</v>
      </c>
      <c r="H162" s="1" t="s">
        <v>47</v>
      </c>
      <c r="I162" s="1">
        <v>1163</v>
      </c>
      <c r="J162" s="1">
        <v>33073</v>
      </c>
      <c r="K162" s="1">
        <v>1</v>
      </c>
      <c r="L162" s="1">
        <v>77</v>
      </c>
      <c r="M162" s="1">
        <v>1975</v>
      </c>
      <c r="N162" s="1" t="s">
        <v>48</v>
      </c>
      <c r="O162" s="1">
        <v>194568</v>
      </c>
      <c r="P162" s="1">
        <v>94</v>
      </c>
      <c r="Q162" s="1" t="s">
        <v>125</v>
      </c>
      <c r="R162" s="1" t="s">
        <v>50</v>
      </c>
      <c r="S162" s="1">
        <v>0</v>
      </c>
      <c r="T162" s="1">
        <v>0</v>
      </c>
      <c r="U162" s="1">
        <v>71.478999999999999</v>
      </c>
      <c r="V162" s="1">
        <v>25.076000000000001</v>
      </c>
      <c r="W162" s="1">
        <v>0.57999999999999996</v>
      </c>
      <c r="X162" s="1">
        <v>0.45100000000000001</v>
      </c>
      <c r="Y162" s="1">
        <v>25.527000000000001</v>
      </c>
      <c r="Z162" s="1">
        <v>0.83599999999999997</v>
      </c>
      <c r="AA162" s="1">
        <v>1.6</v>
      </c>
      <c r="AB162" s="1">
        <v>2.2999999999999998</v>
      </c>
      <c r="AC162" s="1">
        <v>2.2999999999999998</v>
      </c>
      <c r="AD162" s="1">
        <v>0.45100000000000001</v>
      </c>
      <c r="AE162" s="1">
        <v>0.249</v>
      </c>
      <c r="AF162" s="1">
        <v>0.126</v>
      </c>
      <c r="AG162" s="1">
        <v>1.6</v>
      </c>
      <c r="AI162" s="1">
        <v>0</v>
      </c>
      <c r="AJ162" s="1">
        <v>0</v>
      </c>
      <c r="AK162" s="1">
        <v>0</v>
      </c>
      <c r="AL162" s="1">
        <v>1</v>
      </c>
      <c r="AM162" s="1">
        <v>86400</v>
      </c>
      <c r="AN162" s="1">
        <v>78452</v>
      </c>
      <c r="AO162" s="1">
        <v>7833</v>
      </c>
      <c r="AP162" s="1">
        <v>50313</v>
      </c>
      <c r="AQ162" s="1">
        <v>12.87607308566977</v>
      </c>
    </row>
    <row r="163" spans="1:43" x14ac:dyDescent="0.45">
      <c r="A163" s="1">
        <v>162</v>
      </c>
      <c r="B163" s="1">
        <v>142</v>
      </c>
      <c r="C163" s="1">
        <v>78</v>
      </c>
      <c r="D163" s="1" t="s">
        <v>67</v>
      </c>
      <c r="E163" s="1" t="s">
        <v>68</v>
      </c>
      <c r="F163" s="1" t="s">
        <v>69</v>
      </c>
      <c r="G163" s="1" t="s">
        <v>46</v>
      </c>
      <c r="H163" s="1" t="s">
        <v>47</v>
      </c>
      <c r="I163" s="1">
        <v>1163</v>
      </c>
      <c r="J163" s="1">
        <v>33073</v>
      </c>
      <c r="K163" s="1">
        <v>1</v>
      </c>
      <c r="L163" s="1">
        <v>77</v>
      </c>
      <c r="M163" s="1">
        <v>1976</v>
      </c>
      <c r="N163" s="1" t="s">
        <v>48</v>
      </c>
      <c r="O163" s="1">
        <v>194569</v>
      </c>
      <c r="P163" s="1">
        <v>94</v>
      </c>
      <c r="Q163" s="1" t="s">
        <v>125</v>
      </c>
      <c r="R163" s="1" t="s">
        <v>50</v>
      </c>
      <c r="S163" s="1">
        <v>0</v>
      </c>
      <c r="T163" s="1">
        <v>0</v>
      </c>
      <c r="U163" s="1">
        <v>97.01</v>
      </c>
      <c r="V163" s="1">
        <v>25.157</v>
      </c>
      <c r="W163" s="1">
        <v>0.56000000000000005</v>
      </c>
      <c r="X163" s="1">
        <v>0.372</v>
      </c>
      <c r="Y163" s="1">
        <v>25.529</v>
      </c>
      <c r="Z163" s="1">
        <v>0.32300000000000001</v>
      </c>
      <c r="AA163" s="1">
        <v>1.6</v>
      </c>
      <c r="AB163" s="1">
        <v>-3.1</v>
      </c>
      <c r="AC163" s="1">
        <v>-3.1</v>
      </c>
      <c r="AD163" s="1">
        <v>0.372</v>
      </c>
      <c r="AE163" s="1">
        <v>3.9E-2</v>
      </c>
      <c r="AF163" s="1">
        <v>4.8000000000000001E-2</v>
      </c>
      <c r="AG163" s="1">
        <v>1.6</v>
      </c>
      <c r="AI163" s="1">
        <v>0</v>
      </c>
      <c r="AJ163" s="1">
        <v>0</v>
      </c>
      <c r="AK163" s="1">
        <v>0</v>
      </c>
      <c r="AL163" s="1">
        <v>1</v>
      </c>
      <c r="AM163" s="1">
        <v>51883</v>
      </c>
      <c r="AN163" s="1">
        <v>8449</v>
      </c>
      <c r="AO163" s="1">
        <v>43434</v>
      </c>
      <c r="AP163" s="1">
        <v>49593</v>
      </c>
      <c r="AQ163" s="1">
        <v>17.425376818478529</v>
      </c>
    </row>
    <row r="164" spans="1:43" x14ac:dyDescent="0.45">
      <c r="A164" s="1">
        <v>163</v>
      </c>
      <c r="B164" s="1">
        <v>142</v>
      </c>
      <c r="C164" s="1">
        <v>78</v>
      </c>
      <c r="D164" s="1" t="s">
        <v>67</v>
      </c>
      <c r="E164" s="1" t="s">
        <v>68</v>
      </c>
      <c r="F164" s="1" t="s">
        <v>69</v>
      </c>
      <c r="G164" s="1" t="s">
        <v>46</v>
      </c>
      <c r="H164" s="1" t="s">
        <v>47</v>
      </c>
      <c r="I164" s="1">
        <v>1163</v>
      </c>
      <c r="J164" s="1">
        <v>33073</v>
      </c>
      <c r="K164" s="1">
        <v>1</v>
      </c>
      <c r="L164" s="1">
        <v>77</v>
      </c>
      <c r="M164" s="1">
        <v>1977</v>
      </c>
      <c r="N164" s="1" t="s">
        <v>48</v>
      </c>
      <c r="O164" s="1">
        <v>194573</v>
      </c>
      <c r="P164" s="1">
        <v>94</v>
      </c>
      <c r="Q164" s="1" t="s">
        <v>125</v>
      </c>
      <c r="R164" s="1" t="s">
        <v>50</v>
      </c>
      <c r="S164" s="1">
        <v>0</v>
      </c>
      <c r="T164" s="1">
        <v>0</v>
      </c>
      <c r="U164" s="1">
        <v>165.15899999999999</v>
      </c>
      <c r="V164" s="1">
        <v>25.164000000000001</v>
      </c>
      <c r="W164" s="1">
        <v>0.56000000000000005</v>
      </c>
      <c r="X164" s="1">
        <v>0.36599999999999999</v>
      </c>
      <c r="Y164" s="1">
        <v>25.530999999999999</v>
      </c>
      <c r="Z164" s="1">
        <v>0.28000000000000003</v>
      </c>
      <c r="AA164" s="1">
        <v>1.4</v>
      </c>
      <c r="AB164" s="1">
        <v>1.8</v>
      </c>
      <c r="AC164" s="1">
        <v>1.8</v>
      </c>
      <c r="AD164" s="1">
        <v>0.36599999999999999</v>
      </c>
      <c r="AE164" s="1">
        <v>0.156</v>
      </c>
      <c r="AF164" s="1">
        <v>6.9000000000000006E-2</v>
      </c>
      <c r="AG164" s="1">
        <v>1.4</v>
      </c>
      <c r="AI164" s="1">
        <v>0</v>
      </c>
      <c r="AJ164" s="1">
        <v>0</v>
      </c>
      <c r="AK164" s="1">
        <v>0</v>
      </c>
      <c r="AL164" s="1">
        <v>1</v>
      </c>
      <c r="AM164" s="1">
        <v>51894</v>
      </c>
      <c r="AN164" s="1">
        <v>8473</v>
      </c>
      <c r="AO164" s="1">
        <v>43422</v>
      </c>
      <c r="AP164" s="1">
        <v>50103</v>
      </c>
      <c r="AQ164" s="1">
        <v>0.17497394775129299</v>
      </c>
    </row>
    <row r="165" spans="1:43" x14ac:dyDescent="0.45">
      <c r="A165" s="1">
        <v>164</v>
      </c>
      <c r="B165" s="1">
        <v>142</v>
      </c>
      <c r="C165" s="1">
        <v>78</v>
      </c>
      <c r="D165" s="1" t="s">
        <v>67</v>
      </c>
      <c r="E165" s="1" t="s">
        <v>68</v>
      </c>
      <c r="F165" s="1" t="s">
        <v>69</v>
      </c>
      <c r="G165" s="1" t="s">
        <v>46</v>
      </c>
      <c r="H165" s="1" t="s">
        <v>47</v>
      </c>
      <c r="I165" s="1">
        <v>1163</v>
      </c>
      <c r="J165" s="1">
        <v>33073</v>
      </c>
      <c r="K165" s="1">
        <v>1</v>
      </c>
      <c r="L165" s="1">
        <v>77</v>
      </c>
      <c r="M165" s="1">
        <v>2089</v>
      </c>
      <c r="N165" s="1" t="s">
        <v>48</v>
      </c>
      <c r="O165" s="1">
        <v>197553</v>
      </c>
      <c r="P165" s="1">
        <v>94</v>
      </c>
      <c r="Q165" s="1" t="s">
        <v>125</v>
      </c>
      <c r="R165" s="1" t="s">
        <v>50</v>
      </c>
      <c r="S165" s="1">
        <v>0</v>
      </c>
      <c r="T165" s="1">
        <v>0</v>
      </c>
      <c r="U165" s="1">
        <v>197.435</v>
      </c>
      <c r="V165" s="1">
        <v>25.481999999999999</v>
      </c>
      <c r="W165" s="1">
        <v>0.52</v>
      </c>
      <c r="X165" s="1">
        <v>0.114</v>
      </c>
      <c r="Y165" s="1">
        <v>25.596</v>
      </c>
      <c r="Z165" s="1">
        <v>5.3999999999999999E-2</v>
      </c>
      <c r="AA165" s="1">
        <v>-0.3</v>
      </c>
      <c r="AB165" s="1">
        <v>-0.3</v>
      </c>
      <c r="AC165" s="1">
        <v>-0.3</v>
      </c>
      <c r="AD165" s="1">
        <v>0.114</v>
      </c>
      <c r="AE165" s="1">
        <v>5.3999999999999999E-2</v>
      </c>
      <c r="AF165" s="1">
        <v>6.0000000000000001E-3</v>
      </c>
      <c r="AG165" s="1">
        <v>-0.3</v>
      </c>
      <c r="AI165" s="1">
        <v>0</v>
      </c>
      <c r="AJ165" s="1">
        <v>0</v>
      </c>
      <c r="AK165" s="1">
        <v>0</v>
      </c>
      <c r="AL165" s="1">
        <v>1</v>
      </c>
      <c r="AM165" s="1">
        <v>51391</v>
      </c>
      <c r="AN165" s="1">
        <v>8014</v>
      </c>
      <c r="AO165" s="1">
        <v>43378</v>
      </c>
      <c r="AP165" s="1">
        <v>47356</v>
      </c>
      <c r="AQ165" s="1">
        <v>10.312824526206111</v>
      </c>
    </row>
    <row r="166" spans="1:43" x14ac:dyDescent="0.45">
      <c r="A166" s="1">
        <v>165</v>
      </c>
      <c r="B166" s="1">
        <v>142</v>
      </c>
      <c r="C166" s="1">
        <v>78</v>
      </c>
      <c r="D166" s="1" t="s">
        <v>67</v>
      </c>
      <c r="E166" s="1" t="s">
        <v>68</v>
      </c>
      <c r="F166" s="1" t="s">
        <v>69</v>
      </c>
      <c r="G166" s="1" t="s">
        <v>46</v>
      </c>
      <c r="H166" s="1" t="s">
        <v>47</v>
      </c>
      <c r="I166" s="1">
        <v>1163</v>
      </c>
      <c r="J166" s="1">
        <v>33073</v>
      </c>
      <c r="K166" s="1">
        <v>1</v>
      </c>
      <c r="L166" s="1">
        <v>77</v>
      </c>
      <c r="M166" s="1">
        <v>2090</v>
      </c>
      <c r="N166" s="1" t="s">
        <v>48</v>
      </c>
      <c r="O166" s="1">
        <v>197554</v>
      </c>
      <c r="P166" s="1">
        <v>94</v>
      </c>
      <c r="Q166" s="1" t="s">
        <v>125</v>
      </c>
      <c r="R166" s="1" t="s">
        <v>50</v>
      </c>
      <c r="S166" s="1">
        <v>0</v>
      </c>
      <c r="T166" s="1">
        <v>0</v>
      </c>
      <c r="U166" s="1">
        <v>145.07400000000001</v>
      </c>
      <c r="V166" s="1">
        <v>25.436</v>
      </c>
      <c r="W166" s="1">
        <v>0.53</v>
      </c>
      <c r="X166" s="1">
        <v>0.16</v>
      </c>
      <c r="Y166" s="1">
        <v>25.596</v>
      </c>
      <c r="Z166" s="1">
        <v>5.3999999999999999E-2</v>
      </c>
      <c r="AA166" s="1">
        <v>-0.3</v>
      </c>
      <c r="AB166" s="1">
        <v>-0.3</v>
      </c>
      <c r="AC166" s="1">
        <v>-0.3</v>
      </c>
      <c r="AD166" s="1">
        <v>0.16</v>
      </c>
      <c r="AE166" s="1">
        <v>5.3999999999999999E-2</v>
      </c>
      <c r="AF166" s="1">
        <v>8.9999999999999993E-3</v>
      </c>
      <c r="AG166" s="1">
        <v>-0.3</v>
      </c>
      <c r="AI166" s="1">
        <v>0</v>
      </c>
      <c r="AJ166" s="1">
        <v>0</v>
      </c>
      <c r="AK166" s="1">
        <v>0</v>
      </c>
      <c r="AL166" s="1">
        <v>1</v>
      </c>
      <c r="AM166" s="1">
        <v>58113</v>
      </c>
      <c r="AN166" s="1">
        <v>21659</v>
      </c>
      <c r="AO166" s="1">
        <v>36454</v>
      </c>
      <c r="AP166" s="1">
        <v>47390</v>
      </c>
      <c r="AQ166" s="1">
        <v>0.29438601974343598</v>
      </c>
    </row>
    <row r="167" spans="1:43" x14ac:dyDescent="0.45">
      <c r="A167" s="1">
        <v>166</v>
      </c>
      <c r="B167" s="1">
        <v>142</v>
      </c>
      <c r="C167" s="1">
        <v>78</v>
      </c>
      <c r="D167" s="1" t="s">
        <v>67</v>
      </c>
      <c r="E167" s="1" t="s">
        <v>68</v>
      </c>
      <c r="F167" s="1" t="s">
        <v>69</v>
      </c>
      <c r="G167" s="1" t="s">
        <v>46</v>
      </c>
      <c r="H167" s="1" t="s">
        <v>47</v>
      </c>
      <c r="I167" s="1">
        <v>1163</v>
      </c>
      <c r="J167" s="1">
        <v>33073</v>
      </c>
      <c r="K167" s="1">
        <v>1</v>
      </c>
      <c r="L167" s="1">
        <v>77</v>
      </c>
      <c r="M167" s="1">
        <v>2092</v>
      </c>
      <c r="N167" s="1" t="s">
        <v>48</v>
      </c>
      <c r="O167" s="1">
        <v>197557</v>
      </c>
      <c r="P167" s="1">
        <v>94</v>
      </c>
      <c r="Q167" s="1" t="s">
        <v>125</v>
      </c>
      <c r="R167" s="1" t="s">
        <v>50</v>
      </c>
      <c r="S167" s="1">
        <v>0</v>
      </c>
      <c r="T167" s="1">
        <v>0</v>
      </c>
      <c r="U167" s="1">
        <v>142.69200000000001</v>
      </c>
      <c r="V167" s="1">
        <v>25.48</v>
      </c>
      <c r="W167" s="1">
        <v>0.52</v>
      </c>
      <c r="X167" s="1">
        <v>0.121</v>
      </c>
      <c r="Y167" s="1">
        <v>25.600999999999999</v>
      </c>
      <c r="Z167" s="1">
        <v>0.16200000000000001</v>
      </c>
      <c r="AA167" s="1">
        <v>0.1</v>
      </c>
      <c r="AB167" s="1">
        <v>-0.4</v>
      </c>
      <c r="AC167" s="1">
        <v>-0.4</v>
      </c>
      <c r="AD167" s="1">
        <v>0.121</v>
      </c>
      <c r="AE167" s="1">
        <v>0.10100000000000001</v>
      </c>
      <c r="AF167" s="1">
        <v>1.2999999999999999E-2</v>
      </c>
      <c r="AG167" s="1">
        <v>0.1</v>
      </c>
      <c r="AI167" s="1">
        <v>0</v>
      </c>
      <c r="AJ167" s="1">
        <v>0</v>
      </c>
      <c r="AK167" s="1">
        <v>0</v>
      </c>
      <c r="AL167" s="1">
        <v>1</v>
      </c>
      <c r="AM167" s="1">
        <v>68751</v>
      </c>
      <c r="AN167" s="1">
        <v>43398</v>
      </c>
      <c r="AO167" s="1">
        <v>25353</v>
      </c>
      <c r="AP167" s="1">
        <v>47263</v>
      </c>
      <c r="AQ167" s="1">
        <v>1.4894704153291789</v>
      </c>
    </row>
    <row r="168" spans="1:43" x14ac:dyDescent="0.45">
      <c r="A168" s="1">
        <v>167</v>
      </c>
      <c r="B168" s="1">
        <v>143</v>
      </c>
      <c r="C168" s="1">
        <v>64</v>
      </c>
      <c r="D168" s="1" t="s">
        <v>99</v>
      </c>
      <c r="E168" s="1" t="s">
        <v>100</v>
      </c>
      <c r="F168" s="1" t="s">
        <v>101</v>
      </c>
      <c r="G168" s="1" t="s">
        <v>46</v>
      </c>
      <c r="H168" s="1" t="s">
        <v>47</v>
      </c>
      <c r="I168" s="1">
        <v>1411</v>
      </c>
      <c r="J168" s="1">
        <v>38055</v>
      </c>
      <c r="K168" s="1">
        <v>1</v>
      </c>
      <c r="L168" s="1">
        <v>63</v>
      </c>
      <c r="M168" s="1">
        <v>2218</v>
      </c>
      <c r="N168" s="1" t="s">
        <v>48</v>
      </c>
      <c r="O168" s="1">
        <v>198793</v>
      </c>
      <c r="P168" s="1">
        <v>94</v>
      </c>
      <c r="Q168" s="1" t="s">
        <v>125</v>
      </c>
      <c r="R168" s="1" t="s">
        <v>50</v>
      </c>
      <c r="S168" s="1">
        <v>0</v>
      </c>
      <c r="T168" s="1">
        <v>0</v>
      </c>
      <c r="U168" s="1">
        <v>734.44899999999996</v>
      </c>
      <c r="V168" s="1">
        <v>21.827999999999999</v>
      </c>
      <c r="W168" s="1">
        <v>1.71</v>
      </c>
      <c r="X168" s="1">
        <v>4.6859999999999999</v>
      </c>
      <c r="Y168" s="1">
        <v>26.513999999999999</v>
      </c>
      <c r="Z168" s="1">
        <v>3.5000000000000003E-2</v>
      </c>
      <c r="AA168" s="1">
        <v>-0.6</v>
      </c>
      <c r="AB168" s="1">
        <v>-1.1000000000000001</v>
      </c>
      <c r="AC168" s="1">
        <v>-1.1000000000000001</v>
      </c>
      <c r="AD168" s="1">
        <v>4.6859999999999999</v>
      </c>
      <c r="AE168" s="1">
        <v>1E-3</v>
      </c>
      <c r="AF168" s="1">
        <v>7.0000000000000001E-3</v>
      </c>
      <c r="AI168" s="1">
        <v>0</v>
      </c>
      <c r="AJ168" s="1">
        <v>0</v>
      </c>
      <c r="AK168" s="1">
        <v>0</v>
      </c>
      <c r="AL168" s="1">
        <v>1</v>
      </c>
      <c r="AM168" s="1">
        <v>86400</v>
      </c>
      <c r="AN168" s="1">
        <v>77575</v>
      </c>
      <c r="AO168" s="1">
        <v>8825</v>
      </c>
      <c r="AP168" s="1">
        <v>86249</v>
      </c>
      <c r="AQ168" s="1">
        <v>34.789345584757001</v>
      </c>
    </row>
    <row r="169" spans="1:43" x14ac:dyDescent="0.45">
      <c r="A169" s="1">
        <v>168</v>
      </c>
      <c r="B169" s="1">
        <v>143</v>
      </c>
      <c r="C169" s="1">
        <v>64</v>
      </c>
      <c r="D169" s="1" t="s">
        <v>99</v>
      </c>
      <c r="E169" s="1" t="s">
        <v>100</v>
      </c>
      <c r="F169" s="1" t="s">
        <v>101</v>
      </c>
      <c r="G169" s="1" t="s">
        <v>46</v>
      </c>
      <c r="H169" s="1" t="s">
        <v>47</v>
      </c>
      <c r="I169" s="1">
        <v>1411</v>
      </c>
      <c r="J169" s="1">
        <v>38055</v>
      </c>
      <c r="K169" s="1">
        <v>1</v>
      </c>
      <c r="L169" s="1">
        <v>63</v>
      </c>
      <c r="M169" s="1">
        <v>2221</v>
      </c>
      <c r="N169" s="1" t="s">
        <v>48</v>
      </c>
      <c r="O169" s="1">
        <v>198806</v>
      </c>
      <c r="P169" s="1">
        <v>94</v>
      </c>
      <c r="Q169" s="1" t="s">
        <v>125</v>
      </c>
      <c r="R169" s="1" t="s">
        <v>50</v>
      </c>
      <c r="S169" s="1">
        <v>0</v>
      </c>
      <c r="T169" s="1">
        <v>0</v>
      </c>
      <c r="U169" s="1">
        <v>365.387</v>
      </c>
      <c r="V169" s="1">
        <v>21.681000000000001</v>
      </c>
      <c r="W169" s="1">
        <v>1.74</v>
      </c>
      <c r="X169" s="1">
        <v>4.8330000000000002</v>
      </c>
      <c r="Y169" s="1">
        <v>26.513999999999999</v>
      </c>
      <c r="Z169" s="1">
        <v>9.1999999999999998E-2</v>
      </c>
      <c r="AA169" s="1">
        <v>-0.1</v>
      </c>
      <c r="AB169" s="1">
        <v>3</v>
      </c>
      <c r="AC169" s="1">
        <v>3</v>
      </c>
      <c r="AD169" s="1">
        <v>4.8330000000000002</v>
      </c>
      <c r="AE169" s="1">
        <v>0</v>
      </c>
      <c r="AF169" s="1">
        <v>8.0000000000000002E-3</v>
      </c>
      <c r="AI169" s="1">
        <v>0</v>
      </c>
      <c r="AJ169" s="1">
        <v>0</v>
      </c>
      <c r="AK169" s="1">
        <v>0</v>
      </c>
      <c r="AL169" s="1">
        <v>1</v>
      </c>
      <c r="AM169" s="1">
        <v>86400</v>
      </c>
      <c r="AN169" s="1">
        <v>81272</v>
      </c>
      <c r="AO169" s="1">
        <v>5128</v>
      </c>
      <c r="AP169" s="1">
        <v>86276</v>
      </c>
      <c r="AQ169" s="1">
        <v>3.6435071118563251</v>
      </c>
    </row>
    <row r="170" spans="1:43" x14ac:dyDescent="0.45">
      <c r="A170" s="1">
        <v>169</v>
      </c>
      <c r="B170" s="1">
        <v>143</v>
      </c>
      <c r="C170" s="1">
        <v>64</v>
      </c>
      <c r="D170" s="1" t="s">
        <v>99</v>
      </c>
      <c r="E170" s="1" t="s">
        <v>100</v>
      </c>
      <c r="F170" s="1" t="s">
        <v>101</v>
      </c>
      <c r="G170" s="1" t="s">
        <v>46</v>
      </c>
      <c r="H170" s="1" t="s">
        <v>47</v>
      </c>
      <c r="I170" s="1">
        <v>1411</v>
      </c>
      <c r="J170" s="1">
        <v>38055</v>
      </c>
      <c r="K170" s="1">
        <v>1</v>
      </c>
      <c r="L170" s="1">
        <v>63</v>
      </c>
      <c r="M170" s="1">
        <v>2222</v>
      </c>
      <c r="N170" s="1" t="s">
        <v>48</v>
      </c>
      <c r="O170" s="1">
        <v>198808</v>
      </c>
      <c r="P170" s="1">
        <v>94</v>
      </c>
      <c r="Q170" s="1" t="s">
        <v>125</v>
      </c>
      <c r="R170" s="1" t="s">
        <v>50</v>
      </c>
      <c r="S170" s="1">
        <v>0</v>
      </c>
      <c r="T170" s="1">
        <v>0</v>
      </c>
      <c r="U170" s="1">
        <v>222.95500000000001</v>
      </c>
      <c r="V170" s="1">
        <v>21.597000000000001</v>
      </c>
      <c r="W170" s="1">
        <v>1.75</v>
      </c>
      <c r="X170" s="1">
        <v>4.9169999999999998</v>
      </c>
      <c r="Y170" s="1">
        <v>26.513999999999999</v>
      </c>
      <c r="Z170" s="1">
        <v>0.11</v>
      </c>
      <c r="AA170" s="1">
        <v>-0.4</v>
      </c>
      <c r="AB170" s="1">
        <v>-2.1</v>
      </c>
      <c r="AC170" s="1">
        <v>-2.1</v>
      </c>
      <c r="AD170" s="1">
        <v>4.9169999999999998</v>
      </c>
      <c r="AE170" s="1">
        <v>2E-3</v>
      </c>
      <c r="AF170" s="1">
        <v>0.14199999999999999</v>
      </c>
      <c r="AG170" s="1">
        <v>-0.4</v>
      </c>
      <c r="AI170" s="1">
        <v>0</v>
      </c>
      <c r="AJ170" s="1">
        <v>0</v>
      </c>
      <c r="AK170" s="1">
        <v>0</v>
      </c>
      <c r="AL170" s="1">
        <v>1</v>
      </c>
      <c r="AM170" s="1">
        <v>86400</v>
      </c>
      <c r="AN170" s="1">
        <v>81732</v>
      </c>
      <c r="AO170" s="1">
        <v>4668</v>
      </c>
      <c r="AP170" s="1">
        <v>86345</v>
      </c>
      <c r="AQ170" s="1">
        <v>11.654956863190669</v>
      </c>
    </row>
    <row r="171" spans="1:43" x14ac:dyDescent="0.45">
      <c r="A171" s="1">
        <v>170</v>
      </c>
      <c r="B171" s="1">
        <v>143</v>
      </c>
      <c r="C171" s="1">
        <v>64</v>
      </c>
      <c r="D171" s="1" t="s">
        <v>99</v>
      </c>
      <c r="E171" s="1" t="s">
        <v>100</v>
      </c>
      <c r="F171" s="1" t="s">
        <v>101</v>
      </c>
      <c r="G171" s="1" t="s">
        <v>46</v>
      </c>
      <c r="H171" s="1" t="s">
        <v>47</v>
      </c>
      <c r="I171" s="1">
        <v>1411</v>
      </c>
      <c r="J171" s="1">
        <v>38055</v>
      </c>
      <c r="K171" s="1">
        <v>1</v>
      </c>
      <c r="L171" s="1">
        <v>63</v>
      </c>
      <c r="M171" s="1">
        <v>2223</v>
      </c>
      <c r="N171" s="1" t="s">
        <v>48</v>
      </c>
      <c r="O171" s="1">
        <v>198816</v>
      </c>
      <c r="P171" s="1">
        <v>94</v>
      </c>
      <c r="Q171" s="1" t="s">
        <v>125</v>
      </c>
      <c r="R171" s="1" t="s">
        <v>50</v>
      </c>
      <c r="S171" s="1">
        <v>0</v>
      </c>
      <c r="T171" s="1">
        <v>0</v>
      </c>
      <c r="U171" s="1">
        <v>120.09</v>
      </c>
      <c r="V171" s="1">
        <v>21.809000000000001</v>
      </c>
      <c r="W171" s="1">
        <v>1.72</v>
      </c>
      <c r="X171" s="1">
        <v>4.7050000000000001</v>
      </c>
      <c r="Y171" s="1">
        <v>26.513999999999999</v>
      </c>
      <c r="Z171" s="1">
        <v>2.9000000000000001E-2</v>
      </c>
      <c r="AA171" s="1">
        <v>-1.3</v>
      </c>
      <c r="AB171" s="1">
        <v>-1</v>
      </c>
      <c r="AC171" s="1">
        <v>-1</v>
      </c>
      <c r="AD171" s="1">
        <v>4.7050000000000001</v>
      </c>
      <c r="AE171" s="1">
        <v>0</v>
      </c>
      <c r="AF171" s="1">
        <v>1.0999999999999999E-2</v>
      </c>
      <c r="AI171" s="1">
        <v>0</v>
      </c>
      <c r="AJ171" s="1">
        <v>0</v>
      </c>
      <c r="AK171" s="1">
        <v>0</v>
      </c>
      <c r="AL171" s="1">
        <v>1</v>
      </c>
      <c r="AM171" s="1">
        <v>86400</v>
      </c>
      <c r="AN171" s="1">
        <v>78260</v>
      </c>
      <c r="AO171" s="1">
        <v>8140</v>
      </c>
      <c r="AP171" s="1">
        <v>86301</v>
      </c>
      <c r="AQ171" s="1">
        <v>12.706252394481499</v>
      </c>
    </row>
    <row r="172" spans="1:43" x14ac:dyDescent="0.45">
      <c r="A172" s="1">
        <v>171</v>
      </c>
      <c r="B172" s="1">
        <v>143</v>
      </c>
      <c r="C172" s="1">
        <v>64</v>
      </c>
      <c r="D172" s="1" t="s">
        <v>99</v>
      </c>
      <c r="E172" s="1" t="s">
        <v>100</v>
      </c>
      <c r="F172" s="1" t="s">
        <v>101</v>
      </c>
      <c r="G172" s="1" t="s">
        <v>46</v>
      </c>
      <c r="H172" s="1" t="s">
        <v>47</v>
      </c>
      <c r="I172" s="1">
        <v>1411</v>
      </c>
      <c r="J172" s="1">
        <v>38055</v>
      </c>
      <c r="K172" s="1">
        <v>1</v>
      </c>
      <c r="L172" s="1">
        <v>63</v>
      </c>
      <c r="M172" s="1">
        <v>2224</v>
      </c>
      <c r="N172" s="1" t="s">
        <v>48</v>
      </c>
      <c r="O172" s="1">
        <v>198817</v>
      </c>
      <c r="P172" s="1">
        <v>94</v>
      </c>
      <c r="Q172" s="1" t="s">
        <v>125</v>
      </c>
      <c r="R172" s="1" t="s">
        <v>50</v>
      </c>
      <c r="S172" s="1">
        <v>0</v>
      </c>
      <c r="T172" s="1">
        <v>0</v>
      </c>
      <c r="U172" s="1">
        <v>120.09</v>
      </c>
      <c r="V172" s="1">
        <v>21.742999999999999</v>
      </c>
      <c r="W172" s="1">
        <v>1.73</v>
      </c>
      <c r="X172" s="1">
        <v>4.7709999999999999</v>
      </c>
      <c r="Y172" s="1">
        <v>26.513999999999999</v>
      </c>
      <c r="Z172" s="1">
        <v>3.2000000000000001E-2</v>
      </c>
      <c r="AA172" s="1">
        <v>-1.8</v>
      </c>
      <c r="AB172" s="1">
        <v>-1</v>
      </c>
      <c r="AC172" s="1">
        <v>-1</v>
      </c>
      <c r="AD172" s="1">
        <v>4.7709999999999999</v>
      </c>
      <c r="AE172" s="1">
        <v>0</v>
      </c>
      <c r="AF172" s="1">
        <v>1.2E-2</v>
      </c>
      <c r="AI172" s="1">
        <v>0</v>
      </c>
      <c r="AJ172" s="1">
        <v>0</v>
      </c>
      <c r="AK172" s="1">
        <v>0</v>
      </c>
      <c r="AL172" s="1">
        <v>1</v>
      </c>
      <c r="AM172" s="1">
        <v>86400</v>
      </c>
      <c r="AN172" s="1">
        <v>80156</v>
      </c>
      <c r="AO172" s="1">
        <v>6244</v>
      </c>
      <c r="AP172" s="1">
        <v>86266</v>
      </c>
      <c r="AQ172" s="1">
        <v>13.2008896502241</v>
      </c>
    </row>
    <row r="173" spans="1:43" x14ac:dyDescent="0.45">
      <c r="A173" s="1">
        <v>172</v>
      </c>
      <c r="B173" s="1">
        <v>143</v>
      </c>
      <c r="C173" s="1">
        <v>64</v>
      </c>
      <c r="D173" s="1" t="s">
        <v>99</v>
      </c>
      <c r="E173" s="1" t="s">
        <v>100</v>
      </c>
      <c r="F173" s="1" t="s">
        <v>101</v>
      </c>
      <c r="G173" s="1" t="s">
        <v>46</v>
      </c>
      <c r="H173" s="1" t="s">
        <v>47</v>
      </c>
      <c r="I173" s="1">
        <v>1411</v>
      </c>
      <c r="J173" s="1">
        <v>38055</v>
      </c>
      <c r="K173" s="1">
        <v>1</v>
      </c>
      <c r="L173" s="1">
        <v>63</v>
      </c>
      <c r="M173" s="1">
        <v>2225</v>
      </c>
      <c r="N173" s="1" t="s">
        <v>48</v>
      </c>
      <c r="O173" s="1">
        <v>198818</v>
      </c>
      <c r="P173" s="1">
        <v>94</v>
      </c>
      <c r="Q173" s="1" t="s">
        <v>125</v>
      </c>
      <c r="R173" s="1" t="s">
        <v>50</v>
      </c>
      <c r="S173" s="1">
        <v>0</v>
      </c>
      <c r="T173" s="1">
        <v>0</v>
      </c>
      <c r="U173" s="1">
        <v>217.74799999999999</v>
      </c>
      <c r="V173" s="1">
        <v>21.881</v>
      </c>
      <c r="W173" s="1">
        <v>1.71</v>
      </c>
      <c r="X173" s="1">
        <v>4.6319999999999997</v>
      </c>
      <c r="Y173" s="1">
        <v>26.513999999999999</v>
      </c>
      <c r="Z173" s="1">
        <v>2.9000000000000001E-2</v>
      </c>
      <c r="AA173" s="1">
        <v>-2</v>
      </c>
      <c r="AB173" s="1">
        <v>0.9</v>
      </c>
      <c r="AC173" s="1">
        <v>0.9</v>
      </c>
      <c r="AD173" s="1">
        <v>4.6319999999999997</v>
      </c>
      <c r="AE173" s="1">
        <v>1E-3</v>
      </c>
      <c r="AF173" s="1">
        <v>0.01</v>
      </c>
      <c r="AI173" s="1">
        <v>0</v>
      </c>
      <c r="AJ173" s="1">
        <v>0</v>
      </c>
      <c r="AK173" s="1">
        <v>0</v>
      </c>
      <c r="AL173" s="1">
        <v>1</v>
      </c>
      <c r="AM173" s="1">
        <v>86400</v>
      </c>
      <c r="AN173" s="1">
        <v>75253</v>
      </c>
      <c r="AO173" s="1">
        <v>11147</v>
      </c>
      <c r="AP173" s="1">
        <v>86299</v>
      </c>
      <c r="AQ173" s="1">
        <v>2.1189163386238858</v>
      </c>
    </row>
    <row r="174" spans="1:43" x14ac:dyDescent="0.45">
      <c r="A174" s="1">
        <v>173</v>
      </c>
      <c r="B174" s="1">
        <v>143</v>
      </c>
      <c r="C174" s="1">
        <v>64</v>
      </c>
      <c r="D174" s="1" t="s">
        <v>99</v>
      </c>
      <c r="E174" s="1" t="s">
        <v>100</v>
      </c>
      <c r="F174" s="1" t="s">
        <v>101</v>
      </c>
      <c r="G174" s="1" t="s">
        <v>46</v>
      </c>
      <c r="H174" s="1" t="s">
        <v>47</v>
      </c>
      <c r="I174" s="1">
        <v>1411</v>
      </c>
      <c r="J174" s="1">
        <v>38055</v>
      </c>
      <c r="K174" s="1">
        <v>1</v>
      </c>
      <c r="L174" s="1">
        <v>63</v>
      </c>
      <c r="M174" s="1">
        <v>2226</v>
      </c>
      <c r="N174" s="1" t="s">
        <v>48</v>
      </c>
      <c r="O174" s="1">
        <v>198819</v>
      </c>
      <c r="P174" s="1">
        <v>94</v>
      </c>
      <c r="Q174" s="1" t="s">
        <v>125</v>
      </c>
      <c r="R174" s="1" t="s">
        <v>50</v>
      </c>
      <c r="S174" s="1">
        <v>0</v>
      </c>
      <c r="T174" s="1">
        <v>0</v>
      </c>
      <c r="U174" s="1">
        <v>726.38900000000001</v>
      </c>
      <c r="V174" s="1">
        <v>21.905000000000001</v>
      </c>
      <c r="W174" s="1">
        <v>1.7</v>
      </c>
      <c r="X174" s="1">
        <v>4.609</v>
      </c>
      <c r="Y174" s="1">
        <v>26.513999999999999</v>
      </c>
      <c r="Z174" s="1">
        <v>1.2999999999999999E-2</v>
      </c>
      <c r="AA174" s="1">
        <v>-1.2</v>
      </c>
      <c r="AB174" s="1">
        <v>-2.5</v>
      </c>
      <c r="AC174" s="1">
        <v>-2.5</v>
      </c>
      <c r="AD174" s="1">
        <v>4.609</v>
      </c>
      <c r="AE174" s="1">
        <v>1E-3</v>
      </c>
      <c r="AF174" s="1">
        <v>6.0000000000000001E-3</v>
      </c>
      <c r="AI174" s="1">
        <v>0</v>
      </c>
      <c r="AJ174" s="1">
        <v>0</v>
      </c>
      <c r="AK174" s="1">
        <v>0</v>
      </c>
      <c r="AL174" s="1">
        <v>1</v>
      </c>
      <c r="AM174" s="1">
        <v>86400</v>
      </c>
      <c r="AN174" s="1">
        <v>74005</v>
      </c>
      <c r="AO174" s="1">
        <v>12395</v>
      </c>
      <c r="AP174" s="1">
        <v>86355</v>
      </c>
      <c r="AQ174" s="1">
        <v>15.51755964572809</v>
      </c>
    </row>
    <row r="175" spans="1:43" x14ac:dyDescent="0.45">
      <c r="A175" s="1">
        <v>174</v>
      </c>
      <c r="B175" s="1">
        <v>143</v>
      </c>
      <c r="C175" s="1">
        <v>64</v>
      </c>
      <c r="D175" s="1" t="s">
        <v>99</v>
      </c>
      <c r="E175" s="1" t="s">
        <v>100</v>
      </c>
      <c r="F175" s="1" t="s">
        <v>101</v>
      </c>
      <c r="G175" s="1" t="s">
        <v>46</v>
      </c>
      <c r="H175" s="1" t="s">
        <v>47</v>
      </c>
      <c r="I175" s="1">
        <v>1411</v>
      </c>
      <c r="J175" s="1">
        <v>38055</v>
      </c>
      <c r="K175" s="1">
        <v>1</v>
      </c>
      <c r="L175" s="1">
        <v>63</v>
      </c>
      <c r="M175" s="1">
        <v>2229</v>
      </c>
      <c r="N175" s="1" t="s">
        <v>48</v>
      </c>
      <c r="O175" s="1">
        <v>198822</v>
      </c>
      <c r="P175" s="1">
        <v>94</v>
      </c>
      <c r="Q175" s="1" t="s">
        <v>125</v>
      </c>
      <c r="R175" s="1" t="s">
        <v>50</v>
      </c>
      <c r="S175" s="1">
        <v>0</v>
      </c>
      <c r="T175" s="1">
        <v>0</v>
      </c>
      <c r="U175" s="1">
        <v>452.39499999999998</v>
      </c>
      <c r="V175" s="1">
        <v>21.888000000000002</v>
      </c>
      <c r="W175" s="1">
        <v>1.71</v>
      </c>
      <c r="X175" s="1">
        <v>4.6260000000000003</v>
      </c>
      <c r="Y175" s="1">
        <v>26.513999999999999</v>
      </c>
      <c r="Z175" s="1">
        <v>3.5999999999999997E-2</v>
      </c>
      <c r="AA175" s="1">
        <v>-1.5</v>
      </c>
      <c r="AB175" s="1">
        <v>-2</v>
      </c>
      <c r="AC175" s="1">
        <v>-2</v>
      </c>
      <c r="AD175" s="1">
        <v>4.6260000000000003</v>
      </c>
      <c r="AE175" s="1">
        <v>2E-3</v>
      </c>
      <c r="AF175" s="1">
        <v>1.4E-2</v>
      </c>
      <c r="AI175" s="1">
        <v>0</v>
      </c>
      <c r="AJ175" s="1">
        <v>0</v>
      </c>
      <c r="AK175" s="1">
        <v>0</v>
      </c>
      <c r="AL175" s="1">
        <v>1</v>
      </c>
      <c r="AM175" s="1">
        <v>86400</v>
      </c>
      <c r="AN175" s="1">
        <v>74923</v>
      </c>
      <c r="AO175" s="1">
        <v>11477</v>
      </c>
      <c r="AP175" s="1">
        <v>86286</v>
      </c>
      <c r="AQ175" s="1">
        <v>2.3511520457252209</v>
      </c>
    </row>
    <row r="176" spans="1:43" x14ac:dyDescent="0.45">
      <c r="A176" s="1">
        <v>175</v>
      </c>
      <c r="B176" s="1">
        <v>143</v>
      </c>
      <c r="C176" s="1">
        <v>64</v>
      </c>
      <c r="D176" s="1" t="s">
        <v>99</v>
      </c>
      <c r="E176" s="1" t="s">
        <v>100</v>
      </c>
      <c r="F176" s="1" t="s">
        <v>101</v>
      </c>
      <c r="G176" s="1" t="s">
        <v>46</v>
      </c>
      <c r="H176" s="1" t="s">
        <v>47</v>
      </c>
      <c r="I176" s="1">
        <v>1411</v>
      </c>
      <c r="J176" s="1">
        <v>38055</v>
      </c>
      <c r="K176" s="1">
        <v>1</v>
      </c>
      <c r="L176" s="1">
        <v>63</v>
      </c>
      <c r="M176" s="1">
        <v>2230</v>
      </c>
      <c r="N176" s="1" t="s">
        <v>48</v>
      </c>
      <c r="O176" s="1">
        <v>198823</v>
      </c>
      <c r="P176" s="1">
        <v>94</v>
      </c>
      <c r="Q176" s="1" t="s">
        <v>125</v>
      </c>
      <c r="R176" s="1" t="s">
        <v>50</v>
      </c>
      <c r="S176" s="1">
        <v>0</v>
      </c>
      <c r="T176" s="1">
        <v>0</v>
      </c>
      <c r="U176" s="1">
        <v>457.721</v>
      </c>
      <c r="V176" s="1">
        <v>21.972000000000001</v>
      </c>
      <c r="W176" s="1">
        <v>1.69</v>
      </c>
      <c r="X176" s="1">
        <v>4.5419999999999998</v>
      </c>
      <c r="Y176" s="1">
        <v>26.513999999999999</v>
      </c>
      <c r="Z176" s="1">
        <v>1.9E-2</v>
      </c>
      <c r="AA176" s="1">
        <v>0.5</v>
      </c>
      <c r="AB176" s="1">
        <v>1.8</v>
      </c>
      <c r="AC176" s="1">
        <v>1.8</v>
      </c>
      <c r="AD176" s="1">
        <v>4.5419999999999998</v>
      </c>
      <c r="AE176" s="1">
        <v>0</v>
      </c>
      <c r="AF176" s="1">
        <v>0.01</v>
      </c>
      <c r="AI176" s="1">
        <v>0</v>
      </c>
      <c r="AJ176" s="1">
        <v>0</v>
      </c>
      <c r="AK176" s="1">
        <v>0</v>
      </c>
      <c r="AL176" s="1">
        <v>1</v>
      </c>
      <c r="AM176" s="1">
        <v>86400</v>
      </c>
      <c r="AN176" s="1">
        <v>70289</v>
      </c>
      <c r="AO176" s="1">
        <v>16111</v>
      </c>
      <c r="AP176" s="1">
        <v>86196</v>
      </c>
      <c r="AQ176" s="1">
        <v>35.312191187687972</v>
      </c>
    </row>
    <row r="177" spans="1:43" x14ac:dyDescent="0.45">
      <c r="A177" s="1">
        <v>176</v>
      </c>
      <c r="B177" s="1">
        <v>143</v>
      </c>
      <c r="C177" s="1">
        <v>64</v>
      </c>
      <c r="D177" s="1" t="s">
        <v>99</v>
      </c>
      <c r="E177" s="1" t="s">
        <v>100</v>
      </c>
      <c r="F177" s="1" t="s">
        <v>101</v>
      </c>
      <c r="G177" s="1" t="s">
        <v>46</v>
      </c>
      <c r="H177" s="1" t="s">
        <v>47</v>
      </c>
      <c r="I177" s="1">
        <v>1411</v>
      </c>
      <c r="J177" s="1">
        <v>38055</v>
      </c>
      <c r="K177" s="1">
        <v>1</v>
      </c>
      <c r="L177" s="1">
        <v>63</v>
      </c>
      <c r="M177" s="1">
        <v>2231</v>
      </c>
      <c r="N177" s="1" t="s">
        <v>48</v>
      </c>
      <c r="O177" s="1">
        <v>198824</v>
      </c>
      <c r="P177" s="1">
        <v>94</v>
      </c>
      <c r="Q177" s="1" t="s">
        <v>125</v>
      </c>
      <c r="R177" s="1" t="s">
        <v>50</v>
      </c>
      <c r="S177" s="1">
        <v>0</v>
      </c>
      <c r="T177" s="1">
        <v>0</v>
      </c>
      <c r="U177" s="1">
        <v>446.22899999999998</v>
      </c>
      <c r="V177" s="1">
        <v>21.9</v>
      </c>
      <c r="W177" s="1">
        <v>1.7</v>
      </c>
      <c r="X177" s="1">
        <v>4.6139999999999999</v>
      </c>
      <c r="Y177" s="1">
        <v>26.513999999999999</v>
      </c>
      <c r="Z177" s="1">
        <v>2.5999999999999999E-2</v>
      </c>
      <c r="AA177" s="1">
        <v>-1.7</v>
      </c>
      <c r="AB177" s="1">
        <v>-2.1</v>
      </c>
      <c r="AC177" s="1">
        <v>-2.1</v>
      </c>
      <c r="AD177" s="1">
        <v>4.6139999999999999</v>
      </c>
      <c r="AE177" s="1">
        <v>2E-3</v>
      </c>
      <c r="AF177" s="1">
        <v>1.7000000000000001E-2</v>
      </c>
      <c r="AI177" s="1">
        <v>0</v>
      </c>
      <c r="AJ177" s="1">
        <v>0</v>
      </c>
      <c r="AK177" s="1">
        <v>0</v>
      </c>
      <c r="AL177" s="1">
        <v>1</v>
      </c>
      <c r="AM177" s="1">
        <v>86400</v>
      </c>
      <c r="AN177" s="1">
        <v>74261</v>
      </c>
      <c r="AO177" s="1">
        <v>12139</v>
      </c>
      <c r="AP177" s="1">
        <v>86250</v>
      </c>
      <c r="AQ177" s="1">
        <v>8.3137607862681389</v>
      </c>
    </row>
    <row r="178" spans="1:43" x14ac:dyDescent="0.45">
      <c r="A178" s="1">
        <v>177</v>
      </c>
      <c r="B178" s="1">
        <v>143</v>
      </c>
      <c r="C178" s="1">
        <v>64</v>
      </c>
      <c r="D178" s="1" t="s">
        <v>99</v>
      </c>
      <c r="E178" s="1" t="s">
        <v>100</v>
      </c>
      <c r="F178" s="1" t="s">
        <v>101</v>
      </c>
      <c r="G178" s="1" t="s">
        <v>46</v>
      </c>
      <c r="H178" s="1" t="s">
        <v>47</v>
      </c>
      <c r="I178" s="1">
        <v>1411</v>
      </c>
      <c r="J178" s="1">
        <v>38055</v>
      </c>
      <c r="K178" s="1">
        <v>1</v>
      </c>
      <c r="L178" s="1">
        <v>63</v>
      </c>
      <c r="M178" s="1">
        <v>2232</v>
      </c>
      <c r="N178" s="1" t="s">
        <v>48</v>
      </c>
      <c r="O178" s="1">
        <v>198825</v>
      </c>
      <c r="P178" s="1">
        <v>94</v>
      </c>
      <c r="Q178" s="1" t="s">
        <v>125</v>
      </c>
      <c r="R178" s="1" t="s">
        <v>50</v>
      </c>
      <c r="S178" s="1">
        <v>0</v>
      </c>
      <c r="T178" s="1">
        <v>0</v>
      </c>
      <c r="U178" s="1">
        <v>420.69600000000003</v>
      </c>
      <c r="V178" s="1">
        <v>21.959</v>
      </c>
      <c r="W178" s="1">
        <v>1.69</v>
      </c>
      <c r="X178" s="1">
        <v>4.5549999999999997</v>
      </c>
      <c r="Y178" s="1">
        <v>26.513999999999999</v>
      </c>
      <c r="Z178" s="1">
        <v>0.02</v>
      </c>
      <c r="AA178" s="1">
        <v>-0.4</v>
      </c>
      <c r="AB178" s="1">
        <v>0.5</v>
      </c>
      <c r="AC178" s="1">
        <v>0.5</v>
      </c>
      <c r="AD178" s="1">
        <v>4.5549999999999997</v>
      </c>
      <c r="AE178" s="1">
        <v>0</v>
      </c>
      <c r="AF178" s="1">
        <v>1.4999999999999999E-2</v>
      </c>
      <c r="AI178" s="1">
        <v>0</v>
      </c>
      <c r="AJ178" s="1">
        <v>0</v>
      </c>
      <c r="AK178" s="1">
        <v>0</v>
      </c>
      <c r="AL178" s="1">
        <v>1</v>
      </c>
      <c r="AM178" s="1">
        <v>86400</v>
      </c>
      <c r="AN178" s="1">
        <v>71026</v>
      </c>
      <c r="AO178" s="1">
        <v>15374</v>
      </c>
      <c r="AP178" s="1">
        <v>86223</v>
      </c>
      <c r="AQ178" s="1">
        <v>29.450668699661989</v>
      </c>
    </row>
    <row r="179" spans="1:43" x14ac:dyDescent="0.45">
      <c r="A179" s="1">
        <v>178</v>
      </c>
      <c r="B179" s="1">
        <v>143</v>
      </c>
      <c r="C179" s="1">
        <v>64</v>
      </c>
      <c r="D179" s="1" t="s">
        <v>99</v>
      </c>
      <c r="E179" s="1" t="s">
        <v>100</v>
      </c>
      <c r="F179" s="1" t="s">
        <v>101</v>
      </c>
      <c r="G179" s="1" t="s">
        <v>46</v>
      </c>
      <c r="H179" s="1" t="s">
        <v>47</v>
      </c>
      <c r="I179" s="1">
        <v>1411</v>
      </c>
      <c r="J179" s="1">
        <v>38055</v>
      </c>
      <c r="K179" s="1">
        <v>1</v>
      </c>
      <c r="L179" s="1">
        <v>63</v>
      </c>
      <c r="M179" s="1">
        <v>2233</v>
      </c>
      <c r="N179" s="1" t="s">
        <v>48</v>
      </c>
      <c r="O179" s="1">
        <v>198827</v>
      </c>
      <c r="P179" s="1">
        <v>94</v>
      </c>
      <c r="Q179" s="1" t="s">
        <v>125</v>
      </c>
      <c r="R179" s="1" t="s">
        <v>50</v>
      </c>
      <c r="S179" s="1">
        <v>0</v>
      </c>
      <c r="T179" s="1">
        <v>0</v>
      </c>
      <c r="U179" s="1">
        <v>182.84700000000001</v>
      </c>
      <c r="V179" s="1">
        <v>21.972999999999999</v>
      </c>
      <c r="W179" s="1">
        <v>1.69</v>
      </c>
      <c r="X179" s="1">
        <v>4.5410000000000004</v>
      </c>
      <c r="Y179" s="1">
        <v>26.513999999999999</v>
      </c>
      <c r="Z179" s="1">
        <v>2.5000000000000001E-2</v>
      </c>
      <c r="AA179" s="1">
        <v>-1.7</v>
      </c>
      <c r="AB179" s="1">
        <v>-2.7</v>
      </c>
      <c r="AC179" s="1">
        <v>-2.7</v>
      </c>
      <c r="AD179" s="1">
        <v>4.5410000000000004</v>
      </c>
      <c r="AE179" s="1">
        <v>2E-3</v>
      </c>
      <c r="AF179" s="1">
        <v>8.9999999999999993E-3</v>
      </c>
      <c r="AI179" s="1">
        <v>0</v>
      </c>
      <c r="AJ179" s="1">
        <v>0</v>
      </c>
      <c r="AK179" s="1">
        <v>0</v>
      </c>
      <c r="AL179" s="1">
        <v>1</v>
      </c>
      <c r="AM179" s="1">
        <v>86400</v>
      </c>
      <c r="AN179" s="1">
        <v>70196</v>
      </c>
      <c r="AO179" s="1">
        <v>16204</v>
      </c>
      <c r="AP179" s="1">
        <v>86303</v>
      </c>
      <c r="AQ179" s="1">
        <v>13.316614286791451</v>
      </c>
    </row>
    <row r="180" spans="1:43" x14ac:dyDescent="0.45">
      <c r="A180" s="1">
        <v>179</v>
      </c>
      <c r="B180" s="1">
        <v>143</v>
      </c>
      <c r="C180" s="1">
        <v>64</v>
      </c>
      <c r="D180" s="1" t="s">
        <v>99</v>
      </c>
      <c r="E180" s="1" t="s">
        <v>100</v>
      </c>
      <c r="F180" s="1" t="s">
        <v>101</v>
      </c>
      <c r="G180" s="1" t="s">
        <v>46</v>
      </c>
      <c r="H180" s="1" t="s">
        <v>47</v>
      </c>
      <c r="I180" s="1">
        <v>1411</v>
      </c>
      <c r="J180" s="1">
        <v>38055</v>
      </c>
      <c r="K180" s="1">
        <v>1</v>
      </c>
      <c r="L180" s="1">
        <v>63</v>
      </c>
      <c r="M180" s="1">
        <v>2234</v>
      </c>
      <c r="N180" s="1" t="s">
        <v>48</v>
      </c>
      <c r="O180" s="1">
        <v>198828</v>
      </c>
      <c r="P180" s="1">
        <v>94</v>
      </c>
      <c r="Q180" s="1" t="s">
        <v>125</v>
      </c>
      <c r="R180" s="1" t="s">
        <v>50</v>
      </c>
      <c r="S180" s="1">
        <v>0</v>
      </c>
      <c r="T180" s="1">
        <v>0</v>
      </c>
      <c r="U180" s="1">
        <v>91.424000000000007</v>
      </c>
      <c r="V180" s="1">
        <v>22.026</v>
      </c>
      <c r="W180" s="1">
        <v>1.68</v>
      </c>
      <c r="X180" s="1">
        <v>4.4880000000000004</v>
      </c>
      <c r="Y180" s="1">
        <v>26.513999999999999</v>
      </c>
      <c r="Z180" s="1">
        <v>2.1000000000000001E-2</v>
      </c>
      <c r="AA180" s="1">
        <v>-2.2000000000000002</v>
      </c>
      <c r="AB180" s="1">
        <v>-2.7</v>
      </c>
      <c r="AC180" s="1">
        <v>-2.7</v>
      </c>
      <c r="AD180" s="1">
        <v>4.4880000000000004</v>
      </c>
      <c r="AE180" s="1">
        <v>2E-3</v>
      </c>
      <c r="AF180" s="1">
        <v>8.9999999999999993E-3</v>
      </c>
      <c r="AI180" s="1">
        <v>0</v>
      </c>
      <c r="AJ180" s="1">
        <v>0</v>
      </c>
      <c r="AK180" s="1">
        <v>0</v>
      </c>
      <c r="AL180" s="1">
        <v>1</v>
      </c>
      <c r="AM180" s="1">
        <v>86400</v>
      </c>
      <c r="AN180" s="1">
        <v>67283</v>
      </c>
      <c r="AO180" s="1">
        <v>19117</v>
      </c>
      <c r="AP180" s="1">
        <v>86307</v>
      </c>
      <c r="AQ180" s="1">
        <v>6.674082864382977</v>
      </c>
    </row>
    <row r="181" spans="1:43" x14ac:dyDescent="0.45">
      <c r="A181" s="1">
        <v>180</v>
      </c>
      <c r="B181" s="1">
        <v>143</v>
      </c>
      <c r="C181" s="1">
        <v>64</v>
      </c>
      <c r="D181" s="1" t="s">
        <v>99</v>
      </c>
      <c r="E181" s="1" t="s">
        <v>100</v>
      </c>
      <c r="F181" s="1" t="s">
        <v>101</v>
      </c>
      <c r="G181" s="1" t="s">
        <v>46</v>
      </c>
      <c r="H181" s="1" t="s">
        <v>47</v>
      </c>
      <c r="I181" s="1">
        <v>1411</v>
      </c>
      <c r="J181" s="1">
        <v>38055</v>
      </c>
      <c r="K181" s="1">
        <v>1</v>
      </c>
      <c r="L181" s="1">
        <v>63</v>
      </c>
      <c r="M181" s="1">
        <v>2236</v>
      </c>
      <c r="N181" s="1" t="s">
        <v>48</v>
      </c>
      <c r="O181" s="1">
        <v>198830</v>
      </c>
      <c r="P181" s="1">
        <v>94</v>
      </c>
      <c r="Q181" s="1" t="s">
        <v>125</v>
      </c>
      <c r="R181" s="1" t="s">
        <v>50</v>
      </c>
      <c r="S181" s="1">
        <v>0</v>
      </c>
      <c r="T181" s="1">
        <v>0</v>
      </c>
      <c r="U181" s="1">
        <v>91.95</v>
      </c>
      <c r="V181" s="1">
        <v>22.048999999999999</v>
      </c>
      <c r="W181" s="1">
        <v>1.68</v>
      </c>
      <c r="X181" s="1">
        <v>4.4649999999999999</v>
      </c>
      <c r="Y181" s="1">
        <v>26.513999999999999</v>
      </c>
      <c r="Z181" s="1">
        <v>1.9E-2</v>
      </c>
      <c r="AA181" s="1">
        <v>-2</v>
      </c>
      <c r="AB181" s="1">
        <v>-2.9</v>
      </c>
      <c r="AC181" s="1">
        <v>-2.9</v>
      </c>
      <c r="AD181" s="1">
        <v>4.4649999999999999</v>
      </c>
      <c r="AE181" s="1">
        <v>2E-3</v>
      </c>
      <c r="AF181" s="1">
        <v>1.9E-2</v>
      </c>
      <c r="AI181" s="1">
        <v>0</v>
      </c>
      <c r="AJ181" s="1">
        <v>0</v>
      </c>
      <c r="AK181" s="1">
        <v>0</v>
      </c>
      <c r="AL181" s="1">
        <v>1</v>
      </c>
      <c r="AM181" s="1">
        <v>86400</v>
      </c>
      <c r="AN181" s="1">
        <v>66084</v>
      </c>
      <c r="AO181" s="1">
        <v>20316</v>
      </c>
      <c r="AP181" s="1">
        <v>86322</v>
      </c>
      <c r="AQ181" s="1">
        <v>9.6542195110212443</v>
      </c>
    </row>
    <row r="182" spans="1:43" x14ac:dyDescent="0.45">
      <c r="A182" s="1">
        <v>181</v>
      </c>
      <c r="B182" s="1">
        <v>143</v>
      </c>
      <c r="C182" s="1">
        <v>64</v>
      </c>
      <c r="D182" s="1" t="s">
        <v>99</v>
      </c>
      <c r="E182" s="1" t="s">
        <v>100</v>
      </c>
      <c r="F182" s="1" t="s">
        <v>101</v>
      </c>
      <c r="G182" s="1" t="s">
        <v>46</v>
      </c>
      <c r="H182" s="1" t="s">
        <v>47</v>
      </c>
      <c r="I182" s="1">
        <v>1411</v>
      </c>
      <c r="J182" s="1">
        <v>38055</v>
      </c>
      <c r="K182" s="1">
        <v>1</v>
      </c>
      <c r="L182" s="1">
        <v>63</v>
      </c>
      <c r="M182" s="1">
        <v>2237</v>
      </c>
      <c r="N182" s="1" t="s">
        <v>48</v>
      </c>
      <c r="O182" s="1">
        <v>198831</v>
      </c>
      <c r="P182" s="1">
        <v>94</v>
      </c>
      <c r="Q182" s="1" t="s">
        <v>125</v>
      </c>
      <c r="R182" s="1" t="s">
        <v>50</v>
      </c>
      <c r="S182" s="1">
        <v>0</v>
      </c>
      <c r="T182" s="1">
        <v>0</v>
      </c>
      <c r="U182" s="1">
        <v>52.819000000000003</v>
      </c>
      <c r="V182" s="1">
        <v>22.129000000000001</v>
      </c>
      <c r="W182" s="1">
        <v>1.67</v>
      </c>
      <c r="X182" s="1">
        <v>4.3849999999999998</v>
      </c>
      <c r="Y182" s="1">
        <v>26.513999999999999</v>
      </c>
      <c r="Z182" s="1">
        <v>3.6999999999999998E-2</v>
      </c>
      <c r="AA182" s="1">
        <v>-2.2000000000000002</v>
      </c>
      <c r="AB182" s="1">
        <v>-2.7</v>
      </c>
      <c r="AC182" s="1">
        <v>-2.7</v>
      </c>
      <c r="AD182" s="1">
        <v>4.3849999999999998</v>
      </c>
      <c r="AE182" s="1">
        <v>2E-3</v>
      </c>
      <c r="AF182" s="1">
        <v>2.5999999999999999E-2</v>
      </c>
      <c r="AI182" s="1">
        <v>0</v>
      </c>
      <c r="AJ182" s="1">
        <v>0</v>
      </c>
      <c r="AK182" s="1">
        <v>0</v>
      </c>
      <c r="AL182" s="1">
        <v>1</v>
      </c>
      <c r="AM182" s="1">
        <v>86400</v>
      </c>
      <c r="AN182" s="1">
        <v>62123</v>
      </c>
      <c r="AO182" s="1">
        <v>24277</v>
      </c>
      <c r="AP182" s="1">
        <v>86190</v>
      </c>
      <c r="AQ182" s="1">
        <v>2.63378111287494</v>
      </c>
    </row>
    <row r="183" spans="1:43" x14ac:dyDescent="0.45">
      <c r="A183" s="1">
        <v>182</v>
      </c>
      <c r="B183" s="1">
        <v>143</v>
      </c>
      <c r="C183" s="1">
        <v>64</v>
      </c>
      <c r="D183" s="1" t="s">
        <v>99</v>
      </c>
      <c r="E183" s="1" t="s">
        <v>100</v>
      </c>
      <c r="F183" s="1" t="s">
        <v>101</v>
      </c>
      <c r="G183" s="1" t="s">
        <v>46</v>
      </c>
      <c r="H183" s="1" t="s">
        <v>47</v>
      </c>
      <c r="I183" s="1">
        <v>1411</v>
      </c>
      <c r="J183" s="1">
        <v>38055</v>
      </c>
      <c r="K183" s="1">
        <v>1</v>
      </c>
      <c r="L183" s="1">
        <v>63</v>
      </c>
      <c r="M183" s="1">
        <v>2238</v>
      </c>
      <c r="N183" s="1" t="s">
        <v>48</v>
      </c>
      <c r="O183" s="1">
        <v>198878</v>
      </c>
      <c r="P183" s="1">
        <v>94</v>
      </c>
      <c r="Q183" s="1" t="s">
        <v>125</v>
      </c>
      <c r="R183" s="1" t="s">
        <v>50</v>
      </c>
      <c r="S183" s="1">
        <v>0</v>
      </c>
      <c r="T183" s="1">
        <v>0</v>
      </c>
      <c r="U183" s="1">
        <v>73.399000000000001</v>
      </c>
      <c r="V183" s="1">
        <v>22.128</v>
      </c>
      <c r="W183" s="1">
        <v>1.67</v>
      </c>
      <c r="X183" s="1">
        <v>4.3860000000000001</v>
      </c>
      <c r="Y183" s="1">
        <v>26.513999999999999</v>
      </c>
      <c r="Z183" s="1">
        <v>5.5E-2</v>
      </c>
      <c r="AA183" s="1">
        <v>-2.9</v>
      </c>
      <c r="AB183" s="1">
        <v>1.9</v>
      </c>
      <c r="AC183" s="1">
        <v>1.9</v>
      </c>
      <c r="AD183" s="1">
        <v>4.3860000000000001</v>
      </c>
      <c r="AE183" s="1">
        <v>6.0000000000000001E-3</v>
      </c>
      <c r="AF183" s="1">
        <v>8.7999999999999995E-2</v>
      </c>
      <c r="AI183" s="1">
        <v>0</v>
      </c>
      <c r="AJ183" s="1">
        <v>0</v>
      </c>
      <c r="AK183" s="1">
        <v>0</v>
      </c>
      <c r="AL183" s="1">
        <v>1</v>
      </c>
      <c r="AM183" s="1">
        <v>86400</v>
      </c>
      <c r="AN183" s="1">
        <v>62186</v>
      </c>
      <c r="AO183" s="1">
        <v>24214</v>
      </c>
      <c r="AP183" s="1">
        <v>86315</v>
      </c>
      <c r="AQ183" s="1">
        <v>7.1280436310846298</v>
      </c>
    </row>
    <row r="184" spans="1:43" x14ac:dyDescent="0.45">
      <c r="A184" s="1">
        <v>183</v>
      </c>
      <c r="B184" s="1">
        <v>143</v>
      </c>
      <c r="C184" s="1">
        <v>64</v>
      </c>
      <c r="D184" s="1" t="s">
        <v>99</v>
      </c>
      <c r="E184" s="1" t="s">
        <v>100</v>
      </c>
      <c r="F184" s="1" t="s">
        <v>101</v>
      </c>
      <c r="G184" s="1" t="s">
        <v>46</v>
      </c>
      <c r="H184" s="1" t="s">
        <v>47</v>
      </c>
      <c r="I184" s="1">
        <v>1411</v>
      </c>
      <c r="J184" s="1">
        <v>38055</v>
      </c>
      <c r="K184" s="1">
        <v>1</v>
      </c>
      <c r="L184" s="1">
        <v>63</v>
      </c>
      <c r="M184" s="1">
        <v>2239</v>
      </c>
      <c r="N184" s="1" t="s">
        <v>48</v>
      </c>
      <c r="O184" s="1">
        <v>198880</v>
      </c>
      <c r="P184" s="1">
        <v>94</v>
      </c>
      <c r="Q184" s="1" t="s">
        <v>125</v>
      </c>
      <c r="R184" s="1" t="s">
        <v>50</v>
      </c>
      <c r="S184" s="1">
        <v>0</v>
      </c>
      <c r="T184" s="1">
        <v>0</v>
      </c>
      <c r="U184" s="1">
        <v>136.09700000000001</v>
      </c>
      <c r="V184" s="1">
        <v>21.954999999999998</v>
      </c>
      <c r="W184" s="1">
        <v>1.7</v>
      </c>
      <c r="X184" s="1">
        <v>4.5590000000000002</v>
      </c>
      <c r="Y184" s="1">
        <v>26.513999999999999</v>
      </c>
      <c r="Z184" s="1">
        <v>3.9E-2</v>
      </c>
      <c r="AA184" s="1">
        <v>-1.8</v>
      </c>
      <c r="AB184" s="1">
        <v>1.9</v>
      </c>
      <c r="AC184" s="1">
        <v>1.9</v>
      </c>
      <c r="AD184" s="1">
        <v>4.5590000000000002</v>
      </c>
      <c r="AE184" s="1">
        <v>2E-3</v>
      </c>
      <c r="AF184" s="1">
        <v>8.0000000000000002E-3</v>
      </c>
      <c r="AI184" s="1">
        <v>0</v>
      </c>
      <c r="AJ184" s="1">
        <v>0</v>
      </c>
      <c r="AK184" s="1">
        <v>0</v>
      </c>
      <c r="AL184" s="1">
        <v>1</v>
      </c>
      <c r="AM184" s="1">
        <v>86400</v>
      </c>
      <c r="AN184" s="1">
        <v>71288</v>
      </c>
      <c r="AO184" s="1">
        <v>15112</v>
      </c>
      <c r="AP184" s="1">
        <v>86359</v>
      </c>
      <c r="AQ184" s="1">
        <v>7.2449964355107257</v>
      </c>
    </row>
    <row r="185" spans="1:43" x14ac:dyDescent="0.45">
      <c r="A185" s="1">
        <v>184</v>
      </c>
      <c r="B185" s="1">
        <v>168</v>
      </c>
      <c r="C185" s="1">
        <v>76</v>
      </c>
      <c r="D185" s="1" t="s">
        <v>118</v>
      </c>
      <c r="E185" s="1" t="s">
        <v>119</v>
      </c>
      <c r="F185" s="1" t="s">
        <v>120</v>
      </c>
      <c r="G185" s="1" t="s">
        <v>46</v>
      </c>
      <c r="H185" s="1" t="s">
        <v>47</v>
      </c>
      <c r="I185" s="1">
        <v>679</v>
      </c>
      <c r="J185" s="1">
        <v>24380</v>
      </c>
      <c r="K185" s="1">
        <v>1</v>
      </c>
      <c r="L185" s="1">
        <v>75</v>
      </c>
      <c r="M185" s="1">
        <v>1856</v>
      </c>
      <c r="N185" s="1" t="s">
        <v>48</v>
      </c>
      <c r="O185" s="1">
        <v>194050</v>
      </c>
      <c r="P185" s="1">
        <v>94</v>
      </c>
      <c r="Q185" s="1" t="s">
        <v>125</v>
      </c>
      <c r="R185" s="1" t="s">
        <v>50</v>
      </c>
      <c r="S185" s="1">
        <v>0</v>
      </c>
      <c r="T185" s="1">
        <v>0</v>
      </c>
      <c r="U185" s="1">
        <v>681.69200000000001</v>
      </c>
      <c r="V185" s="1">
        <v>25.199000000000002</v>
      </c>
      <c r="W185" s="1">
        <v>0.52</v>
      </c>
      <c r="X185" s="1">
        <v>0.154</v>
      </c>
      <c r="Y185" s="1">
        <v>25.353999999999999</v>
      </c>
      <c r="Z185" s="1">
        <v>7.0000000000000007E-2</v>
      </c>
      <c r="AA185" s="1">
        <v>-0.8</v>
      </c>
      <c r="AB185" s="1">
        <v>-0.9</v>
      </c>
      <c r="AC185" s="1">
        <v>-0.9</v>
      </c>
      <c r="AD185" s="1">
        <v>0.154</v>
      </c>
      <c r="AE185" s="1">
        <v>5.7000000000000002E-2</v>
      </c>
      <c r="AF185" s="1">
        <v>8.9999999999999993E-3</v>
      </c>
      <c r="AG185" s="1">
        <v>-0.8</v>
      </c>
      <c r="AI185" s="1">
        <v>0</v>
      </c>
      <c r="AJ185" s="1">
        <v>0</v>
      </c>
      <c r="AK185" s="1">
        <v>0</v>
      </c>
      <c r="AL185" s="1">
        <v>1</v>
      </c>
      <c r="AM185" s="1">
        <v>54906</v>
      </c>
      <c r="AN185" s="1">
        <v>15143</v>
      </c>
      <c r="AO185" s="1">
        <v>39763</v>
      </c>
      <c r="AP185" s="1">
        <v>49422</v>
      </c>
      <c r="AQ185" s="1">
        <v>0.28784801782867719</v>
      </c>
    </row>
    <row r="186" spans="1:43" x14ac:dyDescent="0.45">
      <c r="A186" s="1">
        <v>185</v>
      </c>
      <c r="B186" s="1">
        <v>170</v>
      </c>
      <c r="C186" s="1">
        <v>89</v>
      </c>
      <c r="D186" s="1" t="s">
        <v>121</v>
      </c>
      <c r="E186" s="1" t="s">
        <v>122</v>
      </c>
      <c r="F186" s="1" t="s">
        <v>123</v>
      </c>
      <c r="G186" s="1" t="s">
        <v>54</v>
      </c>
      <c r="H186" s="1" t="s">
        <v>47</v>
      </c>
      <c r="I186" s="1">
        <v>766</v>
      </c>
      <c r="J186" s="1">
        <v>21382</v>
      </c>
      <c r="K186" s="1">
        <v>1</v>
      </c>
      <c r="L186" s="1">
        <v>88</v>
      </c>
      <c r="M186" s="1">
        <v>1980</v>
      </c>
      <c r="N186" s="1" t="s">
        <v>48</v>
      </c>
      <c r="O186" s="1">
        <v>195155</v>
      </c>
      <c r="P186" s="1">
        <v>94</v>
      </c>
      <c r="Q186" s="1" t="s">
        <v>125</v>
      </c>
      <c r="R186" s="1" t="s">
        <v>50</v>
      </c>
      <c r="S186" s="1">
        <v>0</v>
      </c>
      <c r="T186" s="1">
        <v>0</v>
      </c>
      <c r="U186" s="1">
        <v>53.843000000000004</v>
      </c>
      <c r="V186" s="1">
        <v>20.477</v>
      </c>
      <c r="W186" s="1">
        <v>1.87</v>
      </c>
      <c r="X186" s="1">
        <v>4.9279999999999999</v>
      </c>
      <c r="Y186" s="1">
        <v>25.405000000000001</v>
      </c>
      <c r="Z186" s="1">
        <v>0.253</v>
      </c>
      <c r="AA186" s="1">
        <v>0.6</v>
      </c>
      <c r="AB186" s="1">
        <v>0.6</v>
      </c>
      <c r="AC186" s="1">
        <v>0.6</v>
      </c>
      <c r="AD186" s="1">
        <v>4.9279999999999999</v>
      </c>
      <c r="AE186" s="1">
        <v>0.253</v>
      </c>
      <c r="AF186" s="1">
        <v>1.246</v>
      </c>
      <c r="AG186" s="1">
        <v>0.6</v>
      </c>
      <c r="AI186" s="1">
        <v>0</v>
      </c>
      <c r="AJ186" s="1">
        <v>0</v>
      </c>
      <c r="AK186" s="1">
        <v>0</v>
      </c>
      <c r="AL186" s="1">
        <v>1</v>
      </c>
      <c r="AM186" s="1">
        <v>86400</v>
      </c>
      <c r="AN186" s="1">
        <v>78296</v>
      </c>
      <c r="AO186" s="1">
        <v>8104</v>
      </c>
      <c r="AP186" s="1">
        <v>50418</v>
      </c>
      <c r="AQ186" s="1">
        <v>5.6937170470055518</v>
      </c>
    </row>
    <row r="187" spans="1:43" x14ac:dyDescent="0.45">
      <c r="A187" s="1">
        <v>186</v>
      </c>
      <c r="B187" s="1">
        <v>170</v>
      </c>
      <c r="C187" s="1">
        <v>89</v>
      </c>
      <c r="D187" s="1" t="s">
        <v>121</v>
      </c>
      <c r="E187" s="1" t="s">
        <v>122</v>
      </c>
      <c r="F187" s="1" t="s">
        <v>123</v>
      </c>
      <c r="G187" s="1" t="s">
        <v>54</v>
      </c>
      <c r="H187" s="1" t="s">
        <v>47</v>
      </c>
      <c r="I187" s="1">
        <v>766</v>
      </c>
      <c r="J187" s="1">
        <v>21382</v>
      </c>
      <c r="K187" s="1">
        <v>1</v>
      </c>
      <c r="L187" s="1">
        <v>88</v>
      </c>
      <c r="M187" s="1">
        <v>1988</v>
      </c>
      <c r="N187" s="1" t="s">
        <v>48</v>
      </c>
      <c r="O187" s="1">
        <v>195163</v>
      </c>
      <c r="P187" s="1">
        <v>94</v>
      </c>
      <c r="Q187" s="1" t="s">
        <v>125</v>
      </c>
      <c r="R187" s="1" t="s">
        <v>50</v>
      </c>
      <c r="S187" s="1">
        <v>0</v>
      </c>
      <c r="T187" s="1">
        <v>0</v>
      </c>
      <c r="U187" s="1">
        <v>77.653000000000006</v>
      </c>
      <c r="V187" s="1">
        <v>21.117000000000001</v>
      </c>
      <c r="W187" s="1">
        <v>1.66</v>
      </c>
      <c r="X187" s="1">
        <v>4.29</v>
      </c>
      <c r="Y187" s="1">
        <v>25.407</v>
      </c>
      <c r="Z187" s="1">
        <v>0.55900000000000005</v>
      </c>
      <c r="AA187" s="1">
        <v>1.7</v>
      </c>
      <c r="AB187" s="1">
        <v>-1</v>
      </c>
      <c r="AC187" s="1">
        <v>0</v>
      </c>
      <c r="AD187" s="1">
        <v>4.2869999999999999</v>
      </c>
      <c r="AE187" s="1">
        <v>5.0000000000000001E-3</v>
      </c>
      <c r="AF187" s="1">
        <v>0.109</v>
      </c>
      <c r="AG187" s="1">
        <v>1.7</v>
      </c>
      <c r="AI187" s="1">
        <v>0</v>
      </c>
      <c r="AJ187" s="1">
        <v>0</v>
      </c>
      <c r="AK187" s="1">
        <v>0</v>
      </c>
      <c r="AL187" s="1">
        <v>1</v>
      </c>
      <c r="AM187" s="1">
        <v>79905</v>
      </c>
      <c r="AN187" s="1">
        <v>57149</v>
      </c>
      <c r="AO187" s="1">
        <v>22476</v>
      </c>
      <c r="AP187" s="1">
        <v>50426</v>
      </c>
      <c r="AQ187" s="1">
        <v>7.1683937504640411</v>
      </c>
    </row>
    <row r="188" spans="1:43" x14ac:dyDescent="0.45">
      <c r="A188" s="1">
        <v>187</v>
      </c>
      <c r="B188" s="1">
        <v>170</v>
      </c>
      <c r="C188" s="1">
        <v>89</v>
      </c>
      <c r="D188" s="1" t="s">
        <v>121</v>
      </c>
      <c r="E188" s="1" t="s">
        <v>122</v>
      </c>
      <c r="F188" s="1" t="s">
        <v>123</v>
      </c>
      <c r="G188" s="1" t="s">
        <v>54</v>
      </c>
      <c r="H188" s="1" t="s">
        <v>47</v>
      </c>
      <c r="I188" s="1">
        <v>766</v>
      </c>
      <c r="J188" s="1">
        <v>21382</v>
      </c>
      <c r="K188" s="1">
        <v>1</v>
      </c>
      <c r="L188" s="1">
        <v>88</v>
      </c>
      <c r="M188" s="1">
        <v>1990</v>
      </c>
      <c r="N188" s="1" t="s">
        <v>48</v>
      </c>
      <c r="O188" s="1">
        <v>195165</v>
      </c>
      <c r="P188" s="1">
        <v>94</v>
      </c>
      <c r="Q188" s="1" t="s">
        <v>125</v>
      </c>
      <c r="R188" s="1" t="s">
        <v>50</v>
      </c>
      <c r="S188" s="1">
        <v>0</v>
      </c>
      <c r="T188" s="1">
        <v>0</v>
      </c>
      <c r="U188" s="1">
        <v>82.712999999999994</v>
      </c>
      <c r="V188" s="1">
        <v>21.097999999999999</v>
      </c>
      <c r="W188" s="1">
        <v>1.68</v>
      </c>
      <c r="X188" s="1">
        <v>4.3090000000000002</v>
      </c>
      <c r="Y188" s="1">
        <v>25.407</v>
      </c>
      <c r="Z188" s="1">
        <v>0.77200000000000002</v>
      </c>
      <c r="AA188" s="1">
        <v>1.4</v>
      </c>
      <c r="AB188" s="1">
        <v>2.2000000000000002</v>
      </c>
      <c r="AC188" s="1">
        <v>2.2000000000000002</v>
      </c>
      <c r="AD188" s="1">
        <v>4.3070000000000004</v>
      </c>
      <c r="AE188" s="1">
        <v>4.9000000000000002E-2</v>
      </c>
      <c r="AF188" s="1">
        <v>0.23</v>
      </c>
      <c r="AG188" s="1">
        <v>1.4</v>
      </c>
      <c r="AI188" s="1">
        <v>0</v>
      </c>
      <c r="AJ188" s="1">
        <v>0</v>
      </c>
      <c r="AK188" s="1">
        <v>0</v>
      </c>
      <c r="AL188" s="1">
        <v>1</v>
      </c>
      <c r="AM188" s="1">
        <v>83835</v>
      </c>
      <c r="AN188" s="1">
        <v>68390</v>
      </c>
      <c r="AO188" s="1">
        <v>15444</v>
      </c>
      <c r="AP188" s="1">
        <v>50438</v>
      </c>
      <c r="AQ188" s="1">
        <v>6.6330805374352551</v>
      </c>
    </row>
    <row r="189" spans="1:43" x14ac:dyDescent="0.45">
      <c r="A189" s="1">
        <v>188</v>
      </c>
      <c r="B189" s="1">
        <v>170</v>
      </c>
      <c r="C189" s="1">
        <v>89</v>
      </c>
      <c r="D189" s="1" t="s">
        <v>121</v>
      </c>
      <c r="E189" s="1" t="s">
        <v>122</v>
      </c>
      <c r="F189" s="1" t="s">
        <v>123</v>
      </c>
      <c r="G189" s="1" t="s">
        <v>54</v>
      </c>
      <c r="H189" s="1" t="s">
        <v>47</v>
      </c>
      <c r="I189" s="1">
        <v>766</v>
      </c>
      <c r="J189" s="1">
        <v>21382</v>
      </c>
      <c r="K189" s="1">
        <v>1</v>
      </c>
      <c r="L189" s="1">
        <v>88</v>
      </c>
      <c r="M189" s="1">
        <v>1991</v>
      </c>
      <c r="N189" s="1" t="s">
        <v>48</v>
      </c>
      <c r="O189" s="1">
        <v>195168</v>
      </c>
      <c r="P189" s="1">
        <v>94</v>
      </c>
      <c r="Q189" s="1" t="s">
        <v>125</v>
      </c>
      <c r="R189" s="1" t="s">
        <v>50</v>
      </c>
      <c r="S189" s="1">
        <v>0</v>
      </c>
      <c r="T189" s="1">
        <v>0</v>
      </c>
      <c r="U189" s="1">
        <v>136.03899999999999</v>
      </c>
      <c r="V189" s="1">
        <v>21.044</v>
      </c>
      <c r="W189" s="1">
        <v>1.68</v>
      </c>
      <c r="X189" s="1">
        <v>4.3639999999999999</v>
      </c>
      <c r="Y189" s="1">
        <v>25.408000000000001</v>
      </c>
      <c r="Z189" s="1">
        <v>0.39400000000000002</v>
      </c>
      <c r="AA189" s="1">
        <v>0.5</v>
      </c>
      <c r="AB189" s="1">
        <v>0.4</v>
      </c>
      <c r="AC189" s="1">
        <v>0.3</v>
      </c>
      <c r="AD189" s="1">
        <v>4.3570000000000002</v>
      </c>
      <c r="AE189" s="1">
        <v>3.7999999999999999E-2</v>
      </c>
      <c r="AF189" s="1">
        <v>0.222</v>
      </c>
      <c r="AG189" s="1">
        <v>0.5</v>
      </c>
      <c r="AI189" s="1">
        <v>0</v>
      </c>
      <c r="AJ189" s="1">
        <v>0</v>
      </c>
      <c r="AK189" s="1">
        <v>0</v>
      </c>
      <c r="AL189" s="1">
        <v>1</v>
      </c>
      <c r="AM189" s="1">
        <v>86400</v>
      </c>
      <c r="AN189" s="1">
        <v>74723</v>
      </c>
      <c r="AO189" s="1">
        <v>11677</v>
      </c>
      <c r="AP189" s="1">
        <v>50467</v>
      </c>
      <c r="AQ189" s="1">
        <v>21.579620393168941</v>
      </c>
    </row>
    <row r="190" spans="1:43" x14ac:dyDescent="0.45">
      <c r="A190" s="1">
        <v>189</v>
      </c>
      <c r="B190" s="1">
        <v>170</v>
      </c>
      <c r="C190" s="1">
        <v>89</v>
      </c>
      <c r="D190" s="1" t="s">
        <v>121</v>
      </c>
      <c r="E190" s="1" t="s">
        <v>122</v>
      </c>
      <c r="F190" s="1" t="s">
        <v>123</v>
      </c>
      <c r="G190" s="1" t="s">
        <v>54</v>
      </c>
      <c r="H190" s="1" t="s">
        <v>47</v>
      </c>
      <c r="I190" s="1">
        <v>766</v>
      </c>
      <c r="J190" s="1">
        <v>21382</v>
      </c>
      <c r="K190" s="1">
        <v>1</v>
      </c>
      <c r="L190" s="1">
        <v>88</v>
      </c>
      <c r="M190" s="1">
        <v>1992</v>
      </c>
      <c r="N190" s="1" t="s">
        <v>48</v>
      </c>
      <c r="O190" s="1">
        <v>195169</v>
      </c>
      <c r="P190" s="1">
        <v>94</v>
      </c>
      <c r="Q190" s="1" t="s">
        <v>125</v>
      </c>
      <c r="R190" s="1" t="s">
        <v>50</v>
      </c>
      <c r="S190" s="1">
        <v>0</v>
      </c>
      <c r="T190" s="1">
        <v>0</v>
      </c>
      <c r="U190" s="1">
        <v>82.075999999999993</v>
      </c>
      <c r="V190" s="1">
        <v>20.9</v>
      </c>
      <c r="W190" s="1">
        <v>1.7</v>
      </c>
      <c r="X190" s="1">
        <v>4.5060000000000002</v>
      </c>
      <c r="Y190" s="1">
        <v>25.405999999999999</v>
      </c>
      <c r="Z190" s="1">
        <v>0.308</v>
      </c>
      <c r="AA190" s="1">
        <v>0.8</v>
      </c>
      <c r="AB190" s="1">
        <v>0.5</v>
      </c>
      <c r="AC190" s="1">
        <v>0.5</v>
      </c>
      <c r="AD190" s="1">
        <v>4.5039999999999996</v>
      </c>
      <c r="AE190" s="1">
        <v>3.5000000000000003E-2</v>
      </c>
      <c r="AF190" s="1">
        <v>0.222</v>
      </c>
      <c r="AG190" s="1">
        <v>0.8</v>
      </c>
      <c r="AI190" s="1">
        <v>0</v>
      </c>
      <c r="AJ190" s="1">
        <v>0</v>
      </c>
      <c r="AK190" s="1">
        <v>0</v>
      </c>
      <c r="AL190" s="1">
        <v>1</v>
      </c>
      <c r="AM190" s="1">
        <v>86400</v>
      </c>
      <c r="AN190" s="1">
        <v>81537</v>
      </c>
      <c r="AO190" s="1">
        <v>4863</v>
      </c>
      <c r="AP190" s="1">
        <v>50420</v>
      </c>
      <c r="AQ190" s="1">
        <v>0.18602093680121329</v>
      </c>
    </row>
    <row r="191" spans="1:43" x14ac:dyDescent="0.45">
      <c r="A191" s="1">
        <v>190</v>
      </c>
      <c r="B191" s="1">
        <v>170</v>
      </c>
      <c r="C191" s="1">
        <v>89</v>
      </c>
      <c r="D191" s="1" t="s">
        <v>121</v>
      </c>
      <c r="E191" s="1" t="s">
        <v>122</v>
      </c>
      <c r="F191" s="1" t="s">
        <v>123</v>
      </c>
      <c r="G191" s="1" t="s">
        <v>54</v>
      </c>
      <c r="H191" s="1" t="s">
        <v>47</v>
      </c>
      <c r="I191" s="1">
        <v>766</v>
      </c>
      <c r="J191" s="1">
        <v>21382</v>
      </c>
      <c r="K191" s="1">
        <v>1</v>
      </c>
      <c r="L191" s="1">
        <v>88</v>
      </c>
      <c r="M191" s="1">
        <v>1993</v>
      </c>
      <c r="N191" s="1" t="s">
        <v>48</v>
      </c>
      <c r="O191" s="1">
        <v>195170</v>
      </c>
      <c r="P191" s="1">
        <v>94</v>
      </c>
      <c r="Q191" s="1" t="s">
        <v>125</v>
      </c>
      <c r="R191" s="1" t="s">
        <v>50</v>
      </c>
      <c r="S191" s="1">
        <v>0</v>
      </c>
      <c r="T191" s="1">
        <v>0</v>
      </c>
      <c r="U191" s="1">
        <v>66.691999999999993</v>
      </c>
      <c r="V191" s="1">
        <v>21.17</v>
      </c>
      <c r="W191" s="1">
        <v>1.66</v>
      </c>
      <c r="X191" s="1">
        <v>4.2359999999999998</v>
      </c>
      <c r="Y191" s="1">
        <v>25.405999999999999</v>
      </c>
      <c r="Z191" s="1">
        <v>0.30099999999999999</v>
      </c>
      <c r="AA191" s="1">
        <v>0.5</v>
      </c>
      <c r="AB191" s="1">
        <v>0.4</v>
      </c>
      <c r="AC191" s="1">
        <v>0.3</v>
      </c>
      <c r="AD191" s="1">
        <v>4.2350000000000003</v>
      </c>
      <c r="AE191" s="1">
        <v>2.9000000000000001E-2</v>
      </c>
      <c r="AF191" s="1">
        <v>0.17599999999999999</v>
      </c>
      <c r="AG191" s="1">
        <v>0.5</v>
      </c>
      <c r="AI191" s="1">
        <v>0</v>
      </c>
      <c r="AJ191" s="1">
        <v>0</v>
      </c>
      <c r="AK191" s="1">
        <v>0</v>
      </c>
      <c r="AL191" s="1">
        <v>1</v>
      </c>
      <c r="AM191" s="1">
        <v>79049</v>
      </c>
      <c r="AN191" s="1">
        <v>45767</v>
      </c>
      <c r="AO191" s="1">
        <v>33266</v>
      </c>
      <c r="AP191" s="1">
        <v>50431</v>
      </c>
      <c r="AQ191" s="1">
        <v>13.34484878906739</v>
      </c>
    </row>
    <row r="192" spans="1:43" x14ac:dyDescent="0.45">
      <c r="A192" s="1">
        <v>191</v>
      </c>
      <c r="B192" s="1">
        <v>170</v>
      </c>
      <c r="C192" s="1">
        <v>89</v>
      </c>
      <c r="D192" s="1" t="s">
        <v>121</v>
      </c>
      <c r="E192" s="1" t="s">
        <v>122</v>
      </c>
      <c r="F192" s="1" t="s">
        <v>123</v>
      </c>
      <c r="G192" s="1" t="s">
        <v>54</v>
      </c>
      <c r="H192" s="1" t="s">
        <v>47</v>
      </c>
      <c r="I192" s="1">
        <v>766</v>
      </c>
      <c r="J192" s="1">
        <v>21382</v>
      </c>
      <c r="K192" s="1">
        <v>1</v>
      </c>
      <c r="L192" s="1">
        <v>88</v>
      </c>
      <c r="M192" s="1">
        <v>1996</v>
      </c>
      <c r="N192" s="1" t="s">
        <v>48</v>
      </c>
      <c r="O192" s="1">
        <v>195173</v>
      </c>
      <c r="P192" s="1">
        <v>94</v>
      </c>
      <c r="Q192" s="1" t="s">
        <v>125</v>
      </c>
      <c r="R192" s="1" t="s">
        <v>50</v>
      </c>
      <c r="S192" s="1">
        <v>0</v>
      </c>
      <c r="T192" s="1">
        <v>0</v>
      </c>
      <c r="U192" s="1">
        <v>154.75700000000001</v>
      </c>
      <c r="V192" s="1">
        <v>21.016999999999999</v>
      </c>
      <c r="W192" s="1">
        <v>1.69</v>
      </c>
      <c r="X192" s="1">
        <v>4.3920000000000003</v>
      </c>
      <c r="Y192" s="1">
        <v>25.408999999999999</v>
      </c>
      <c r="Z192" s="1">
        <v>0.28199999999999997</v>
      </c>
      <c r="AA192" s="1">
        <v>-1.3</v>
      </c>
      <c r="AB192" s="1">
        <v>-1.5</v>
      </c>
      <c r="AC192" s="1">
        <v>-1.5</v>
      </c>
      <c r="AD192" s="1">
        <v>4.391</v>
      </c>
      <c r="AE192" s="1">
        <v>4.5999999999999999E-2</v>
      </c>
      <c r="AF192" s="1">
        <v>0.20699999999999999</v>
      </c>
      <c r="AG192" s="1">
        <v>-1.3</v>
      </c>
      <c r="AI192" s="1">
        <v>0</v>
      </c>
      <c r="AJ192" s="1">
        <v>0</v>
      </c>
      <c r="AK192" s="1">
        <v>0</v>
      </c>
      <c r="AL192" s="1">
        <v>1</v>
      </c>
      <c r="AM192" s="1">
        <v>86400</v>
      </c>
      <c r="AN192" s="1">
        <v>81340</v>
      </c>
      <c r="AO192" s="1">
        <v>5060</v>
      </c>
      <c r="AP192" s="1">
        <v>50467</v>
      </c>
      <c r="AQ192" s="1">
        <v>9.1612240139907583E-2</v>
      </c>
    </row>
    <row r="193" spans="1:43" x14ac:dyDescent="0.45">
      <c r="A193" s="1">
        <v>192</v>
      </c>
      <c r="B193" s="1">
        <v>170</v>
      </c>
      <c r="C193" s="1">
        <v>89</v>
      </c>
      <c r="D193" s="1" t="s">
        <v>121</v>
      </c>
      <c r="E193" s="1" t="s">
        <v>122</v>
      </c>
      <c r="F193" s="1" t="s">
        <v>123</v>
      </c>
      <c r="G193" s="1" t="s">
        <v>54</v>
      </c>
      <c r="H193" s="1" t="s">
        <v>47</v>
      </c>
      <c r="I193" s="1">
        <v>766</v>
      </c>
      <c r="J193" s="1">
        <v>21382</v>
      </c>
      <c r="K193" s="1">
        <v>1</v>
      </c>
      <c r="L193" s="1">
        <v>88</v>
      </c>
      <c r="M193" s="1">
        <v>1997</v>
      </c>
      <c r="N193" s="1" t="s">
        <v>48</v>
      </c>
      <c r="O193" s="1">
        <v>195174</v>
      </c>
      <c r="P193" s="1">
        <v>94</v>
      </c>
      <c r="Q193" s="1" t="s">
        <v>125</v>
      </c>
      <c r="R193" s="1" t="s">
        <v>50</v>
      </c>
      <c r="S193" s="1">
        <v>0</v>
      </c>
      <c r="T193" s="1">
        <v>0</v>
      </c>
      <c r="U193" s="1">
        <v>202.34399999999999</v>
      </c>
      <c r="V193" s="1">
        <v>21.012</v>
      </c>
      <c r="W193" s="1">
        <v>1.68</v>
      </c>
      <c r="X193" s="1">
        <v>4.3959999999999999</v>
      </c>
      <c r="Y193" s="1">
        <v>25.407</v>
      </c>
      <c r="Z193" s="1">
        <v>0.52900000000000003</v>
      </c>
      <c r="AA193" s="1">
        <v>2.5</v>
      </c>
      <c r="AB193" s="1">
        <v>-2.7</v>
      </c>
      <c r="AC193" s="1">
        <v>-2.7</v>
      </c>
      <c r="AD193" s="1">
        <v>4.391</v>
      </c>
      <c r="AE193" s="1">
        <v>3.5999999999999997E-2</v>
      </c>
      <c r="AF193" s="1">
        <v>0.19700000000000001</v>
      </c>
      <c r="AG193" s="1">
        <v>2.5</v>
      </c>
      <c r="AI193" s="1">
        <v>0</v>
      </c>
      <c r="AJ193" s="1">
        <v>0</v>
      </c>
      <c r="AK193" s="1">
        <v>0</v>
      </c>
      <c r="AL193" s="1">
        <v>1</v>
      </c>
      <c r="AM193" s="1">
        <v>86400</v>
      </c>
      <c r="AN193" s="1">
        <v>81549</v>
      </c>
      <c r="AO193" s="1">
        <v>4851</v>
      </c>
      <c r="AP193" s="1">
        <v>50467</v>
      </c>
      <c r="AQ193" s="1">
        <v>21.728686360130141</v>
      </c>
    </row>
    <row r="194" spans="1:43" x14ac:dyDescent="0.45">
      <c r="A194" s="1">
        <v>193</v>
      </c>
      <c r="B194" s="1">
        <v>181</v>
      </c>
      <c r="C194" s="1">
        <v>75</v>
      </c>
      <c r="D194" s="1" t="s">
        <v>64</v>
      </c>
      <c r="E194" s="1" t="s">
        <v>65</v>
      </c>
      <c r="F194" s="1" t="s">
        <v>66</v>
      </c>
      <c r="G194" s="1" t="s">
        <v>46</v>
      </c>
      <c r="H194" s="1" t="s">
        <v>47</v>
      </c>
      <c r="I194" s="1">
        <v>1170</v>
      </c>
      <c r="J194" s="1">
        <v>33499</v>
      </c>
      <c r="K194" s="1">
        <v>1</v>
      </c>
      <c r="L194" s="1">
        <v>74</v>
      </c>
      <c r="M194" s="1">
        <v>1836</v>
      </c>
      <c r="N194" s="1" t="s">
        <v>48</v>
      </c>
      <c r="O194" s="1">
        <v>193959</v>
      </c>
      <c r="P194" s="1">
        <v>94</v>
      </c>
      <c r="Q194" s="1" t="s">
        <v>125</v>
      </c>
      <c r="R194" s="1" t="s">
        <v>50</v>
      </c>
      <c r="S194" s="1">
        <v>0</v>
      </c>
      <c r="T194" s="1">
        <v>0</v>
      </c>
      <c r="U194" s="1">
        <v>510.173</v>
      </c>
      <c r="V194" s="1">
        <v>24.927</v>
      </c>
      <c r="W194" s="1">
        <v>0.56999999999999995</v>
      </c>
      <c r="X194" s="1">
        <v>0.45600000000000002</v>
      </c>
      <c r="Y194" s="1">
        <v>25.382999999999999</v>
      </c>
      <c r="Z194" s="1">
        <v>0.23300000000000001</v>
      </c>
      <c r="AA194" s="1">
        <v>-2.6</v>
      </c>
      <c r="AB194" s="1">
        <v>-2.5</v>
      </c>
      <c r="AC194" s="1">
        <v>-2.5</v>
      </c>
      <c r="AD194" s="1">
        <v>0.45600000000000002</v>
      </c>
      <c r="AE194" s="1">
        <v>0.115</v>
      </c>
      <c r="AF194" s="1">
        <v>5.8999999999999997E-2</v>
      </c>
      <c r="AG194" s="1">
        <v>-2.6</v>
      </c>
      <c r="AI194" s="1">
        <v>0</v>
      </c>
      <c r="AJ194" s="1">
        <v>0</v>
      </c>
      <c r="AK194" s="1">
        <v>0</v>
      </c>
      <c r="AL194" s="1">
        <v>1</v>
      </c>
      <c r="AM194" s="1">
        <v>86400</v>
      </c>
      <c r="AN194" s="1">
        <v>80251</v>
      </c>
      <c r="AO194" s="1">
        <v>6149</v>
      </c>
      <c r="AP194" s="1">
        <v>49562</v>
      </c>
      <c r="AQ194" s="1">
        <v>39.084261990656927</v>
      </c>
    </row>
    <row r="195" spans="1:43" x14ac:dyDescent="0.45">
      <c r="A195" s="1">
        <v>194</v>
      </c>
      <c r="B195" s="1">
        <v>181</v>
      </c>
      <c r="C195" s="1">
        <v>75</v>
      </c>
      <c r="D195" s="1" t="s">
        <v>64</v>
      </c>
      <c r="E195" s="1" t="s">
        <v>65</v>
      </c>
      <c r="F195" s="1" t="s">
        <v>66</v>
      </c>
      <c r="G195" s="1" t="s">
        <v>46</v>
      </c>
      <c r="H195" s="1" t="s">
        <v>47</v>
      </c>
      <c r="I195" s="1">
        <v>1170</v>
      </c>
      <c r="J195" s="1">
        <v>33499</v>
      </c>
      <c r="K195" s="1">
        <v>1</v>
      </c>
      <c r="L195" s="1">
        <v>74</v>
      </c>
      <c r="M195" s="1">
        <v>1837</v>
      </c>
      <c r="N195" s="1" t="s">
        <v>48</v>
      </c>
      <c r="O195" s="1">
        <v>193961</v>
      </c>
      <c r="P195" s="1">
        <v>94</v>
      </c>
      <c r="Q195" s="1" t="s">
        <v>125</v>
      </c>
      <c r="R195" s="1" t="s">
        <v>50</v>
      </c>
      <c r="S195" s="1">
        <v>0</v>
      </c>
      <c r="T195" s="1">
        <v>0</v>
      </c>
      <c r="U195" s="1">
        <v>510.173</v>
      </c>
      <c r="V195" s="1">
        <v>24.913</v>
      </c>
      <c r="W195" s="1">
        <v>0.57999999999999996</v>
      </c>
      <c r="X195" s="1">
        <v>0.47</v>
      </c>
      <c r="Y195" s="1">
        <v>25.382999999999999</v>
      </c>
      <c r="Z195" s="1">
        <v>0.25600000000000001</v>
      </c>
      <c r="AA195" s="1">
        <v>2.2000000000000002</v>
      </c>
      <c r="AB195" s="1">
        <v>2.2000000000000002</v>
      </c>
      <c r="AC195" s="1">
        <v>2.2000000000000002</v>
      </c>
      <c r="AD195" s="1">
        <v>0.47</v>
      </c>
      <c r="AE195" s="1">
        <v>0.107</v>
      </c>
      <c r="AF195" s="1">
        <v>6.9000000000000006E-2</v>
      </c>
      <c r="AG195" s="1">
        <v>2.2000000000000002</v>
      </c>
      <c r="AI195" s="1">
        <v>0</v>
      </c>
      <c r="AJ195" s="1">
        <v>0</v>
      </c>
      <c r="AK195" s="1">
        <v>0</v>
      </c>
      <c r="AL195" s="1">
        <v>1</v>
      </c>
      <c r="AM195" s="1">
        <v>86400</v>
      </c>
      <c r="AN195" s="1">
        <v>80709</v>
      </c>
      <c r="AO195" s="1">
        <v>5691</v>
      </c>
      <c r="AP195" s="1">
        <v>49370</v>
      </c>
      <c r="AQ195" s="1">
        <v>47.839602141328243</v>
      </c>
    </row>
    <row r="196" spans="1:43" x14ac:dyDescent="0.45">
      <c r="A196" s="1">
        <v>195</v>
      </c>
      <c r="B196" s="1">
        <v>181</v>
      </c>
      <c r="C196" s="1">
        <v>75</v>
      </c>
      <c r="D196" s="1" t="s">
        <v>64</v>
      </c>
      <c r="E196" s="1" t="s">
        <v>65</v>
      </c>
      <c r="F196" s="1" t="s">
        <v>66</v>
      </c>
      <c r="G196" s="1" t="s">
        <v>46</v>
      </c>
      <c r="H196" s="1" t="s">
        <v>47</v>
      </c>
      <c r="I196" s="1">
        <v>1170</v>
      </c>
      <c r="J196" s="1">
        <v>33499</v>
      </c>
      <c r="K196" s="1">
        <v>1</v>
      </c>
      <c r="L196" s="1">
        <v>74</v>
      </c>
      <c r="M196" s="1">
        <v>1838</v>
      </c>
      <c r="N196" s="1" t="s">
        <v>48</v>
      </c>
      <c r="O196" s="1">
        <v>194009</v>
      </c>
      <c r="P196" s="1">
        <v>94</v>
      </c>
      <c r="Q196" s="1" t="s">
        <v>125</v>
      </c>
      <c r="R196" s="1" t="s">
        <v>50</v>
      </c>
      <c r="S196" s="1">
        <v>0</v>
      </c>
      <c r="T196" s="1">
        <v>0</v>
      </c>
      <c r="U196" s="1">
        <v>279.00900000000001</v>
      </c>
      <c r="V196" s="1">
        <v>25.175999999999998</v>
      </c>
      <c r="W196" s="1">
        <v>0.53</v>
      </c>
      <c r="X196" s="1">
        <v>0.20699999999999999</v>
      </c>
      <c r="Y196" s="1">
        <v>25.384</v>
      </c>
      <c r="Z196" s="1">
        <v>0.19900000000000001</v>
      </c>
      <c r="AA196" s="1">
        <v>3</v>
      </c>
      <c r="AB196" s="1">
        <v>-1.7</v>
      </c>
      <c r="AC196" s="1">
        <v>-1.7</v>
      </c>
      <c r="AD196" s="1">
        <v>0.20699999999999999</v>
      </c>
      <c r="AE196" s="1">
        <v>2.5999999999999999E-2</v>
      </c>
      <c r="AF196" s="1">
        <v>1.7000000000000001E-2</v>
      </c>
      <c r="AG196" s="1">
        <v>3</v>
      </c>
      <c r="AI196" s="1">
        <v>0</v>
      </c>
      <c r="AJ196" s="1">
        <v>0</v>
      </c>
      <c r="AK196" s="1">
        <v>0</v>
      </c>
      <c r="AL196" s="1">
        <v>1</v>
      </c>
      <c r="AM196" s="1">
        <v>52294</v>
      </c>
      <c r="AN196" s="1">
        <v>8913</v>
      </c>
      <c r="AO196" s="1">
        <v>43381</v>
      </c>
      <c r="AP196" s="1">
        <v>49423</v>
      </c>
      <c r="AQ196" s="1">
        <v>19.91914324497959</v>
      </c>
    </row>
    <row r="197" spans="1:43" x14ac:dyDescent="0.45">
      <c r="A197" s="1">
        <v>196</v>
      </c>
      <c r="B197" s="1">
        <v>181</v>
      </c>
      <c r="C197" s="1">
        <v>75</v>
      </c>
      <c r="D197" s="1" t="s">
        <v>64</v>
      </c>
      <c r="E197" s="1" t="s">
        <v>65</v>
      </c>
      <c r="F197" s="1" t="s">
        <v>66</v>
      </c>
      <c r="G197" s="1" t="s">
        <v>46</v>
      </c>
      <c r="H197" s="1" t="s">
        <v>47</v>
      </c>
      <c r="I197" s="1">
        <v>1170</v>
      </c>
      <c r="J197" s="1">
        <v>33499</v>
      </c>
      <c r="K197" s="1">
        <v>1</v>
      </c>
      <c r="L197" s="1">
        <v>74</v>
      </c>
      <c r="M197" s="1">
        <v>1841</v>
      </c>
      <c r="N197" s="1" t="s">
        <v>48</v>
      </c>
      <c r="O197" s="1">
        <v>194014</v>
      </c>
      <c r="P197" s="1">
        <v>94</v>
      </c>
      <c r="Q197" s="1" t="s">
        <v>125</v>
      </c>
      <c r="R197" s="1" t="s">
        <v>50</v>
      </c>
      <c r="S197" s="1">
        <v>0</v>
      </c>
      <c r="T197" s="1">
        <v>0</v>
      </c>
      <c r="U197" s="1">
        <v>551.16899999999998</v>
      </c>
      <c r="V197" s="1">
        <v>24.986999999999998</v>
      </c>
      <c r="W197" s="1">
        <v>0.56000000000000005</v>
      </c>
      <c r="X197" s="1">
        <v>0.39800000000000002</v>
      </c>
      <c r="Y197" s="1">
        <v>25.385000000000002</v>
      </c>
      <c r="Z197" s="1">
        <v>0.125</v>
      </c>
      <c r="AA197" s="1">
        <v>2.2000000000000002</v>
      </c>
      <c r="AB197" s="1">
        <v>0.9</v>
      </c>
      <c r="AC197" s="1">
        <v>0.9</v>
      </c>
      <c r="AD197" s="1">
        <v>0.39800000000000002</v>
      </c>
      <c r="AE197" s="1">
        <v>3.5000000000000003E-2</v>
      </c>
      <c r="AF197" s="1">
        <v>3.3000000000000002E-2</v>
      </c>
      <c r="AG197" s="1">
        <v>2.2000000000000002</v>
      </c>
      <c r="AI197" s="1">
        <v>0</v>
      </c>
      <c r="AJ197" s="1">
        <v>0</v>
      </c>
      <c r="AK197" s="1">
        <v>0</v>
      </c>
      <c r="AL197" s="1">
        <v>1</v>
      </c>
      <c r="AM197" s="1">
        <v>86400</v>
      </c>
      <c r="AN197" s="1">
        <v>80533</v>
      </c>
      <c r="AO197" s="1">
        <v>5867</v>
      </c>
      <c r="AP197" s="1">
        <v>49390</v>
      </c>
      <c r="AQ197" s="1">
        <v>1.590368793303959</v>
      </c>
    </row>
    <row r="198" spans="1:43" x14ac:dyDescent="0.45">
      <c r="A198" s="1">
        <v>197</v>
      </c>
      <c r="B198" s="1">
        <v>181</v>
      </c>
      <c r="C198" s="1">
        <v>75</v>
      </c>
      <c r="D198" s="1" t="s">
        <v>64</v>
      </c>
      <c r="E198" s="1" t="s">
        <v>65</v>
      </c>
      <c r="F198" s="1" t="s">
        <v>66</v>
      </c>
      <c r="G198" s="1" t="s">
        <v>46</v>
      </c>
      <c r="H198" s="1" t="s">
        <v>47</v>
      </c>
      <c r="I198" s="1">
        <v>1170</v>
      </c>
      <c r="J198" s="1">
        <v>33499</v>
      </c>
      <c r="K198" s="1">
        <v>1</v>
      </c>
      <c r="L198" s="1">
        <v>74</v>
      </c>
      <c r="M198" s="1">
        <v>1842</v>
      </c>
      <c r="N198" s="1" t="s">
        <v>48</v>
      </c>
      <c r="O198" s="1">
        <v>194015</v>
      </c>
      <c r="P198" s="1">
        <v>94</v>
      </c>
      <c r="Q198" s="1" t="s">
        <v>125</v>
      </c>
      <c r="R198" s="1" t="s">
        <v>50</v>
      </c>
      <c r="S198" s="1">
        <v>0</v>
      </c>
      <c r="T198" s="1">
        <v>0</v>
      </c>
      <c r="U198" s="1">
        <v>864.10699999999997</v>
      </c>
      <c r="V198" s="1">
        <v>25.154</v>
      </c>
      <c r="W198" s="1">
        <v>0.54</v>
      </c>
      <c r="X198" s="1">
        <v>0.23</v>
      </c>
      <c r="Y198" s="1">
        <v>25.385000000000002</v>
      </c>
      <c r="Z198" s="1">
        <v>0.113</v>
      </c>
      <c r="AA198" s="1">
        <v>1.6</v>
      </c>
      <c r="AB198" s="1">
        <v>1</v>
      </c>
      <c r="AC198" s="1">
        <v>1</v>
      </c>
      <c r="AD198" s="1">
        <v>0.23</v>
      </c>
      <c r="AE198" s="1">
        <v>4.2999999999999997E-2</v>
      </c>
      <c r="AF198" s="1">
        <v>0.01</v>
      </c>
      <c r="AG198" s="1">
        <v>1.6</v>
      </c>
      <c r="AI198" s="1">
        <v>0</v>
      </c>
      <c r="AJ198" s="1">
        <v>0</v>
      </c>
      <c r="AK198" s="1">
        <v>0</v>
      </c>
      <c r="AL198" s="1">
        <v>1</v>
      </c>
      <c r="AM198" s="1">
        <v>52635</v>
      </c>
      <c r="AN198" s="1">
        <v>9342</v>
      </c>
      <c r="AO198" s="1">
        <v>43292</v>
      </c>
      <c r="AP198" s="1">
        <v>49511</v>
      </c>
      <c r="AQ198" s="1">
        <v>1.6721516986454721</v>
      </c>
    </row>
    <row r="199" spans="1:43" x14ac:dyDescent="0.45">
      <c r="A199" s="1">
        <v>198</v>
      </c>
      <c r="B199" s="1">
        <v>181</v>
      </c>
      <c r="C199" s="1">
        <v>75</v>
      </c>
      <c r="D199" s="1" t="s">
        <v>64</v>
      </c>
      <c r="E199" s="1" t="s">
        <v>65</v>
      </c>
      <c r="F199" s="1" t="s">
        <v>66</v>
      </c>
      <c r="G199" s="1" t="s">
        <v>46</v>
      </c>
      <c r="H199" s="1" t="s">
        <v>47</v>
      </c>
      <c r="I199" s="1">
        <v>1170</v>
      </c>
      <c r="J199" s="1">
        <v>33499</v>
      </c>
      <c r="K199" s="1">
        <v>1</v>
      </c>
      <c r="L199" s="1">
        <v>74</v>
      </c>
      <c r="M199" s="1">
        <v>1844</v>
      </c>
      <c r="N199" s="1" t="s">
        <v>48</v>
      </c>
      <c r="O199" s="1">
        <v>194017</v>
      </c>
      <c r="P199" s="1">
        <v>94</v>
      </c>
      <c r="Q199" s="1" t="s">
        <v>125</v>
      </c>
      <c r="R199" s="1" t="s">
        <v>50</v>
      </c>
      <c r="S199" s="1">
        <v>0</v>
      </c>
      <c r="T199" s="1">
        <v>0</v>
      </c>
      <c r="U199" s="1">
        <v>727.47</v>
      </c>
      <c r="V199" s="1">
        <v>25.146000000000001</v>
      </c>
      <c r="W199" s="1">
        <v>0.54</v>
      </c>
      <c r="X199" s="1">
        <v>0.23799999999999999</v>
      </c>
      <c r="Y199" s="1">
        <v>25.384</v>
      </c>
      <c r="Z199" s="1">
        <v>0.32300000000000001</v>
      </c>
      <c r="AA199" s="1">
        <v>2.1</v>
      </c>
      <c r="AB199" s="1">
        <v>2.6</v>
      </c>
      <c r="AC199" s="1">
        <v>2.6</v>
      </c>
      <c r="AD199" s="1">
        <v>0.23799999999999999</v>
      </c>
      <c r="AE199" s="1">
        <v>0.105</v>
      </c>
      <c r="AF199" s="1">
        <v>2.5000000000000001E-2</v>
      </c>
      <c r="AG199" s="1">
        <v>2.1</v>
      </c>
      <c r="AI199" s="1">
        <v>0</v>
      </c>
      <c r="AJ199" s="1">
        <v>0</v>
      </c>
      <c r="AK199" s="1">
        <v>0</v>
      </c>
      <c r="AL199" s="1">
        <v>1</v>
      </c>
      <c r="AM199" s="1">
        <v>52614</v>
      </c>
      <c r="AN199" s="1">
        <v>9283</v>
      </c>
      <c r="AO199" s="1">
        <v>43332</v>
      </c>
      <c r="AP199" s="1">
        <v>49249</v>
      </c>
      <c r="AQ199" s="1">
        <v>35.644168290790113</v>
      </c>
    </row>
    <row r="200" spans="1:43" x14ac:dyDescent="0.45">
      <c r="A200" s="1">
        <v>199</v>
      </c>
      <c r="B200" s="1">
        <v>181</v>
      </c>
      <c r="C200" s="1">
        <v>75</v>
      </c>
      <c r="D200" s="1" t="s">
        <v>64</v>
      </c>
      <c r="E200" s="1" t="s">
        <v>65</v>
      </c>
      <c r="F200" s="1" t="s">
        <v>66</v>
      </c>
      <c r="G200" s="1" t="s">
        <v>46</v>
      </c>
      <c r="H200" s="1" t="s">
        <v>47</v>
      </c>
      <c r="I200" s="1">
        <v>1170</v>
      </c>
      <c r="J200" s="1">
        <v>33499</v>
      </c>
      <c r="K200" s="1">
        <v>1</v>
      </c>
      <c r="L200" s="1">
        <v>74</v>
      </c>
      <c r="M200" s="1">
        <v>1845</v>
      </c>
      <c r="N200" s="1" t="s">
        <v>48</v>
      </c>
      <c r="O200" s="1">
        <v>194021</v>
      </c>
      <c r="P200" s="1">
        <v>94</v>
      </c>
      <c r="Q200" s="1" t="s">
        <v>125</v>
      </c>
      <c r="R200" s="1" t="s">
        <v>50</v>
      </c>
      <c r="S200" s="1">
        <v>0</v>
      </c>
      <c r="T200" s="1">
        <v>0</v>
      </c>
      <c r="U200" s="1">
        <v>595.303</v>
      </c>
      <c r="V200" s="1">
        <v>24.879000000000001</v>
      </c>
      <c r="W200" s="1">
        <v>0.57999999999999996</v>
      </c>
      <c r="X200" s="1">
        <v>0.505</v>
      </c>
      <c r="Y200" s="1">
        <v>25.384</v>
      </c>
      <c r="Z200" s="1">
        <v>0.45700000000000002</v>
      </c>
      <c r="AA200" s="1">
        <v>2.2999999999999998</v>
      </c>
      <c r="AB200" s="1">
        <v>2.1</v>
      </c>
      <c r="AC200" s="1">
        <v>2.1</v>
      </c>
      <c r="AD200" s="1">
        <v>0.505</v>
      </c>
      <c r="AE200" s="1">
        <v>9.0999999999999998E-2</v>
      </c>
      <c r="AF200" s="1">
        <v>0.13600000000000001</v>
      </c>
      <c r="AG200" s="1">
        <v>2.2999999999999998</v>
      </c>
      <c r="AI200" s="1">
        <v>0</v>
      </c>
      <c r="AJ200" s="1">
        <v>0</v>
      </c>
      <c r="AK200" s="1">
        <v>0</v>
      </c>
      <c r="AL200" s="1">
        <v>1</v>
      </c>
      <c r="AM200" s="1">
        <v>86400</v>
      </c>
      <c r="AN200" s="1">
        <v>81625</v>
      </c>
      <c r="AO200" s="1">
        <v>4775</v>
      </c>
      <c r="AP200" s="1">
        <v>49819</v>
      </c>
      <c r="AQ200" s="1">
        <v>2.7063584476982121</v>
      </c>
    </row>
    <row r="201" spans="1:43" x14ac:dyDescent="0.45">
      <c r="A201" s="1">
        <v>200</v>
      </c>
      <c r="B201" s="1">
        <v>181</v>
      </c>
      <c r="C201" s="1">
        <v>75</v>
      </c>
      <c r="D201" s="1" t="s">
        <v>64</v>
      </c>
      <c r="E201" s="1" t="s">
        <v>65</v>
      </c>
      <c r="F201" s="1" t="s">
        <v>66</v>
      </c>
      <c r="G201" s="1" t="s">
        <v>46</v>
      </c>
      <c r="H201" s="1" t="s">
        <v>47</v>
      </c>
      <c r="I201" s="1">
        <v>1170</v>
      </c>
      <c r="J201" s="1">
        <v>33499</v>
      </c>
      <c r="K201" s="1">
        <v>1</v>
      </c>
      <c r="L201" s="1">
        <v>74</v>
      </c>
      <c r="M201" s="1">
        <v>1846</v>
      </c>
      <c r="N201" s="1" t="s">
        <v>48</v>
      </c>
      <c r="O201" s="1">
        <v>194022</v>
      </c>
      <c r="P201" s="1">
        <v>94</v>
      </c>
      <c r="Q201" s="1" t="s">
        <v>125</v>
      </c>
      <c r="R201" s="1" t="s">
        <v>50</v>
      </c>
      <c r="S201" s="1">
        <v>0</v>
      </c>
      <c r="T201" s="1">
        <v>0</v>
      </c>
      <c r="U201" s="1">
        <v>889.76199999999994</v>
      </c>
      <c r="V201" s="1">
        <v>24.957000000000001</v>
      </c>
      <c r="W201" s="1">
        <v>0.56999999999999995</v>
      </c>
      <c r="X201" s="1">
        <v>0.42499999999999999</v>
      </c>
      <c r="Y201" s="1">
        <v>25.382000000000001</v>
      </c>
      <c r="Z201" s="1">
        <v>0.24299999999999999</v>
      </c>
      <c r="AA201" s="1">
        <v>-2.6</v>
      </c>
      <c r="AB201" s="1">
        <v>-2.7</v>
      </c>
      <c r="AC201" s="1">
        <v>-2.7</v>
      </c>
      <c r="AD201" s="1">
        <v>0.42499999999999999</v>
      </c>
      <c r="AE201" s="1">
        <v>0.127</v>
      </c>
      <c r="AF201" s="1">
        <v>5.5E-2</v>
      </c>
      <c r="AG201" s="1">
        <v>-2.6</v>
      </c>
      <c r="AI201" s="1">
        <v>0</v>
      </c>
      <c r="AJ201" s="1">
        <v>0</v>
      </c>
      <c r="AK201" s="1">
        <v>0</v>
      </c>
      <c r="AL201" s="1">
        <v>1</v>
      </c>
      <c r="AM201" s="1">
        <v>86400</v>
      </c>
      <c r="AN201" s="1">
        <v>78679</v>
      </c>
      <c r="AO201" s="1">
        <v>7721</v>
      </c>
      <c r="AP201" s="1">
        <v>50196</v>
      </c>
      <c r="AQ201" s="1">
        <v>0.32259802925756131</v>
      </c>
    </row>
    <row r="202" spans="1:43" x14ac:dyDescent="0.45">
      <c r="A202" s="1">
        <v>201</v>
      </c>
      <c r="B202" s="1">
        <v>181</v>
      </c>
      <c r="C202" s="1">
        <v>75</v>
      </c>
      <c r="D202" s="1" t="s">
        <v>64</v>
      </c>
      <c r="E202" s="1" t="s">
        <v>65</v>
      </c>
      <c r="F202" s="1" t="s">
        <v>66</v>
      </c>
      <c r="G202" s="1" t="s">
        <v>46</v>
      </c>
      <c r="H202" s="1" t="s">
        <v>47</v>
      </c>
      <c r="I202" s="1">
        <v>1170</v>
      </c>
      <c r="J202" s="1">
        <v>33499</v>
      </c>
      <c r="K202" s="1">
        <v>1</v>
      </c>
      <c r="L202" s="1">
        <v>74</v>
      </c>
      <c r="M202" s="1">
        <v>1847</v>
      </c>
      <c r="N202" s="1" t="s">
        <v>48</v>
      </c>
      <c r="O202" s="1">
        <v>194023</v>
      </c>
      <c r="P202" s="1">
        <v>94</v>
      </c>
      <c r="Q202" s="1" t="s">
        <v>125</v>
      </c>
      <c r="R202" s="1" t="s">
        <v>50</v>
      </c>
      <c r="S202" s="1">
        <v>0</v>
      </c>
      <c r="T202" s="1">
        <v>0</v>
      </c>
      <c r="U202" s="1">
        <v>495.976</v>
      </c>
      <c r="V202" s="1">
        <v>24.9</v>
      </c>
      <c r="W202" s="1">
        <v>0.57999999999999996</v>
      </c>
      <c r="X202" s="1">
        <v>0.48199999999999998</v>
      </c>
      <c r="Y202" s="1">
        <v>25.382999999999999</v>
      </c>
      <c r="Z202" s="1">
        <v>0.20200000000000001</v>
      </c>
      <c r="AA202" s="1">
        <v>-2.7</v>
      </c>
      <c r="AB202" s="1">
        <v>-2.6</v>
      </c>
      <c r="AC202" s="1">
        <v>-2.7</v>
      </c>
      <c r="AD202" s="1">
        <v>0.48199999999999998</v>
      </c>
      <c r="AE202" s="1">
        <v>0.13100000000000001</v>
      </c>
      <c r="AF202" s="1">
        <v>6.8000000000000005E-2</v>
      </c>
      <c r="AG202" s="1">
        <v>-2.7</v>
      </c>
      <c r="AI202" s="1">
        <v>0</v>
      </c>
      <c r="AJ202" s="1">
        <v>0</v>
      </c>
      <c r="AK202" s="1">
        <v>0</v>
      </c>
      <c r="AL202" s="1">
        <v>1</v>
      </c>
      <c r="AM202" s="1">
        <v>86400</v>
      </c>
      <c r="AN202" s="1">
        <v>81011</v>
      </c>
      <c r="AO202" s="1">
        <v>5389</v>
      </c>
      <c r="AP202" s="1">
        <v>49773</v>
      </c>
      <c r="AQ202" s="1">
        <v>26.101421947845822</v>
      </c>
    </row>
    <row r="203" spans="1:43" x14ac:dyDescent="0.45">
      <c r="A203" s="1">
        <v>202</v>
      </c>
      <c r="B203" s="1">
        <v>181</v>
      </c>
      <c r="C203" s="1">
        <v>75</v>
      </c>
      <c r="D203" s="1" t="s">
        <v>64</v>
      </c>
      <c r="E203" s="1" t="s">
        <v>65</v>
      </c>
      <c r="F203" s="1" t="s">
        <v>66</v>
      </c>
      <c r="G203" s="1" t="s">
        <v>46</v>
      </c>
      <c r="H203" s="1" t="s">
        <v>47</v>
      </c>
      <c r="I203" s="1">
        <v>1170</v>
      </c>
      <c r="J203" s="1">
        <v>33499</v>
      </c>
      <c r="K203" s="1">
        <v>1</v>
      </c>
      <c r="L203" s="1">
        <v>74</v>
      </c>
      <c r="M203" s="1">
        <v>1848</v>
      </c>
      <c r="N203" s="1" t="s">
        <v>48</v>
      </c>
      <c r="O203" s="1">
        <v>194024</v>
      </c>
      <c r="P203" s="1">
        <v>94</v>
      </c>
      <c r="Q203" s="1" t="s">
        <v>125</v>
      </c>
      <c r="R203" s="1" t="s">
        <v>50</v>
      </c>
      <c r="S203" s="1">
        <v>0</v>
      </c>
      <c r="T203" s="1">
        <v>0</v>
      </c>
      <c r="U203" s="1">
        <v>236.39</v>
      </c>
      <c r="V203" s="1">
        <v>24.927</v>
      </c>
      <c r="W203" s="1">
        <v>0.57999999999999996</v>
      </c>
      <c r="X203" s="1">
        <v>0.45800000000000002</v>
      </c>
      <c r="Y203" s="1">
        <v>25.385000000000002</v>
      </c>
      <c r="Z203" s="1">
        <v>0.183</v>
      </c>
      <c r="AA203" s="1">
        <v>-2.2999999999999998</v>
      </c>
      <c r="AB203" s="1">
        <v>-2.2999999999999998</v>
      </c>
      <c r="AC203" s="1">
        <v>-2.2000000000000002</v>
      </c>
      <c r="AD203" s="1">
        <v>0.45500000000000002</v>
      </c>
      <c r="AE203" s="1">
        <v>0.13400000000000001</v>
      </c>
      <c r="AF203" s="1">
        <v>7.3999999999999996E-2</v>
      </c>
      <c r="AG203" s="1">
        <v>-2.2999999999999998</v>
      </c>
      <c r="AI203" s="1">
        <v>0</v>
      </c>
      <c r="AJ203" s="1">
        <v>0</v>
      </c>
      <c r="AK203" s="1">
        <v>0</v>
      </c>
      <c r="AL203" s="1">
        <v>1</v>
      </c>
      <c r="AM203" s="1">
        <v>86400</v>
      </c>
      <c r="AN203" s="1">
        <v>80069</v>
      </c>
      <c r="AO203" s="1">
        <v>6331</v>
      </c>
      <c r="AP203" s="1">
        <v>50411</v>
      </c>
      <c r="AQ203" s="1">
        <v>0.1408123542554123</v>
      </c>
    </row>
    <row r="204" spans="1:43" x14ac:dyDescent="0.45">
      <c r="A204" s="1">
        <v>203</v>
      </c>
      <c r="B204" s="1">
        <v>181</v>
      </c>
      <c r="C204" s="1">
        <v>75</v>
      </c>
      <c r="D204" s="1" t="s">
        <v>64</v>
      </c>
      <c r="E204" s="1" t="s">
        <v>65</v>
      </c>
      <c r="F204" s="1" t="s">
        <v>66</v>
      </c>
      <c r="G204" s="1" t="s">
        <v>46</v>
      </c>
      <c r="H204" s="1" t="s">
        <v>47</v>
      </c>
      <c r="I204" s="1">
        <v>1170</v>
      </c>
      <c r="J204" s="1">
        <v>33499</v>
      </c>
      <c r="K204" s="1">
        <v>1</v>
      </c>
      <c r="L204" s="1">
        <v>74</v>
      </c>
      <c r="M204" s="1">
        <v>1853</v>
      </c>
      <c r="N204" s="1" t="s">
        <v>48</v>
      </c>
      <c r="O204" s="1">
        <v>194036</v>
      </c>
      <c r="P204" s="1">
        <v>94</v>
      </c>
      <c r="Q204" s="1" t="s">
        <v>125</v>
      </c>
      <c r="R204" s="1" t="s">
        <v>50</v>
      </c>
      <c r="S204" s="1">
        <v>0</v>
      </c>
      <c r="T204" s="1">
        <v>0</v>
      </c>
      <c r="U204" s="1">
        <v>97.998000000000005</v>
      </c>
      <c r="V204" s="1">
        <v>25.119</v>
      </c>
      <c r="W204" s="1">
        <v>0.54</v>
      </c>
      <c r="X204" s="1">
        <v>0.26400000000000001</v>
      </c>
      <c r="Y204" s="1">
        <v>25.382999999999999</v>
      </c>
      <c r="Z204" s="1">
        <v>0.218</v>
      </c>
      <c r="AA204" s="1">
        <v>-0.2</v>
      </c>
      <c r="AB204" s="1">
        <v>-1.1000000000000001</v>
      </c>
      <c r="AC204" s="1">
        <v>-0.9</v>
      </c>
      <c r="AD204" s="1">
        <v>0.26400000000000001</v>
      </c>
      <c r="AE204" s="1">
        <v>6.5000000000000002E-2</v>
      </c>
      <c r="AF204" s="1">
        <v>2.9000000000000001E-2</v>
      </c>
      <c r="AI204" s="1">
        <v>0</v>
      </c>
      <c r="AJ204" s="1">
        <v>0</v>
      </c>
      <c r="AK204" s="1">
        <v>0</v>
      </c>
      <c r="AL204" s="1">
        <v>1</v>
      </c>
      <c r="AM204" s="1">
        <v>52715</v>
      </c>
      <c r="AN204" s="1">
        <v>9279</v>
      </c>
      <c r="AO204" s="1">
        <v>43436</v>
      </c>
      <c r="AP204" s="1">
        <v>49325</v>
      </c>
      <c r="AQ204" s="1">
        <v>18.226786881918109</v>
      </c>
    </row>
    <row r="205" spans="1:43" x14ac:dyDescent="0.45">
      <c r="A205" s="1">
        <v>204</v>
      </c>
      <c r="B205" s="1">
        <v>181</v>
      </c>
      <c r="C205" s="1">
        <v>75</v>
      </c>
      <c r="D205" s="1" t="s">
        <v>64</v>
      </c>
      <c r="E205" s="1" t="s">
        <v>65</v>
      </c>
      <c r="F205" s="1" t="s">
        <v>66</v>
      </c>
      <c r="G205" s="1" t="s">
        <v>46</v>
      </c>
      <c r="H205" s="1" t="s">
        <v>47</v>
      </c>
      <c r="I205" s="1">
        <v>1170</v>
      </c>
      <c r="J205" s="1">
        <v>33499</v>
      </c>
      <c r="K205" s="1">
        <v>1</v>
      </c>
      <c r="L205" s="1">
        <v>74</v>
      </c>
      <c r="M205" s="1">
        <v>1854</v>
      </c>
      <c r="N205" s="1" t="s">
        <v>48</v>
      </c>
      <c r="O205" s="1">
        <v>194037</v>
      </c>
      <c r="P205" s="1">
        <v>94</v>
      </c>
      <c r="Q205" s="1" t="s">
        <v>125</v>
      </c>
      <c r="R205" s="1" t="s">
        <v>50</v>
      </c>
      <c r="S205" s="1">
        <v>0</v>
      </c>
      <c r="T205" s="1">
        <v>0</v>
      </c>
      <c r="U205" s="1">
        <v>71.201999999999998</v>
      </c>
      <c r="V205" s="1">
        <v>24.815999999999999</v>
      </c>
      <c r="W205" s="1">
        <v>0.59</v>
      </c>
      <c r="X205" s="1">
        <v>0.56899999999999995</v>
      </c>
      <c r="Y205" s="1">
        <v>25.385000000000002</v>
      </c>
      <c r="Z205" s="1">
        <v>0.13</v>
      </c>
      <c r="AA205" s="1">
        <v>0.6</v>
      </c>
      <c r="AB205" s="1">
        <v>0.8</v>
      </c>
      <c r="AC205" s="1">
        <v>0</v>
      </c>
      <c r="AD205" s="1">
        <v>0.56699999999999995</v>
      </c>
      <c r="AE205" s="1">
        <v>2.5000000000000001E-2</v>
      </c>
      <c r="AF205" s="1">
        <v>4.3999999999999997E-2</v>
      </c>
      <c r="AG205" s="1">
        <v>0.6</v>
      </c>
      <c r="AI205" s="1">
        <v>0</v>
      </c>
      <c r="AJ205" s="1">
        <v>0</v>
      </c>
      <c r="AK205" s="1">
        <v>0</v>
      </c>
      <c r="AL205" s="1">
        <v>1</v>
      </c>
      <c r="AM205" s="1">
        <v>86400</v>
      </c>
      <c r="AN205" s="1">
        <v>81856</v>
      </c>
      <c r="AO205" s="1">
        <v>4544</v>
      </c>
      <c r="AP205" s="1">
        <v>50011</v>
      </c>
      <c r="AQ205" s="1">
        <v>12.96701355991765</v>
      </c>
    </row>
    <row r="206" spans="1:43" x14ac:dyDescent="0.45">
      <c r="A206" s="1">
        <v>205</v>
      </c>
      <c r="B206" s="1">
        <v>181</v>
      </c>
      <c r="C206" s="1">
        <v>75</v>
      </c>
      <c r="D206" s="1" t="s">
        <v>64</v>
      </c>
      <c r="E206" s="1" t="s">
        <v>65</v>
      </c>
      <c r="F206" s="1" t="s">
        <v>66</v>
      </c>
      <c r="G206" s="1" t="s">
        <v>46</v>
      </c>
      <c r="H206" s="1" t="s">
        <v>47</v>
      </c>
      <c r="I206" s="1">
        <v>1170</v>
      </c>
      <c r="J206" s="1">
        <v>33499</v>
      </c>
      <c r="K206" s="1">
        <v>1</v>
      </c>
      <c r="L206" s="1">
        <v>74</v>
      </c>
      <c r="M206" s="1">
        <v>1880</v>
      </c>
      <c r="N206" s="1" t="s">
        <v>48</v>
      </c>
      <c r="O206" s="1">
        <v>194098</v>
      </c>
      <c r="P206" s="1">
        <v>94</v>
      </c>
      <c r="Q206" s="1" t="s">
        <v>125</v>
      </c>
      <c r="R206" s="1" t="s">
        <v>50</v>
      </c>
      <c r="S206" s="1">
        <v>0</v>
      </c>
      <c r="T206" s="1">
        <v>0</v>
      </c>
      <c r="U206" s="1">
        <v>590.79899999999998</v>
      </c>
      <c r="V206" s="1">
        <v>25.291</v>
      </c>
      <c r="W206" s="1">
        <v>0.53</v>
      </c>
      <c r="X206" s="1">
        <v>0.21</v>
      </c>
      <c r="Y206" s="1">
        <v>25.501000000000001</v>
      </c>
      <c r="Z206" s="1">
        <v>8.3000000000000004E-2</v>
      </c>
      <c r="AA206" s="1">
        <v>-3</v>
      </c>
      <c r="AB206" s="1">
        <v>-3</v>
      </c>
      <c r="AC206" s="1">
        <v>-3</v>
      </c>
      <c r="AD206" s="1">
        <v>0.21</v>
      </c>
      <c r="AE206" s="1">
        <v>8.3000000000000004E-2</v>
      </c>
      <c r="AF206" s="1">
        <v>1.7999999999999999E-2</v>
      </c>
      <c r="AG206" s="1">
        <v>-3</v>
      </c>
      <c r="AI206" s="1">
        <v>0</v>
      </c>
      <c r="AJ206" s="1">
        <v>0</v>
      </c>
      <c r="AK206" s="1">
        <v>0</v>
      </c>
      <c r="AL206" s="1">
        <v>1</v>
      </c>
      <c r="AM206" s="1">
        <v>86400</v>
      </c>
      <c r="AN206" s="1">
        <v>78939</v>
      </c>
      <c r="AO206" s="1">
        <v>7461</v>
      </c>
      <c r="AP206" s="1">
        <v>43512</v>
      </c>
      <c r="AQ206" s="1">
        <v>2.1861732595933532</v>
      </c>
    </row>
    <row r="207" spans="1:43" x14ac:dyDescent="0.45">
      <c r="A207" s="1">
        <v>206</v>
      </c>
      <c r="B207" s="1">
        <v>181</v>
      </c>
      <c r="C207" s="1">
        <v>75</v>
      </c>
      <c r="D207" s="1" t="s">
        <v>64</v>
      </c>
      <c r="E207" s="1" t="s">
        <v>65</v>
      </c>
      <c r="F207" s="1" t="s">
        <v>66</v>
      </c>
      <c r="G207" s="1" t="s">
        <v>46</v>
      </c>
      <c r="H207" s="1" t="s">
        <v>47</v>
      </c>
      <c r="I207" s="1">
        <v>1170</v>
      </c>
      <c r="J207" s="1">
        <v>33499</v>
      </c>
      <c r="K207" s="1">
        <v>1</v>
      </c>
      <c r="L207" s="1">
        <v>74</v>
      </c>
      <c r="M207" s="1">
        <v>1881</v>
      </c>
      <c r="N207" s="1" t="s">
        <v>48</v>
      </c>
      <c r="O207" s="1">
        <v>194101</v>
      </c>
      <c r="P207" s="1">
        <v>94</v>
      </c>
      <c r="Q207" s="1" t="s">
        <v>125</v>
      </c>
      <c r="R207" s="1" t="s">
        <v>50</v>
      </c>
      <c r="S207" s="1">
        <v>0</v>
      </c>
      <c r="T207" s="1">
        <v>0</v>
      </c>
      <c r="U207" s="1">
        <v>715.21299999999997</v>
      </c>
      <c r="V207" s="1">
        <v>25.327000000000002</v>
      </c>
      <c r="W207" s="1">
        <v>0.53</v>
      </c>
      <c r="X207" s="1">
        <v>0.19</v>
      </c>
      <c r="Y207" s="1">
        <v>25.516999999999999</v>
      </c>
      <c r="Z207" s="1">
        <v>0.13200000000000001</v>
      </c>
      <c r="AA207" s="1">
        <v>3.1</v>
      </c>
      <c r="AB207" s="1">
        <v>3.1</v>
      </c>
      <c r="AC207" s="1">
        <v>3.1</v>
      </c>
      <c r="AD207" s="1">
        <v>0.19</v>
      </c>
      <c r="AE207" s="1">
        <v>0.13200000000000001</v>
      </c>
      <c r="AF207" s="1">
        <v>2.5000000000000001E-2</v>
      </c>
      <c r="AG207" s="1">
        <v>3.1</v>
      </c>
      <c r="AI207" s="1">
        <v>0</v>
      </c>
      <c r="AJ207" s="1">
        <v>0</v>
      </c>
      <c r="AK207" s="1">
        <v>0</v>
      </c>
      <c r="AL207" s="1">
        <v>1</v>
      </c>
      <c r="AM207" s="1">
        <v>86400</v>
      </c>
      <c r="AN207" s="1">
        <v>79825</v>
      </c>
      <c r="AO207" s="1">
        <v>6575</v>
      </c>
      <c r="AP207" s="1">
        <v>46969</v>
      </c>
      <c r="AQ207" s="1">
        <v>1.705766435611443</v>
      </c>
    </row>
    <row r="208" spans="1:43" x14ac:dyDescent="0.45">
      <c r="A208" s="1">
        <v>207</v>
      </c>
      <c r="B208" s="1">
        <v>181</v>
      </c>
      <c r="C208" s="1">
        <v>75</v>
      </c>
      <c r="D208" s="1" t="s">
        <v>64</v>
      </c>
      <c r="E208" s="1" t="s">
        <v>65</v>
      </c>
      <c r="F208" s="1" t="s">
        <v>66</v>
      </c>
      <c r="G208" s="1" t="s">
        <v>46</v>
      </c>
      <c r="H208" s="1" t="s">
        <v>47</v>
      </c>
      <c r="I208" s="1">
        <v>1170</v>
      </c>
      <c r="J208" s="1">
        <v>33499</v>
      </c>
      <c r="K208" s="1">
        <v>1</v>
      </c>
      <c r="L208" s="1">
        <v>74</v>
      </c>
      <c r="M208" s="1">
        <v>2207</v>
      </c>
      <c r="N208" s="1" t="s">
        <v>48</v>
      </c>
      <c r="O208" s="1">
        <v>198606</v>
      </c>
      <c r="P208" s="1">
        <v>94</v>
      </c>
      <c r="Q208" s="1" t="s">
        <v>125</v>
      </c>
      <c r="R208" s="1" t="s">
        <v>50</v>
      </c>
      <c r="S208" s="1">
        <v>0</v>
      </c>
      <c r="T208" s="1">
        <v>0</v>
      </c>
      <c r="U208" s="1">
        <v>92.590999999999994</v>
      </c>
      <c r="V208" s="1">
        <v>25.254000000000001</v>
      </c>
      <c r="W208" s="1">
        <v>0.55000000000000004</v>
      </c>
      <c r="X208" s="1">
        <v>0.34</v>
      </c>
      <c r="Y208" s="1">
        <v>25.594000000000001</v>
      </c>
      <c r="Z208" s="1">
        <v>0.113</v>
      </c>
      <c r="AA208" s="1">
        <v>0.7</v>
      </c>
      <c r="AB208" s="1">
        <v>-1.1000000000000001</v>
      </c>
      <c r="AC208" s="1">
        <v>-1.1000000000000001</v>
      </c>
      <c r="AD208" s="1">
        <v>0.34</v>
      </c>
      <c r="AE208" s="1">
        <v>2.8000000000000001E-2</v>
      </c>
      <c r="AF208" s="1">
        <v>2.3E-2</v>
      </c>
      <c r="AG208" s="1">
        <v>0.7</v>
      </c>
      <c r="AI208" s="1">
        <v>0</v>
      </c>
      <c r="AJ208" s="1">
        <v>0</v>
      </c>
      <c r="AK208" s="1">
        <v>0</v>
      </c>
      <c r="AL208" s="1">
        <v>1</v>
      </c>
      <c r="AM208" s="1">
        <v>86400</v>
      </c>
      <c r="AN208" s="1">
        <v>81236</v>
      </c>
      <c r="AO208" s="1">
        <v>5164</v>
      </c>
      <c r="AP208" s="1">
        <v>50331</v>
      </c>
      <c r="AQ208" s="1">
        <v>16.327837453417271</v>
      </c>
    </row>
    <row r="209" spans="1:43" x14ac:dyDescent="0.45">
      <c r="A209" s="1">
        <v>208</v>
      </c>
      <c r="B209" s="1">
        <v>181</v>
      </c>
      <c r="C209" s="1">
        <v>75</v>
      </c>
      <c r="D209" s="1" t="s">
        <v>64</v>
      </c>
      <c r="E209" s="1" t="s">
        <v>65</v>
      </c>
      <c r="F209" s="1" t="s">
        <v>66</v>
      </c>
      <c r="G209" s="1" t="s">
        <v>46</v>
      </c>
      <c r="H209" s="1" t="s">
        <v>47</v>
      </c>
      <c r="I209" s="1">
        <v>1170</v>
      </c>
      <c r="J209" s="1">
        <v>33499</v>
      </c>
      <c r="K209" s="1">
        <v>1</v>
      </c>
      <c r="L209" s="1">
        <v>74</v>
      </c>
      <c r="M209" s="1">
        <v>2208</v>
      </c>
      <c r="N209" s="1" t="s">
        <v>48</v>
      </c>
      <c r="O209" s="1">
        <v>198607</v>
      </c>
      <c r="P209" s="1">
        <v>94</v>
      </c>
      <c r="Q209" s="1" t="s">
        <v>125</v>
      </c>
      <c r="R209" s="1" t="s">
        <v>50</v>
      </c>
      <c r="S209" s="1">
        <v>0</v>
      </c>
      <c r="T209" s="1">
        <v>0</v>
      </c>
      <c r="U209" s="1">
        <v>71.430000000000007</v>
      </c>
      <c r="V209" s="1">
        <v>25.236000000000001</v>
      </c>
      <c r="W209" s="1">
        <v>0.56000000000000005</v>
      </c>
      <c r="X209" s="1">
        <v>0.35799999999999998</v>
      </c>
      <c r="Y209" s="1">
        <v>25.594000000000001</v>
      </c>
      <c r="Z209" s="1">
        <v>0.12</v>
      </c>
      <c r="AA209" s="1">
        <v>-0.6</v>
      </c>
      <c r="AB209" s="1">
        <v>-1.3</v>
      </c>
      <c r="AC209" s="1">
        <v>-1.3</v>
      </c>
      <c r="AD209" s="1">
        <v>0.35799999999999998</v>
      </c>
      <c r="AE209" s="1">
        <v>3.2000000000000001E-2</v>
      </c>
      <c r="AF209" s="1">
        <v>1.9E-2</v>
      </c>
      <c r="AG209" s="1">
        <v>-0.6</v>
      </c>
      <c r="AI209" s="1">
        <v>0</v>
      </c>
      <c r="AJ209" s="1">
        <v>0</v>
      </c>
      <c r="AK209" s="1">
        <v>0</v>
      </c>
      <c r="AL209" s="1">
        <v>1</v>
      </c>
      <c r="AM209" s="1">
        <v>86400</v>
      </c>
      <c r="AN209" s="1">
        <v>81622</v>
      </c>
      <c r="AO209" s="1">
        <v>4778</v>
      </c>
      <c r="AP209" s="1">
        <v>50213</v>
      </c>
      <c r="AQ209" s="1">
        <v>1.7753314003685849</v>
      </c>
    </row>
    <row r="210" spans="1:43" x14ac:dyDescent="0.45">
      <c r="A210" s="1">
        <v>209</v>
      </c>
      <c r="B210" s="1">
        <v>181</v>
      </c>
      <c r="C210" s="1">
        <v>75</v>
      </c>
      <c r="D210" s="1" t="s">
        <v>64</v>
      </c>
      <c r="E210" s="1" t="s">
        <v>65</v>
      </c>
      <c r="F210" s="1" t="s">
        <v>66</v>
      </c>
      <c r="G210" s="1" t="s">
        <v>46</v>
      </c>
      <c r="H210" s="1" t="s">
        <v>47</v>
      </c>
      <c r="I210" s="1">
        <v>1170</v>
      </c>
      <c r="J210" s="1">
        <v>33499</v>
      </c>
      <c r="K210" s="1">
        <v>1</v>
      </c>
      <c r="L210" s="1">
        <v>74</v>
      </c>
      <c r="M210" s="1">
        <v>2209</v>
      </c>
      <c r="N210" s="1" t="s">
        <v>48</v>
      </c>
      <c r="O210" s="1">
        <v>198608</v>
      </c>
      <c r="P210" s="1">
        <v>94</v>
      </c>
      <c r="Q210" s="1" t="s">
        <v>125</v>
      </c>
      <c r="R210" s="1" t="s">
        <v>50</v>
      </c>
      <c r="S210" s="1">
        <v>0</v>
      </c>
      <c r="T210" s="1">
        <v>0</v>
      </c>
      <c r="U210" s="1">
        <v>185.518</v>
      </c>
      <c r="V210" s="1">
        <v>25.303000000000001</v>
      </c>
      <c r="W210" s="1">
        <v>0.55000000000000004</v>
      </c>
      <c r="X210" s="1">
        <v>0.29199999999999998</v>
      </c>
      <c r="Y210" s="1">
        <v>25.594999999999999</v>
      </c>
      <c r="Z210" s="1">
        <v>0.17399999999999999</v>
      </c>
      <c r="AA210" s="1">
        <v>3.1</v>
      </c>
      <c r="AB210" s="1">
        <v>3.1</v>
      </c>
      <c r="AC210" s="1">
        <v>3.1</v>
      </c>
      <c r="AD210" s="1">
        <v>0.29199999999999998</v>
      </c>
      <c r="AE210" s="1">
        <v>0.17399999999999999</v>
      </c>
      <c r="AF210" s="1">
        <v>5.0999999999999997E-2</v>
      </c>
      <c r="AG210" s="1">
        <v>3.1</v>
      </c>
      <c r="AI210" s="1">
        <v>0</v>
      </c>
      <c r="AJ210" s="1">
        <v>0</v>
      </c>
      <c r="AK210" s="1">
        <v>0</v>
      </c>
      <c r="AL210" s="1">
        <v>1</v>
      </c>
      <c r="AM210" s="1">
        <v>61775</v>
      </c>
      <c r="AN210" s="1">
        <v>18551</v>
      </c>
      <c r="AO210" s="1">
        <v>43223</v>
      </c>
      <c r="AP210" s="1">
        <v>50316</v>
      </c>
      <c r="AQ210" s="1">
        <v>0.55796808418910737</v>
      </c>
    </row>
    <row r="211" spans="1:43" x14ac:dyDescent="0.45">
      <c r="A211" s="1">
        <v>210</v>
      </c>
      <c r="B211" s="1">
        <v>181</v>
      </c>
      <c r="C211" s="1">
        <v>75</v>
      </c>
      <c r="D211" s="1" t="s">
        <v>64</v>
      </c>
      <c r="E211" s="1" t="s">
        <v>65</v>
      </c>
      <c r="F211" s="1" t="s">
        <v>66</v>
      </c>
      <c r="G211" s="1" t="s">
        <v>46</v>
      </c>
      <c r="H211" s="1" t="s">
        <v>47</v>
      </c>
      <c r="I211" s="1">
        <v>1170</v>
      </c>
      <c r="J211" s="1">
        <v>33499</v>
      </c>
      <c r="K211" s="1">
        <v>1</v>
      </c>
      <c r="L211" s="1">
        <v>74</v>
      </c>
      <c r="M211" s="1">
        <v>2213</v>
      </c>
      <c r="N211" s="1" t="s">
        <v>48</v>
      </c>
      <c r="O211" s="1">
        <v>198613</v>
      </c>
      <c r="P211" s="1">
        <v>94</v>
      </c>
      <c r="Q211" s="1" t="s">
        <v>125</v>
      </c>
      <c r="R211" s="1" t="s">
        <v>50</v>
      </c>
      <c r="S211" s="1">
        <v>0</v>
      </c>
      <c r="T211" s="1">
        <v>0</v>
      </c>
      <c r="U211" s="1">
        <v>131.41399999999999</v>
      </c>
      <c r="V211" s="1">
        <v>25.213000000000001</v>
      </c>
      <c r="W211" s="1">
        <v>0.55000000000000004</v>
      </c>
      <c r="X211" s="1">
        <v>0.27400000000000002</v>
      </c>
      <c r="Y211" s="1">
        <v>25.486999999999998</v>
      </c>
      <c r="Z211" s="1">
        <v>0.251</v>
      </c>
      <c r="AA211" s="1">
        <v>2.8</v>
      </c>
      <c r="AB211" s="1">
        <v>-3.1</v>
      </c>
      <c r="AC211" s="1">
        <v>-3.1</v>
      </c>
      <c r="AD211" s="1">
        <v>0.27400000000000002</v>
      </c>
      <c r="AE211" s="1">
        <v>0.222</v>
      </c>
      <c r="AF211" s="1">
        <v>6.2E-2</v>
      </c>
      <c r="AG211" s="1">
        <v>2.8</v>
      </c>
      <c r="AI211" s="1">
        <v>0</v>
      </c>
      <c r="AJ211" s="1">
        <v>0</v>
      </c>
      <c r="AK211" s="1">
        <v>0</v>
      </c>
      <c r="AL211" s="1">
        <v>1</v>
      </c>
      <c r="AM211" s="1">
        <v>86400</v>
      </c>
      <c r="AN211" s="1">
        <v>80654</v>
      </c>
      <c r="AO211" s="1">
        <v>5746</v>
      </c>
      <c r="AP211" s="1">
        <v>50408</v>
      </c>
      <c r="AQ211" s="1">
        <v>0.46416777134323489</v>
      </c>
    </row>
    <row r="212" spans="1:43" x14ac:dyDescent="0.45">
      <c r="A212" s="1">
        <v>211</v>
      </c>
      <c r="B212" s="1">
        <v>181</v>
      </c>
      <c r="C212" s="1">
        <v>75</v>
      </c>
      <c r="D212" s="1" t="s">
        <v>64</v>
      </c>
      <c r="E212" s="1" t="s">
        <v>65</v>
      </c>
      <c r="F212" s="1" t="s">
        <v>66</v>
      </c>
      <c r="G212" s="1" t="s">
        <v>46</v>
      </c>
      <c r="H212" s="1" t="s">
        <v>47</v>
      </c>
      <c r="I212" s="1">
        <v>1170</v>
      </c>
      <c r="J212" s="1">
        <v>33499</v>
      </c>
      <c r="K212" s="1">
        <v>1</v>
      </c>
      <c r="L212" s="1">
        <v>74</v>
      </c>
      <c r="M212" s="1">
        <v>2216</v>
      </c>
      <c r="N212" s="1" t="s">
        <v>48</v>
      </c>
      <c r="O212" s="1">
        <v>198616</v>
      </c>
      <c r="P212" s="1">
        <v>94</v>
      </c>
      <c r="Q212" s="1" t="s">
        <v>125</v>
      </c>
      <c r="R212" s="1" t="s">
        <v>50</v>
      </c>
      <c r="S212" s="1">
        <v>0</v>
      </c>
      <c r="T212" s="1">
        <v>0</v>
      </c>
      <c r="U212" s="1">
        <v>155.554</v>
      </c>
      <c r="V212" s="1">
        <v>25.196999999999999</v>
      </c>
      <c r="W212" s="1">
        <v>0.54</v>
      </c>
      <c r="X212" s="1">
        <v>0.248</v>
      </c>
      <c r="Y212" s="1">
        <v>25.443999999999999</v>
      </c>
      <c r="Z212" s="1">
        <v>0.105</v>
      </c>
      <c r="AA212" s="1">
        <v>-2.7</v>
      </c>
      <c r="AB212" s="1">
        <v>-2.7</v>
      </c>
      <c r="AC212" s="1">
        <v>-2.7</v>
      </c>
      <c r="AD212" s="1">
        <v>0.248</v>
      </c>
      <c r="AE212" s="1">
        <v>0.104</v>
      </c>
      <c r="AF212" s="1">
        <v>2.5999999999999999E-2</v>
      </c>
      <c r="AG212" s="1">
        <v>-2.7</v>
      </c>
      <c r="AI212" s="1">
        <v>0</v>
      </c>
      <c r="AJ212" s="1">
        <v>0</v>
      </c>
      <c r="AK212" s="1">
        <v>0</v>
      </c>
      <c r="AL212" s="1">
        <v>1</v>
      </c>
      <c r="AM212" s="1">
        <v>86400</v>
      </c>
      <c r="AN212" s="1">
        <v>78834</v>
      </c>
      <c r="AO212" s="1">
        <v>7566</v>
      </c>
      <c r="AP212" s="1">
        <v>50330</v>
      </c>
      <c r="AQ212" s="1">
        <v>0.49721296494119721</v>
      </c>
    </row>
    <row r="213" spans="1:43" x14ac:dyDescent="0.45">
      <c r="A213" s="1">
        <v>212</v>
      </c>
      <c r="B213" s="1">
        <v>181</v>
      </c>
      <c r="C213" s="1">
        <v>75</v>
      </c>
      <c r="D213" s="1" t="s">
        <v>64</v>
      </c>
      <c r="E213" s="1" t="s">
        <v>65</v>
      </c>
      <c r="F213" s="1" t="s">
        <v>66</v>
      </c>
      <c r="G213" s="1" t="s">
        <v>46</v>
      </c>
      <c r="H213" s="1" t="s">
        <v>47</v>
      </c>
      <c r="I213" s="1">
        <v>1170</v>
      </c>
      <c r="J213" s="1">
        <v>33499</v>
      </c>
      <c r="K213" s="1">
        <v>1</v>
      </c>
      <c r="L213" s="1">
        <v>74</v>
      </c>
      <c r="M213" s="1">
        <v>2217</v>
      </c>
      <c r="N213" s="1" t="s">
        <v>48</v>
      </c>
      <c r="O213" s="1">
        <v>198619</v>
      </c>
      <c r="P213" s="1">
        <v>94</v>
      </c>
      <c r="Q213" s="1" t="s">
        <v>125</v>
      </c>
      <c r="R213" s="1" t="s">
        <v>50</v>
      </c>
      <c r="S213" s="1">
        <v>0</v>
      </c>
      <c r="T213" s="1">
        <v>0</v>
      </c>
      <c r="U213" s="1">
        <v>74.703000000000003</v>
      </c>
      <c r="V213" s="1">
        <v>25.427</v>
      </c>
      <c r="W213" s="1">
        <v>0.52</v>
      </c>
      <c r="X213" s="1">
        <v>0.11899999999999999</v>
      </c>
      <c r="Y213" s="1">
        <v>25.545999999999999</v>
      </c>
      <c r="Z213" s="1">
        <v>0.45200000000000001</v>
      </c>
      <c r="AA213" s="1">
        <v>-2.2000000000000002</v>
      </c>
      <c r="AB213" s="1">
        <v>-2.1</v>
      </c>
      <c r="AC213" s="1">
        <v>-2.1</v>
      </c>
      <c r="AD213" s="1">
        <v>0.11899999999999999</v>
      </c>
      <c r="AE213" s="1">
        <v>0.44900000000000001</v>
      </c>
      <c r="AF213" s="1">
        <v>5.2999999999999999E-2</v>
      </c>
      <c r="AG213" s="1">
        <v>-2.2000000000000002</v>
      </c>
      <c r="AI213" s="1">
        <v>0</v>
      </c>
      <c r="AJ213" s="1">
        <v>0</v>
      </c>
      <c r="AK213" s="1">
        <v>0</v>
      </c>
      <c r="AL213" s="1">
        <v>1</v>
      </c>
      <c r="AM213" s="1">
        <v>51254</v>
      </c>
      <c r="AN213" s="1">
        <v>6412</v>
      </c>
      <c r="AO213" s="1">
        <v>44842</v>
      </c>
      <c r="AP213" s="1">
        <v>50208</v>
      </c>
      <c r="AQ213" s="1">
        <v>4.4465603367389193</v>
      </c>
    </row>
    <row r="214" spans="1:43" x14ac:dyDescent="0.45">
      <c r="A214" s="1">
        <v>213</v>
      </c>
      <c r="B214" s="1">
        <v>332</v>
      </c>
      <c r="C214" s="1">
        <v>25</v>
      </c>
      <c r="D214" s="1" t="s">
        <v>70</v>
      </c>
      <c r="E214" s="1" t="s">
        <v>71</v>
      </c>
      <c r="F214" s="1" t="s">
        <v>72</v>
      </c>
      <c r="G214" s="1" t="s">
        <v>46</v>
      </c>
      <c r="H214" s="1" t="s">
        <v>47</v>
      </c>
      <c r="I214" s="1">
        <v>664</v>
      </c>
      <c r="J214" s="1">
        <v>19970</v>
      </c>
      <c r="K214" s="1">
        <v>1</v>
      </c>
      <c r="L214" s="1">
        <v>24</v>
      </c>
      <c r="M214" s="1">
        <v>1792</v>
      </c>
      <c r="N214" s="1" t="s">
        <v>48</v>
      </c>
      <c r="O214" s="1">
        <v>183770</v>
      </c>
      <c r="P214" s="1">
        <v>94</v>
      </c>
      <c r="Q214" s="1" t="s">
        <v>125</v>
      </c>
      <c r="R214" s="1" t="s">
        <v>50</v>
      </c>
      <c r="S214" s="1">
        <v>0</v>
      </c>
      <c r="T214" s="1">
        <v>0</v>
      </c>
      <c r="U214" s="1">
        <v>134.53299999999999</v>
      </c>
      <c r="V214" s="1">
        <v>25.527000000000001</v>
      </c>
      <c r="W214" s="1">
        <v>1.3</v>
      </c>
      <c r="X214" s="1">
        <v>1.7689999999999999</v>
      </c>
      <c r="Y214" s="1">
        <v>27.295999999999999</v>
      </c>
      <c r="Z214" s="1">
        <v>0.16700000000000001</v>
      </c>
      <c r="AA214" s="1">
        <v>2.7</v>
      </c>
      <c r="AB214" s="1">
        <v>2.7</v>
      </c>
      <c r="AC214" s="1">
        <v>2.7</v>
      </c>
      <c r="AD214" s="1">
        <v>1.768</v>
      </c>
      <c r="AE214" s="1">
        <v>0.16600000000000001</v>
      </c>
      <c r="AF214" s="1">
        <v>0.29599999999999999</v>
      </c>
      <c r="AG214" s="1">
        <v>2.7</v>
      </c>
      <c r="AI214" s="1">
        <v>0</v>
      </c>
      <c r="AJ214" s="1">
        <v>0</v>
      </c>
      <c r="AK214" s="1">
        <v>0</v>
      </c>
      <c r="AL214" s="1">
        <v>1</v>
      </c>
      <c r="AM214" s="1">
        <v>86400</v>
      </c>
      <c r="AN214" s="1">
        <v>80999</v>
      </c>
      <c r="AO214" s="1">
        <v>5401</v>
      </c>
      <c r="AP214" s="1">
        <v>46892</v>
      </c>
      <c r="AQ214" s="1">
        <v>14.97557869686381</v>
      </c>
    </row>
    <row r="215" spans="1:43" x14ac:dyDescent="0.45">
      <c r="A215" s="1">
        <v>214</v>
      </c>
      <c r="B215" s="1">
        <v>332</v>
      </c>
      <c r="C215" s="1">
        <v>25</v>
      </c>
      <c r="D215" s="1" t="s">
        <v>70</v>
      </c>
      <c r="E215" s="1" t="s">
        <v>71</v>
      </c>
      <c r="F215" s="1" t="s">
        <v>72</v>
      </c>
      <c r="G215" s="1" t="s">
        <v>46</v>
      </c>
      <c r="H215" s="1" t="s">
        <v>47</v>
      </c>
      <c r="I215" s="1">
        <v>664</v>
      </c>
      <c r="J215" s="1">
        <v>19970</v>
      </c>
      <c r="K215" s="1">
        <v>1</v>
      </c>
      <c r="L215" s="1">
        <v>24</v>
      </c>
      <c r="M215" s="1">
        <v>1794</v>
      </c>
      <c r="N215" s="1" t="s">
        <v>48</v>
      </c>
      <c r="O215" s="1">
        <v>183857</v>
      </c>
      <c r="P215" s="1">
        <v>94</v>
      </c>
      <c r="Q215" s="1" t="s">
        <v>125</v>
      </c>
      <c r="R215" s="1" t="s">
        <v>50</v>
      </c>
      <c r="S215" s="1">
        <v>0</v>
      </c>
      <c r="T215" s="1">
        <v>0</v>
      </c>
      <c r="U215" s="1">
        <v>97.05</v>
      </c>
      <c r="V215" s="1">
        <v>27.024000000000001</v>
      </c>
      <c r="W215" s="1">
        <v>0.54</v>
      </c>
      <c r="X215" s="1">
        <v>0.248</v>
      </c>
      <c r="Y215" s="1">
        <v>27.271999999999998</v>
      </c>
      <c r="Z215" s="1">
        <v>0.30599999999999999</v>
      </c>
      <c r="AA215" s="1">
        <v>-1.8</v>
      </c>
      <c r="AB215" s="1">
        <v>-1.7</v>
      </c>
      <c r="AC215" s="1">
        <v>-1.7</v>
      </c>
      <c r="AD215" s="1">
        <v>0.248</v>
      </c>
      <c r="AE215" s="1">
        <v>0.29399999999999998</v>
      </c>
      <c r="AF215" s="1">
        <v>7.2999999999999995E-2</v>
      </c>
      <c r="AG215" s="1">
        <v>-1.8</v>
      </c>
      <c r="AI215" s="1">
        <v>0</v>
      </c>
      <c r="AJ215" s="1">
        <v>0</v>
      </c>
      <c r="AK215" s="1">
        <v>0</v>
      </c>
      <c r="AL215" s="1">
        <v>1</v>
      </c>
      <c r="AM215" s="1">
        <v>86400</v>
      </c>
      <c r="AN215" s="1">
        <v>77254</v>
      </c>
      <c r="AO215" s="1">
        <v>9145</v>
      </c>
      <c r="AP215" s="1">
        <v>49152</v>
      </c>
      <c r="AQ215" s="1">
        <v>12.13985088347876</v>
      </c>
    </row>
    <row r="216" spans="1:43" x14ac:dyDescent="0.45">
      <c r="A216" s="1">
        <v>215</v>
      </c>
      <c r="B216" s="1">
        <v>333</v>
      </c>
      <c r="C216" s="1">
        <v>24</v>
      </c>
      <c r="D216" s="1" t="s">
        <v>73</v>
      </c>
      <c r="E216" s="1" t="s">
        <v>74</v>
      </c>
      <c r="F216" s="1" t="s">
        <v>75</v>
      </c>
      <c r="G216" s="1" t="s">
        <v>46</v>
      </c>
      <c r="H216" s="1" t="s">
        <v>47</v>
      </c>
      <c r="I216" s="1">
        <v>586</v>
      </c>
      <c r="J216" s="1">
        <v>18129</v>
      </c>
      <c r="K216" s="1">
        <v>1</v>
      </c>
      <c r="L216" s="1">
        <v>23</v>
      </c>
      <c r="M216" s="1">
        <v>1792</v>
      </c>
      <c r="N216" s="1" t="s">
        <v>48</v>
      </c>
      <c r="O216" s="1">
        <v>183770</v>
      </c>
      <c r="P216" s="1">
        <v>94</v>
      </c>
      <c r="Q216" s="1" t="s">
        <v>125</v>
      </c>
      <c r="R216" s="1" t="s">
        <v>50</v>
      </c>
      <c r="S216" s="1">
        <v>0</v>
      </c>
      <c r="T216" s="1">
        <v>0</v>
      </c>
      <c r="U216" s="1">
        <v>134.53299999999999</v>
      </c>
      <c r="V216" s="1">
        <v>25.527000000000001</v>
      </c>
      <c r="W216" s="1">
        <v>1.3</v>
      </c>
      <c r="X216" s="1">
        <v>1.7689999999999999</v>
      </c>
      <c r="Y216" s="1">
        <v>27.295999999999999</v>
      </c>
      <c r="Z216" s="1">
        <v>0.16700000000000001</v>
      </c>
      <c r="AA216" s="1">
        <v>2.7</v>
      </c>
      <c r="AB216" s="1">
        <v>2.7</v>
      </c>
      <c r="AC216" s="1">
        <v>2.7</v>
      </c>
      <c r="AD216" s="1">
        <v>1.768</v>
      </c>
      <c r="AE216" s="1">
        <v>0.16600000000000001</v>
      </c>
      <c r="AF216" s="1">
        <v>0.29599999999999999</v>
      </c>
      <c r="AG216" s="1">
        <v>2.7</v>
      </c>
      <c r="AI216" s="1">
        <v>0</v>
      </c>
      <c r="AJ216" s="1">
        <v>0</v>
      </c>
      <c r="AK216" s="1">
        <v>0</v>
      </c>
      <c r="AL216" s="1">
        <v>1</v>
      </c>
      <c r="AM216" s="1">
        <v>86400</v>
      </c>
      <c r="AN216" s="1">
        <v>80999</v>
      </c>
      <c r="AO216" s="1">
        <v>5401</v>
      </c>
      <c r="AP216" s="1">
        <v>46892</v>
      </c>
      <c r="AQ216" s="1">
        <v>1.107249760698368</v>
      </c>
    </row>
    <row r="217" spans="1:43" x14ac:dyDescent="0.45">
      <c r="A217" s="1">
        <v>216</v>
      </c>
      <c r="B217" s="1">
        <v>334</v>
      </c>
      <c r="C217" s="1">
        <v>25</v>
      </c>
      <c r="D217" s="1" t="s">
        <v>70</v>
      </c>
      <c r="E217" s="1" t="s">
        <v>71</v>
      </c>
      <c r="F217" s="1" t="s">
        <v>72</v>
      </c>
      <c r="G217" s="1" t="s">
        <v>46</v>
      </c>
      <c r="H217" s="1" t="s">
        <v>47</v>
      </c>
      <c r="I217" s="1">
        <v>664</v>
      </c>
      <c r="J217" s="1">
        <v>19970</v>
      </c>
      <c r="K217" s="1">
        <v>1</v>
      </c>
      <c r="L217" s="1">
        <v>24</v>
      </c>
      <c r="M217" s="1">
        <v>1792</v>
      </c>
      <c r="N217" s="1" t="s">
        <v>48</v>
      </c>
      <c r="O217" s="1">
        <v>183770</v>
      </c>
      <c r="P217" s="1">
        <v>94</v>
      </c>
      <c r="Q217" s="1" t="s">
        <v>125</v>
      </c>
      <c r="R217" s="1" t="s">
        <v>50</v>
      </c>
      <c r="S217" s="1">
        <v>0</v>
      </c>
      <c r="T217" s="1">
        <v>0</v>
      </c>
      <c r="U217" s="1">
        <v>134.53299999999999</v>
      </c>
      <c r="V217" s="1">
        <v>25.527000000000001</v>
      </c>
      <c r="W217" s="1">
        <v>1.3</v>
      </c>
      <c r="X217" s="1">
        <v>1.7689999999999999</v>
      </c>
      <c r="Y217" s="1">
        <v>27.295999999999999</v>
      </c>
      <c r="Z217" s="1">
        <v>0.16700000000000001</v>
      </c>
      <c r="AA217" s="1">
        <v>2.7</v>
      </c>
      <c r="AB217" s="1">
        <v>2.7</v>
      </c>
      <c r="AC217" s="1">
        <v>2.7</v>
      </c>
      <c r="AD217" s="1">
        <v>1.768</v>
      </c>
      <c r="AE217" s="1">
        <v>0.16600000000000001</v>
      </c>
      <c r="AF217" s="1">
        <v>0.29599999999999999</v>
      </c>
      <c r="AG217" s="1">
        <v>2.7</v>
      </c>
      <c r="AI217" s="1">
        <v>0</v>
      </c>
      <c r="AJ217" s="1">
        <v>0</v>
      </c>
      <c r="AK217" s="1">
        <v>0</v>
      </c>
      <c r="AL217" s="1">
        <v>1</v>
      </c>
      <c r="AM217" s="1">
        <v>86400</v>
      </c>
      <c r="AN217" s="1">
        <v>80999</v>
      </c>
      <c r="AO217" s="1">
        <v>5401</v>
      </c>
      <c r="AP217" s="1">
        <v>46892</v>
      </c>
      <c r="AQ217" s="1">
        <v>1.092180301669939</v>
      </c>
    </row>
    <row r="218" spans="1:43" x14ac:dyDescent="0.45">
      <c r="A218" s="1">
        <v>217</v>
      </c>
      <c r="B218" s="1">
        <v>351</v>
      </c>
      <c r="C218" s="1">
        <v>63</v>
      </c>
      <c r="D218" s="1" t="s">
        <v>76</v>
      </c>
      <c r="E218" s="1" t="s">
        <v>77</v>
      </c>
      <c r="F218" s="1" t="s">
        <v>78</v>
      </c>
      <c r="G218" s="1" t="s">
        <v>46</v>
      </c>
      <c r="H218" s="1" t="s">
        <v>47</v>
      </c>
      <c r="I218" s="1">
        <v>1247</v>
      </c>
      <c r="J218" s="1">
        <v>27398</v>
      </c>
      <c r="K218" s="1">
        <v>1</v>
      </c>
      <c r="L218" s="1">
        <v>62</v>
      </c>
      <c r="M218" s="1">
        <v>1784</v>
      </c>
      <c r="N218" s="1" t="s">
        <v>48</v>
      </c>
      <c r="O218" s="1">
        <v>181313</v>
      </c>
      <c r="P218" s="1">
        <v>94</v>
      </c>
      <c r="Q218" s="1" t="s">
        <v>125</v>
      </c>
      <c r="R218" s="1" t="s">
        <v>50</v>
      </c>
      <c r="S218" s="1">
        <v>0</v>
      </c>
      <c r="T218" s="1">
        <v>0</v>
      </c>
      <c r="U218" s="1">
        <v>283.084</v>
      </c>
      <c r="V218" s="1">
        <v>25.13</v>
      </c>
      <c r="W218" s="1">
        <v>0.52</v>
      </c>
      <c r="X218" s="1">
        <v>0.109</v>
      </c>
      <c r="Y218" s="1">
        <v>25.239000000000001</v>
      </c>
      <c r="Z218" s="1">
        <v>0.26900000000000002</v>
      </c>
      <c r="AA218" s="1">
        <v>2.2000000000000002</v>
      </c>
      <c r="AB218" s="1">
        <v>2.2000000000000002</v>
      </c>
      <c r="AC218" s="1">
        <v>2.2000000000000002</v>
      </c>
      <c r="AD218" s="1">
        <v>0.109</v>
      </c>
      <c r="AE218" s="1">
        <v>0.26700000000000002</v>
      </c>
      <c r="AF218" s="1">
        <v>2.9000000000000001E-2</v>
      </c>
      <c r="AG218" s="1">
        <v>2.2000000000000002</v>
      </c>
      <c r="AI218" s="1">
        <v>0</v>
      </c>
      <c r="AJ218" s="1">
        <v>0</v>
      </c>
      <c r="AK218" s="1">
        <v>0</v>
      </c>
      <c r="AL218" s="1">
        <v>1</v>
      </c>
      <c r="AM218" s="1">
        <v>86400</v>
      </c>
      <c r="AN218" s="1">
        <v>80426</v>
      </c>
      <c r="AO218" s="1">
        <v>5974</v>
      </c>
      <c r="AP218" s="1">
        <v>46811</v>
      </c>
      <c r="AQ218" s="1">
        <v>3.0373744553695579</v>
      </c>
    </row>
    <row r="219" spans="1:43" x14ac:dyDescent="0.45">
      <c r="A219" s="1">
        <v>218</v>
      </c>
      <c r="B219" s="1">
        <v>351</v>
      </c>
      <c r="C219" s="1">
        <v>63</v>
      </c>
      <c r="D219" s="1" t="s">
        <v>76</v>
      </c>
      <c r="E219" s="1" t="s">
        <v>77</v>
      </c>
      <c r="F219" s="1" t="s">
        <v>78</v>
      </c>
      <c r="G219" s="1" t="s">
        <v>46</v>
      </c>
      <c r="H219" s="1" t="s">
        <v>47</v>
      </c>
      <c r="I219" s="1">
        <v>1247</v>
      </c>
      <c r="J219" s="1">
        <v>27398</v>
      </c>
      <c r="K219" s="1">
        <v>1</v>
      </c>
      <c r="L219" s="1">
        <v>62</v>
      </c>
      <c r="M219" s="1">
        <v>1785</v>
      </c>
      <c r="N219" s="1" t="s">
        <v>48</v>
      </c>
      <c r="O219" s="1">
        <v>181314</v>
      </c>
      <c r="P219" s="1">
        <v>94</v>
      </c>
      <c r="Q219" s="1" t="s">
        <v>125</v>
      </c>
      <c r="R219" s="1" t="s">
        <v>50</v>
      </c>
      <c r="S219" s="1">
        <v>0</v>
      </c>
      <c r="T219" s="1">
        <v>0</v>
      </c>
      <c r="U219" s="1">
        <v>407.74700000000001</v>
      </c>
      <c r="V219" s="1">
        <v>25.128</v>
      </c>
      <c r="W219" s="1">
        <v>0.52</v>
      </c>
      <c r="X219" s="1">
        <v>0.113</v>
      </c>
      <c r="Y219" s="1">
        <v>25.241</v>
      </c>
      <c r="Z219" s="1">
        <v>0.25700000000000001</v>
      </c>
      <c r="AA219" s="1">
        <v>2.1</v>
      </c>
      <c r="AB219" s="1">
        <v>2.1</v>
      </c>
      <c r="AC219" s="1">
        <v>2.1</v>
      </c>
      <c r="AD219" s="1">
        <v>0.113</v>
      </c>
      <c r="AE219" s="1">
        <v>0.25600000000000001</v>
      </c>
      <c r="AF219" s="1">
        <v>2.9000000000000001E-2</v>
      </c>
      <c r="AG219" s="1">
        <v>2.1</v>
      </c>
      <c r="AI219" s="1">
        <v>0</v>
      </c>
      <c r="AJ219" s="1">
        <v>0</v>
      </c>
      <c r="AK219" s="1">
        <v>0</v>
      </c>
      <c r="AL219" s="1">
        <v>1</v>
      </c>
      <c r="AM219" s="1">
        <v>86400</v>
      </c>
      <c r="AN219" s="1">
        <v>80537</v>
      </c>
      <c r="AO219" s="1">
        <v>5863</v>
      </c>
      <c r="AP219" s="1">
        <v>43665</v>
      </c>
      <c r="AQ219" s="1">
        <v>28.371147376937831</v>
      </c>
    </row>
    <row r="220" spans="1:43" x14ac:dyDescent="0.45">
      <c r="A220" s="1">
        <v>219</v>
      </c>
      <c r="B220" s="1">
        <v>351</v>
      </c>
      <c r="C220" s="1">
        <v>63</v>
      </c>
      <c r="D220" s="1" t="s">
        <v>76</v>
      </c>
      <c r="E220" s="1" t="s">
        <v>77</v>
      </c>
      <c r="F220" s="1" t="s">
        <v>78</v>
      </c>
      <c r="G220" s="1" t="s">
        <v>46</v>
      </c>
      <c r="H220" s="1" t="s">
        <v>47</v>
      </c>
      <c r="I220" s="1">
        <v>1247</v>
      </c>
      <c r="J220" s="1">
        <v>27398</v>
      </c>
      <c r="K220" s="1">
        <v>1</v>
      </c>
      <c r="L220" s="1">
        <v>62</v>
      </c>
      <c r="M220" s="1">
        <v>1786</v>
      </c>
      <c r="N220" s="1" t="s">
        <v>48</v>
      </c>
      <c r="O220" s="1">
        <v>181344</v>
      </c>
      <c r="P220" s="1">
        <v>94</v>
      </c>
      <c r="Q220" s="1" t="s">
        <v>125</v>
      </c>
      <c r="R220" s="1" t="s">
        <v>50</v>
      </c>
      <c r="S220" s="1">
        <v>0</v>
      </c>
      <c r="T220" s="1">
        <v>0</v>
      </c>
      <c r="U220" s="1">
        <v>509.673</v>
      </c>
      <c r="V220" s="1">
        <v>23.771999999999998</v>
      </c>
      <c r="W220" s="1">
        <v>0.63</v>
      </c>
      <c r="X220" s="1">
        <v>0.77800000000000002</v>
      </c>
      <c r="Y220" s="1">
        <v>24.55</v>
      </c>
      <c r="Z220" s="1">
        <v>0.17499999999999999</v>
      </c>
      <c r="AA220" s="1">
        <v>-3</v>
      </c>
      <c r="AB220" s="1">
        <v>-3</v>
      </c>
      <c r="AC220" s="1">
        <v>-3</v>
      </c>
      <c r="AD220" s="1">
        <v>0.77800000000000002</v>
      </c>
      <c r="AE220" s="1">
        <v>0.17499999999999999</v>
      </c>
      <c r="AF220" s="1">
        <v>0.13600000000000001</v>
      </c>
      <c r="AG220" s="1">
        <v>-3</v>
      </c>
      <c r="AI220" s="1">
        <v>0</v>
      </c>
      <c r="AJ220" s="1">
        <v>0</v>
      </c>
      <c r="AK220" s="1">
        <v>0</v>
      </c>
      <c r="AL220" s="1">
        <v>1</v>
      </c>
      <c r="AM220" s="1">
        <v>86400</v>
      </c>
      <c r="AN220" s="1">
        <v>80705</v>
      </c>
      <c r="AO220" s="1">
        <v>5695</v>
      </c>
      <c r="AP220" s="1">
        <v>43369</v>
      </c>
      <c r="AQ220" s="1">
        <v>25.565098127340359</v>
      </c>
    </row>
    <row r="221" spans="1:43" x14ac:dyDescent="0.45">
      <c r="A221" s="1">
        <v>220</v>
      </c>
      <c r="B221" s="1">
        <v>351</v>
      </c>
      <c r="C221" s="1">
        <v>63</v>
      </c>
      <c r="D221" s="1" t="s">
        <v>76</v>
      </c>
      <c r="E221" s="1" t="s">
        <v>77</v>
      </c>
      <c r="F221" s="1" t="s">
        <v>78</v>
      </c>
      <c r="G221" s="1" t="s">
        <v>46</v>
      </c>
      <c r="H221" s="1" t="s">
        <v>47</v>
      </c>
      <c r="I221" s="1">
        <v>1247</v>
      </c>
      <c r="J221" s="1">
        <v>27398</v>
      </c>
      <c r="K221" s="1">
        <v>1</v>
      </c>
      <c r="L221" s="1">
        <v>62</v>
      </c>
      <c r="M221" s="1">
        <v>1796</v>
      </c>
      <c r="N221" s="1" t="s">
        <v>48</v>
      </c>
      <c r="O221" s="1">
        <v>184182</v>
      </c>
      <c r="P221" s="1">
        <v>94</v>
      </c>
      <c r="Q221" s="1" t="s">
        <v>125</v>
      </c>
      <c r="R221" s="1" t="s">
        <v>50</v>
      </c>
      <c r="S221" s="1">
        <v>0</v>
      </c>
      <c r="T221" s="1">
        <v>0</v>
      </c>
      <c r="U221" s="1">
        <v>51.722999999999999</v>
      </c>
      <c r="V221" s="1">
        <v>24.972999999999999</v>
      </c>
      <c r="W221" s="1">
        <v>0.54</v>
      </c>
      <c r="X221" s="1">
        <v>0.247</v>
      </c>
      <c r="Y221" s="1">
        <v>25.221</v>
      </c>
      <c r="Z221" s="1">
        <v>0.155</v>
      </c>
      <c r="AA221" s="1">
        <v>-2.9</v>
      </c>
      <c r="AB221" s="1">
        <v>-2.9</v>
      </c>
      <c r="AC221" s="1">
        <v>-2.9</v>
      </c>
      <c r="AD221" s="1">
        <v>0.247</v>
      </c>
      <c r="AE221" s="1">
        <v>0.154</v>
      </c>
      <c r="AF221" s="1">
        <v>3.7999999999999999E-2</v>
      </c>
      <c r="AG221" s="1">
        <v>-2.9</v>
      </c>
      <c r="AI221" s="1">
        <v>0</v>
      </c>
      <c r="AJ221" s="1">
        <v>0</v>
      </c>
      <c r="AK221" s="1">
        <v>0</v>
      </c>
      <c r="AL221" s="1">
        <v>1</v>
      </c>
      <c r="AM221" s="1">
        <v>86400</v>
      </c>
      <c r="AN221" s="1">
        <v>81788</v>
      </c>
      <c r="AO221" s="1">
        <v>4612</v>
      </c>
      <c r="AP221" s="1">
        <v>43633</v>
      </c>
      <c r="AQ221" s="1">
        <v>12.851985611736319</v>
      </c>
    </row>
    <row r="222" spans="1:43" x14ac:dyDescent="0.45">
      <c r="A222" s="1">
        <v>221</v>
      </c>
      <c r="B222" s="1">
        <v>351</v>
      </c>
      <c r="C222" s="1">
        <v>63</v>
      </c>
      <c r="D222" s="1" t="s">
        <v>76</v>
      </c>
      <c r="E222" s="1" t="s">
        <v>77</v>
      </c>
      <c r="F222" s="1" t="s">
        <v>78</v>
      </c>
      <c r="G222" s="1" t="s">
        <v>46</v>
      </c>
      <c r="H222" s="1" t="s">
        <v>47</v>
      </c>
      <c r="I222" s="1">
        <v>1247</v>
      </c>
      <c r="J222" s="1">
        <v>27398</v>
      </c>
      <c r="K222" s="1">
        <v>1</v>
      </c>
      <c r="L222" s="1">
        <v>62</v>
      </c>
      <c r="M222" s="1">
        <v>1797</v>
      </c>
      <c r="N222" s="1" t="s">
        <v>48</v>
      </c>
      <c r="O222" s="1">
        <v>184186</v>
      </c>
      <c r="P222" s="1">
        <v>94</v>
      </c>
      <c r="Q222" s="1" t="s">
        <v>125</v>
      </c>
      <c r="R222" s="1" t="s">
        <v>50</v>
      </c>
      <c r="S222" s="1">
        <v>0</v>
      </c>
      <c r="T222" s="1">
        <v>0</v>
      </c>
      <c r="U222" s="1">
        <v>192.679</v>
      </c>
      <c r="V222" s="1">
        <v>25.120999999999999</v>
      </c>
      <c r="W222" s="1">
        <v>0.52</v>
      </c>
      <c r="X222" s="1">
        <v>0.115</v>
      </c>
      <c r="Y222" s="1">
        <v>25.236999999999998</v>
      </c>
      <c r="Z222" s="1">
        <v>0.25800000000000001</v>
      </c>
      <c r="AA222" s="1">
        <v>2.2000000000000002</v>
      </c>
      <c r="AB222" s="1">
        <v>2.2000000000000002</v>
      </c>
      <c r="AC222" s="1">
        <v>2.2000000000000002</v>
      </c>
      <c r="AD222" s="1">
        <v>0.115</v>
      </c>
      <c r="AE222" s="1">
        <v>0.25700000000000001</v>
      </c>
      <c r="AF222" s="1">
        <v>0.03</v>
      </c>
      <c r="AG222" s="1">
        <v>2.2000000000000002</v>
      </c>
      <c r="AI222" s="1">
        <v>0</v>
      </c>
      <c r="AJ222" s="1">
        <v>0</v>
      </c>
      <c r="AK222" s="1">
        <v>0</v>
      </c>
      <c r="AL222" s="1">
        <v>1</v>
      </c>
      <c r="AM222" s="1">
        <v>86400</v>
      </c>
      <c r="AN222" s="1">
        <v>80812</v>
      </c>
      <c r="AO222" s="1">
        <v>5588</v>
      </c>
      <c r="AP222" s="1">
        <v>43922</v>
      </c>
      <c r="AQ222" s="1">
        <v>22.488583066255799</v>
      </c>
    </row>
    <row r="223" spans="1:43" x14ac:dyDescent="0.45">
      <c r="A223" s="1">
        <v>222</v>
      </c>
      <c r="B223" s="1">
        <v>351</v>
      </c>
      <c r="C223" s="1">
        <v>63</v>
      </c>
      <c r="D223" s="1" t="s">
        <v>76</v>
      </c>
      <c r="E223" s="1" t="s">
        <v>77</v>
      </c>
      <c r="F223" s="1" t="s">
        <v>78</v>
      </c>
      <c r="G223" s="1" t="s">
        <v>46</v>
      </c>
      <c r="H223" s="1" t="s">
        <v>47</v>
      </c>
      <c r="I223" s="1">
        <v>1247</v>
      </c>
      <c r="J223" s="1">
        <v>27398</v>
      </c>
      <c r="K223" s="1">
        <v>1</v>
      </c>
      <c r="L223" s="1">
        <v>62</v>
      </c>
      <c r="M223" s="1">
        <v>1798</v>
      </c>
      <c r="N223" s="1" t="s">
        <v>48</v>
      </c>
      <c r="O223" s="1">
        <v>184187</v>
      </c>
      <c r="P223" s="1">
        <v>94</v>
      </c>
      <c r="Q223" s="1" t="s">
        <v>125</v>
      </c>
      <c r="R223" s="1" t="s">
        <v>50</v>
      </c>
      <c r="S223" s="1">
        <v>0</v>
      </c>
      <c r="T223" s="1">
        <v>0</v>
      </c>
      <c r="U223" s="1">
        <v>148.02699999999999</v>
      </c>
      <c r="V223" s="1">
        <v>25.082999999999998</v>
      </c>
      <c r="W223" s="1">
        <v>0.53</v>
      </c>
      <c r="X223" s="1">
        <v>0.154</v>
      </c>
      <c r="Y223" s="1">
        <v>25.236999999999998</v>
      </c>
      <c r="Z223" s="1">
        <v>0.33900000000000002</v>
      </c>
      <c r="AA223" s="1">
        <v>1.9</v>
      </c>
      <c r="AB223" s="1">
        <v>1.9</v>
      </c>
      <c r="AC223" s="1">
        <v>1.9</v>
      </c>
      <c r="AD223" s="1">
        <v>0.154</v>
      </c>
      <c r="AE223" s="1">
        <v>0.33700000000000002</v>
      </c>
      <c r="AF223" s="1">
        <v>5.1999999999999998E-2</v>
      </c>
      <c r="AG223" s="1">
        <v>1.9</v>
      </c>
      <c r="AI223" s="1">
        <v>0</v>
      </c>
      <c r="AJ223" s="1">
        <v>0</v>
      </c>
      <c r="AK223" s="1">
        <v>0</v>
      </c>
      <c r="AL223" s="1">
        <v>1</v>
      </c>
      <c r="AM223" s="1">
        <v>86400</v>
      </c>
      <c r="AN223" s="1">
        <v>81813</v>
      </c>
      <c r="AO223" s="1">
        <v>4587</v>
      </c>
      <c r="AP223" s="1">
        <v>46879</v>
      </c>
      <c r="AQ223" s="1">
        <v>2.804081138854984</v>
      </c>
    </row>
    <row r="224" spans="1:43" x14ac:dyDescent="0.45">
      <c r="A224" s="1">
        <v>223</v>
      </c>
      <c r="B224" s="1">
        <v>384</v>
      </c>
      <c r="C224" s="1">
        <v>19</v>
      </c>
      <c r="D224" s="1" t="s">
        <v>102</v>
      </c>
      <c r="E224" s="1" t="s">
        <v>103</v>
      </c>
      <c r="F224" s="1" t="s">
        <v>104</v>
      </c>
      <c r="G224" s="1" t="s">
        <v>46</v>
      </c>
      <c r="H224" s="1" t="s">
        <v>47</v>
      </c>
      <c r="I224" s="1">
        <v>806</v>
      </c>
      <c r="J224" s="1">
        <v>27768</v>
      </c>
      <c r="K224" s="1">
        <v>1</v>
      </c>
      <c r="L224" s="1">
        <v>18</v>
      </c>
      <c r="M224" s="1">
        <v>1835</v>
      </c>
      <c r="N224" s="1" t="s">
        <v>48</v>
      </c>
      <c r="O224" s="1">
        <v>185253</v>
      </c>
      <c r="P224" s="1">
        <v>94</v>
      </c>
      <c r="Q224" s="1" t="s">
        <v>125</v>
      </c>
      <c r="R224" s="1" t="s">
        <v>50</v>
      </c>
      <c r="S224" s="1">
        <v>0</v>
      </c>
      <c r="T224" s="1">
        <v>0</v>
      </c>
      <c r="U224" s="1">
        <v>256.815</v>
      </c>
      <c r="V224" s="1">
        <v>24.222999999999999</v>
      </c>
      <c r="W224" s="1">
        <v>0.52</v>
      </c>
      <c r="X224" s="1">
        <v>0.115</v>
      </c>
      <c r="Y224" s="1">
        <v>24.338000000000001</v>
      </c>
      <c r="Z224" s="1">
        <v>0.27800000000000002</v>
      </c>
      <c r="AA224" s="1">
        <v>3</v>
      </c>
      <c r="AB224" s="1">
        <v>3</v>
      </c>
      <c r="AC224" s="1">
        <v>3</v>
      </c>
      <c r="AD224" s="1">
        <v>0.115</v>
      </c>
      <c r="AE224" s="1">
        <v>0.27700000000000002</v>
      </c>
      <c r="AF224" s="1">
        <v>3.2000000000000001E-2</v>
      </c>
      <c r="AG224" s="1">
        <v>3</v>
      </c>
      <c r="AI224" s="1">
        <v>0</v>
      </c>
      <c r="AJ224" s="1">
        <v>0</v>
      </c>
      <c r="AK224" s="1">
        <v>0</v>
      </c>
      <c r="AL224" s="1">
        <v>1</v>
      </c>
      <c r="AM224" s="1">
        <v>86400</v>
      </c>
      <c r="AN224" s="1">
        <v>81169</v>
      </c>
      <c r="AO224" s="1">
        <v>5231</v>
      </c>
      <c r="AP224" s="1">
        <v>43723</v>
      </c>
      <c r="AQ224" s="1">
        <v>13.49032915473626</v>
      </c>
    </row>
    <row r="225" spans="1:43" x14ac:dyDescent="0.45">
      <c r="A225" s="1">
        <v>224</v>
      </c>
      <c r="B225" s="1">
        <v>425</v>
      </c>
      <c r="C225" s="1">
        <v>24</v>
      </c>
      <c r="D225" s="1" t="s">
        <v>73</v>
      </c>
      <c r="E225" s="1" t="s">
        <v>74</v>
      </c>
      <c r="F225" s="1" t="s">
        <v>75</v>
      </c>
      <c r="G225" s="1" t="s">
        <v>46</v>
      </c>
      <c r="H225" s="1" t="s">
        <v>47</v>
      </c>
      <c r="I225" s="1">
        <v>586</v>
      </c>
      <c r="J225" s="1">
        <v>18129</v>
      </c>
      <c r="K225" s="1">
        <v>1</v>
      </c>
      <c r="L225" s="1">
        <v>23</v>
      </c>
      <c r="M225" s="1">
        <v>1790</v>
      </c>
      <c r="N225" s="1" t="s">
        <v>48</v>
      </c>
      <c r="O225" s="1">
        <v>183748</v>
      </c>
      <c r="P225" s="1">
        <v>94</v>
      </c>
      <c r="Q225" s="1" t="s">
        <v>125</v>
      </c>
      <c r="R225" s="1" t="s">
        <v>50</v>
      </c>
      <c r="S225" s="1">
        <v>0</v>
      </c>
      <c r="T225" s="1">
        <v>0</v>
      </c>
      <c r="U225" s="1">
        <v>288.11500000000001</v>
      </c>
      <c r="V225" s="1">
        <v>27.244</v>
      </c>
      <c r="W225" s="1">
        <v>0.56999999999999995</v>
      </c>
      <c r="X225" s="1">
        <v>0.38100000000000001</v>
      </c>
      <c r="Y225" s="1">
        <v>27.625</v>
      </c>
      <c r="Z225" s="1">
        <v>0.253</v>
      </c>
      <c r="AA225" s="1">
        <v>-2.4</v>
      </c>
      <c r="AB225" s="1">
        <v>-2.4</v>
      </c>
      <c r="AC225" s="1">
        <v>-2.4</v>
      </c>
      <c r="AD225" s="1">
        <v>0.38100000000000001</v>
      </c>
      <c r="AE225" s="1">
        <v>0.253</v>
      </c>
      <c r="AF225" s="1">
        <v>9.6000000000000002E-2</v>
      </c>
      <c r="AG225" s="1">
        <v>-2.4</v>
      </c>
      <c r="AI225" s="1">
        <v>0</v>
      </c>
      <c r="AJ225" s="1">
        <v>0</v>
      </c>
      <c r="AK225" s="1">
        <v>0</v>
      </c>
      <c r="AL225" s="1">
        <v>1</v>
      </c>
      <c r="AM225" s="1">
        <v>86400</v>
      </c>
      <c r="AN225" s="1">
        <v>81375</v>
      </c>
      <c r="AO225" s="1">
        <v>5025</v>
      </c>
      <c r="AP225" s="1">
        <v>43330</v>
      </c>
      <c r="AQ225" s="1">
        <v>17.13936196617848</v>
      </c>
    </row>
    <row r="226" spans="1:43" x14ac:dyDescent="0.45">
      <c r="A226" s="1">
        <v>225</v>
      </c>
      <c r="B226" s="1">
        <v>425</v>
      </c>
      <c r="C226" s="1">
        <v>24</v>
      </c>
      <c r="D226" s="1" t="s">
        <v>73</v>
      </c>
      <c r="E226" s="1" t="s">
        <v>74</v>
      </c>
      <c r="F226" s="1" t="s">
        <v>75</v>
      </c>
      <c r="G226" s="1" t="s">
        <v>46</v>
      </c>
      <c r="H226" s="1" t="s">
        <v>47</v>
      </c>
      <c r="I226" s="1">
        <v>586</v>
      </c>
      <c r="J226" s="1">
        <v>18129</v>
      </c>
      <c r="K226" s="1">
        <v>1</v>
      </c>
      <c r="L226" s="1">
        <v>23</v>
      </c>
      <c r="M226" s="1">
        <v>1791</v>
      </c>
      <c r="N226" s="1" t="s">
        <v>48</v>
      </c>
      <c r="O226" s="1">
        <v>183760</v>
      </c>
      <c r="P226" s="1">
        <v>94</v>
      </c>
      <c r="Q226" s="1" t="s">
        <v>125</v>
      </c>
      <c r="R226" s="1" t="s">
        <v>50</v>
      </c>
      <c r="S226" s="1">
        <v>0</v>
      </c>
      <c r="T226" s="1">
        <v>0</v>
      </c>
      <c r="U226" s="1">
        <v>463.62599999999998</v>
      </c>
      <c r="V226" s="1">
        <v>27.099</v>
      </c>
      <c r="W226" s="1">
        <v>0.53</v>
      </c>
      <c r="X226" s="1">
        <v>0.182</v>
      </c>
      <c r="Y226" s="1">
        <v>27.280999999999999</v>
      </c>
      <c r="Z226" s="1">
        <v>0.17199999999999999</v>
      </c>
      <c r="AA226" s="1">
        <v>-1.6</v>
      </c>
      <c r="AB226" s="1">
        <v>-1.6</v>
      </c>
      <c r="AC226" s="1">
        <v>-1.6</v>
      </c>
      <c r="AD226" s="1">
        <v>0.182</v>
      </c>
      <c r="AE226" s="1">
        <v>0.17100000000000001</v>
      </c>
      <c r="AF226" s="1">
        <v>3.1E-2</v>
      </c>
      <c r="AG226" s="1">
        <v>-1.6</v>
      </c>
      <c r="AI226" s="1">
        <v>0</v>
      </c>
      <c r="AJ226" s="1">
        <v>0</v>
      </c>
      <c r="AK226" s="1">
        <v>0</v>
      </c>
      <c r="AL226" s="1">
        <v>1</v>
      </c>
      <c r="AM226" s="1">
        <v>86400</v>
      </c>
      <c r="AN226" s="1">
        <v>80639</v>
      </c>
      <c r="AO226" s="1">
        <v>5761</v>
      </c>
      <c r="AP226" s="1">
        <v>46982</v>
      </c>
      <c r="AQ226" s="1">
        <v>22.064773613282629</v>
      </c>
    </row>
    <row r="227" spans="1:43" x14ac:dyDescent="0.45">
      <c r="A227" s="1">
        <v>226</v>
      </c>
      <c r="B227" s="1">
        <v>425</v>
      </c>
      <c r="C227" s="1">
        <v>24</v>
      </c>
      <c r="D227" s="1" t="s">
        <v>73</v>
      </c>
      <c r="E227" s="1" t="s">
        <v>74</v>
      </c>
      <c r="F227" s="1" t="s">
        <v>75</v>
      </c>
      <c r="G227" s="1" t="s">
        <v>46</v>
      </c>
      <c r="H227" s="1" t="s">
        <v>47</v>
      </c>
      <c r="I227" s="1">
        <v>586</v>
      </c>
      <c r="J227" s="1">
        <v>18129</v>
      </c>
      <c r="K227" s="1">
        <v>1</v>
      </c>
      <c r="L227" s="1">
        <v>23</v>
      </c>
      <c r="M227" s="1">
        <v>1792</v>
      </c>
      <c r="N227" s="1" t="s">
        <v>48</v>
      </c>
      <c r="O227" s="1">
        <v>183770</v>
      </c>
      <c r="P227" s="1">
        <v>94</v>
      </c>
      <c r="Q227" s="1" t="s">
        <v>125</v>
      </c>
      <c r="R227" s="1" t="s">
        <v>50</v>
      </c>
      <c r="S227" s="1">
        <v>0</v>
      </c>
      <c r="T227" s="1">
        <v>0</v>
      </c>
      <c r="U227" s="1">
        <v>134.53299999999999</v>
      </c>
      <c r="V227" s="1">
        <v>25.527000000000001</v>
      </c>
      <c r="W227" s="1">
        <v>1.3</v>
      </c>
      <c r="X227" s="1">
        <v>1.7689999999999999</v>
      </c>
      <c r="Y227" s="1">
        <v>27.295999999999999</v>
      </c>
      <c r="Z227" s="1">
        <v>0.16700000000000001</v>
      </c>
      <c r="AA227" s="1">
        <v>2.7</v>
      </c>
      <c r="AB227" s="1">
        <v>2.7</v>
      </c>
      <c r="AC227" s="1">
        <v>2.7</v>
      </c>
      <c r="AD227" s="1">
        <v>1.768</v>
      </c>
      <c r="AE227" s="1">
        <v>0.16600000000000001</v>
      </c>
      <c r="AF227" s="1">
        <v>0.29599999999999999</v>
      </c>
      <c r="AG227" s="1">
        <v>2.7</v>
      </c>
      <c r="AI227" s="1">
        <v>0</v>
      </c>
      <c r="AJ227" s="1">
        <v>0</v>
      </c>
      <c r="AK227" s="1">
        <v>0</v>
      </c>
      <c r="AL227" s="1">
        <v>1</v>
      </c>
      <c r="AM227" s="1">
        <v>86400</v>
      </c>
      <c r="AN227" s="1">
        <v>80999</v>
      </c>
      <c r="AO227" s="1">
        <v>5401</v>
      </c>
      <c r="AP227" s="1">
        <v>46892</v>
      </c>
      <c r="AQ227" s="1">
        <v>15.60055264735368</v>
      </c>
    </row>
    <row r="228" spans="1:43" x14ac:dyDescent="0.45">
      <c r="A228" s="1">
        <v>227</v>
      </c>
      <c r="B228" s="1">
        <v>425</v>
      </c>
      <c r="C228" s="1">
        <v>24</v>
      </c>
      <c r="D228" s="1" t="s">
        <v>73</v>
      </c>
      <c r="E228" s="1" t="s">
        <v>74</v>
      </c>
      <c r="F228" s="1" t="s">
        <v>75</v>
      </c>
      <c r="G228" s="1" t="s">
        <v>46</v>
      </c>
      <c r="H228" s="1" t="s">
        <v>47</v>
      </c>
      <c r="I228" s="1">
        <v>586</v>
      </c>
      <c r="J228" s="1">
        <v>18129</v>
      </c>
      <c r="K228" s="1">
        <v>1</v>
      </c>
      <c r="L228" s="1">
        <v>23</v>
      </c>
      <c r="M228" s="1">
        <v>1793</v>
      </c>
      <c r="N228" s="1" t="s">
        <v>48</v>
      </c>
      <c r="O228" s="1">
        <v>183771</v>
      </c>
      <c r="P228" s="1">
        <v>94</v>
      </c>
      <c r="Q228" s="1" t="s">
        <v>125</v>
      </c>
      <c r="R228" s="1" t="s">
        <v>50</v>
      </c>
      <c r="S228" s="1">
        <v>0</v>
      </c>
      <c r="T228" s="1">
        <v>0</v>
      </c>
      <c r="U228" s="1">
        <v>106.956</v>
      </c>
      <c r="V228" s="1">
        <v>27.111999999999998</v>
      </c>
      <c r="W228" s="1">
        <v>0.53</v>
      </c>
      <c r="X228" s="1">
        <v>0.185</v>
      </c>
      <c r="Y228" s="1">
        <v>27.297000000000001</v>
      </c>
      <c r="Z228" s="1">
        <v>0.26</v>
      </c>
      <c r="AA228" s="1">
        <v>-1.1000000000000001</v>
      </c>
      <c r="AB228" s="1">
        <v>-1.1000000000000001</v>
      </c>
      <c r="AC228" s="1">
        <v>-1.1000000000000001</v>
      </c>
      <c r="AD228" s="1">
        <v>0.185</v>
      </c>
      <c r="AE228" s="1">
        <v>0.252</v>
      </c>
      <c r="AF228" s="1">
        <v>4.7E-2</v>
      </c>
      <c r="AG228" s="1">
        <v>-1.1000000000000001</v>
      </c>
      <c r="AI228" s="1">
        <v>0</v>
      </c>
      <c r="AJ228" s="1">
        <v>0</v>
      </c>
      <c r="AK228" s="1">
        <v>0</v>
      </c>
      <c r="AL228" s="1">
        <v>1</v>
      </c>
      <c r="AM228" s="1">
        <v>86400</v>
      </c>
      <c r="AN228" s="1">
        <v>80844</v>
      </c>
      <c r="AO228" s="1">
        <v>5556</v>
      </c>
      <c r="AP228" s="1">
        <v>46822</v>
      </c>
      <c r="AQ228" s="1">
        <v>5.9693195119678606</v>
      </c>
    </row>
    <row r="229" spans="1:43" x14ac:dyDescent="0.45">
      <c r="A229" s="1">
        <v>228</v>
      </c>
      <c r="B229" s="1">
        <v>431</v>
      </c>
      <c r="C229" s="1">
        <v>91</v>
      </c>
      <c r="D229" s="1" t="s">
        <v>79</v>
      </c>
      <c r="E229" s="1" t="s">
        <v>80</v>
      </c>
      <c r="F229" s="1" t="s">
        <v>81</v>
      </c>
      <c r="G229" s="1" t="s">
        <v>54</v>
      </c>
      <c r="H229" s="1" t="s">
        <v>47</v>
      </c>
      <c r="I229" s="1">
        <v>764</v>
      </c>
      <c r="J229" s="1">
        <v>21102</v>
      </c>
      <c r="K229" s="1">
        <v>1</v>
      </c>
      <c r="L229" s="1">
        <v>90</v>
      </c>
      <c r="M229" s="1">
        <v>1802</v>
      </c>
      <c r="N229" s="1" t="s">
        <v>48</v>
      </c>
      <c r="O229" s="1">
        <v>184863</v>
      </c>
      <c r="P229" s="1">
        <v>94</v>
      </c>
      <c r="Q229" s="1" t="s">
        <v>125</v>
      </c>
      <c r="R229" s="1" t="s">
        <v>50</v>
      </c>
      <c r="S229" s="1">
        <v>0</v>
      </c>
      <c r="T229" s="1">
        <v>0</v>
      </c>
      <c r="U229" s="1">
        <v>325.68799999999999</v>
      </c>
      <c r="V229" s="1">
        <v>24.777999999999999</v>
      </c>
      <c r="W229" s="1">
        <v>0.53</v>
      </c>
      <c r="X229" s="1">
        <v>0.17599999999999999</v>
      </c>
      <c r="Y229" s="1">
        <v>24.954000000000001</v>
      </c>
      <c r="Z229" s="1">
        <v>0.13</v>
      </c>
      <c r="AA229" s="1">
        <v>1.7</v>
      </c>
      <c r="AB229" s="1">
        <v>1.7</v>
      </c>
      <c r="AC229" s="1">
        <v>1.7</v>
      </c>
      <c r="AD229" s="1">
        <v>0.17599999999999999</v>
      </c>
      <c r="AE229" s="1">
        <v>0.13</v>
      </c>
      <c r="AF229" s="1">
        <v>2.3E-2</v>
      </c>
      <c r="AG229" s="1">
        <v>1.7</v>
      </c>
      <c r="AI229" s="1">
        <v>0</v>
      </c>
      <c r="AJ229" s="1">
        <v>0</v>
      </c>
      <c r="AK229" s="1">
        <v>0</v>
      </c>
      <c r="AL229" s="1">
        <v>1</v>
      </c>
      <c r="AM229" s="1">
        <v>86400</v>
      </c>
      <c r="AN229" s="1">
        <v>81599</v>
      </c>
      <c r="AO229" s="1">
        <v>4801</v>
      </c>
      <c r="AP229" s="1">
        <v>47150</v>
      </c>
      <c r="AQ229" s="1">
        <v>1.706661716915139</v>
      </c>
    </row>
    <row r="230" spans="1:43" x14ac:dyDescent="0.45">
      <c r="A230" s="1">
        <v>229</v>
      </c>
      <c r="B230" s="1">
        <v>439</v>
      </c>
      <c r="C230" s="1">
        <v>94</v>
      </c>
      <c r="D230" s="1" t="s">
        <v>82</v>
      </c>
      <c r="E230" s="1" t="s">
        <v>83</v>
      </c>
      <c r="F230" s="1" t="s">
        <v>84</v>
      </c>
      <c r="G230" s="1" t="s">
        <v>46</v>
      </c>
      <c r="H230" s="1" t="s">
        <v>47</v>
      </c>
      <c r="I230" s="1">
        <v>490</v>
      </c>
      <c r="J230" s="1">
        <v>12595</v>
      </c>
      <c r="K230" s="1">
        <v>1</v>
      </c>
      <c r="L230" s="1">
        <v>93</v>
      </c>
      <c r="M230" s="1">
        <v>1811</v>
      </c>
      <c r="N230" s="1" t="s">
        <v>48</v>
      </c>
      <c r="O230" s="1">
        <v>184940</v>
      </c>
      <c r="P230" s="1">
        <v>94</v>
      </c>
      <c r="Q230" s="1" t="s">
        <v>125</v>
      </c>
      <c r="R230" s="1" t="s">
        <v>50</v>
      </c>
      <c r="S230" s="1">
        <v>0</v>
      </c>
      <c r="T230" s="1">
        <v>0</v>
      </c>
      <c r="U230" s="1">
        <v>261.22399999999999</v>
      </c>
      <c r="V230" s="1">
        <v>23.815999999999999</v>
      </c>
      <c r="W230" s="1">
        <v>0.6</v>
      </c>
      <c r="X230" s="1">
        <v>0.499</v>
      </c>
      <c r="Y230" s="1">
        <v>24.315999999999999</v>
      </c>
      <c r="Z230" s="1">
        <v>0.503</v>
      </c>
      <c r="AA230" s="1">
        <v>-1.9</v>
      </c>
      <c r="AB230" s="1">
        <v>-1.9</v>
      </c>
      <c r="AC230" s="1">
        <v>-1.9</v>
      </c>
      <c r="AD230" s="1">
        <v>0.499</v>
      </c>
      <c r="AE230" s="1">
        <v>0.502</v>
      </c>
      <c r="AF230" s="1">
        <v>0.251</v>
      </c>
      <c r="AG230" s="1">
        <v>-1.9</v>
      </c>
      <c r="AI230" s="1">
        <v>0</v>
      </c>
      <c r="AJ230" s="1">
        <v>0</v>
      </c>
      <c r="AK230" s="1">
        <v>0</v>
      </c>
      <c r="AL230" s="1">
        <v>1</v>
      </c>
      <c r="AM230" s="1">
        <v>86400</v>
      </c>
      <c r="AN230" s="1">
        <v>81850</v>
      </c>
      <c r="AO230" s="1">
        <v>4550</v>
      </c>
      <c r="AP230" s="1">
        <v>46996</v>
      </c>
      <c r="AQ230" s="1">
        <v>42.510154089918373</v>
      </c>
    </row>
    <row r="231" spans="1:43" x14ac:dyDescent="0.45">
      <c r="A231" s="1">
        <v>230</v>
      </c>
      <c r="B231" s="1">
        <v>439</v>
      </c>
      <c r="C231" s="1">
        <v>94</v>
      </c>
      <c r="D231" s="1" t="s">
        <v>82</v>
      </c>
      <c r="E231" s="1" t="s">
        <v>83</v>
      </c>
      <c r="F231" s="1" t="s">
        <v>84</v>
      </c>
      <c r="G231" s="1" t="s">
        <v>46</v>
      </c>
      <c r="H231" s="1" t="s">
        <v>47</v>
      </c>
      <c r="I231" s="1">
        <v>490</v>
      </c>
      <c r="J231" s="1">
        <v>12595</v>
      </c>
      <c r="K231" s="1">
        <v>1</v>
      </c>
      <c r="L231" s="1">
        <v>93</v>
      </c>
      <c r="M231" s="1">
        <v>1813</v>
      </c>
      <c r="N231" s="1" t="s">
        <v>48</v>
      </c>
      <c r="O231" s="1">
        <v>185010</v>
      </c>
      <c r="P231" s="1">
        <v>94</v>
      </c>
      <c r="Q231" s="1" t="s">
        <v>125</v>
      </c>
      <c r="R231" s="1" t="s">
        <v>50</v>
      </c>
      <c r="S231" s="1">
        <v>0</v>
      </c>
      <c r="T231" s="1">
        <v>0</v>
      </c>
      <c r="U231" s="1">
        <v>53.661000000000001</v>
      </c>
      <c r="V231" s="1">
        <v>23.934999999999999</v>
      </c>
      <c r="W231" s="1">
        <v>0.55000000000000004</v>
      </c>
      <c r="X231" s="1">
        <v>0.16200000000000001</v>
      </c>
      <c r="Y231" s="1">
        <v>24.097000000000001</v>
      </c>
      <c r="Z231" s="1">
        <v>1.653</v>
      </c>
      <c r="AA231" s="1">
        <v>-2.9</v>
      </c>
      <c r="AB231" s="1">
        <v>-2.9</v>
      </c>
      <c r="AC231" s="1">
        <v>-2.9</v>
      </c>
      <c r="AD231" s="1">
        <v>0.16200000000000001</v>
      </c>
      <c r="AE231" s="1">
        <v>1.6479999999999999</v>
      </c>
      <c r="AF231" s="1">
        <v>0.26700000000000002</v>
      </c>
      <c r="AG231" s="1">
        <v>-2.9</v>
      </c>
      <c r="AI231" s="1">
        <v>0</v>
      </c>
      <c r="AJ231" s="1">
        <v>0</v>
      </c>
      <c r="AK231" s="1">
        <v>0</v>
      </c>
      <c r="AL231" s="1">
        <v>1</v>
      </c>
      <c r="AM231" s="1">
        <v>86400</v>
      </c>
      <c r="AN231" s="1">
        <v>80728</v>
      </c>
      <c r="AO231" s="1">
        <v>5672</v>
      </c>
      <c r="AP231" s="1">
        <v>46819</v>
      </c>
      <c r="AQ231" s="1">
        <v>12.012680811710871</v>
      </c>
    </row>
    <row r="232" spans="1:43" x14ac:dyDescent="0.45">
      <c r="A232" s="1">
        <v>231</v>
      </c>
      <c r="B232" s="1">
        <v>439</v>
      </c>
      <c r="C232" s="1">
        <v>94</v>
      </c>
      <c r="D232" s="1" t="s">
        <v>82</v>
      </c>
      <c r="E232" s="1" t="s">
        <v>83</v>
      </c>
      <c r="F232" s="1" t="s">
        <v>84</v>
      </c>
      <c r="G232" s="1" t="s">
        <v>46</v>
      </c>
      <c r="H232" s="1" t="s">
        <v>47</v>
      </c>
      <c r="I232" s="1">
        <v>490</v>
      </c>
      <c r="J232" s="1">
        <v>12595</v>
      </c>
      <c r="K232" s="1">
        <v>1</v>
      </c>
      <c r="L232" s="1">
        <v>93</v>
      </c>
      <c r="M232" s="1">
        <v>1814</v>
      </c>
      <c r="N232" s="1" t="s">
        <v>48</v>
      </c>
      <c r="O232" s="1">
        <v>185014</v>
      </c>
      <c r="P232" s="1">
        <v>94</v>
      </c>
      <c r="Q232" s="1" t="s">
        <v>125</v>
      </c>
      <c r="R232" s="1" t="s">
        <v>50</v>
      </c>
      <c r="S232" s="1">
        <v>0</v>
      </c>
      <c r="T232" s="1">
        <v>0</v>
      </c>
      <c r="U232" s="1">
        <v>475.46899999999999</v>
      </c>
      <c r="V232" s="1">
        <v>23.841000000000001</v>
      </c>
      <c r="W232" s="1">
        <v>0.55000000000000004</v>
      </c>
      <c r="X232" s="1">
        <v>0.23899999999999999</v>
      </c>
      <c r="Y232" s="1">
        <v>24.08</v>
      </c>
      <c r="Z232" s="1">
        <v>0.57199999999999995</v>
      </c>
      <c r="AA232" s="1">
        <v>-2.9</v>
      </c>
      <c r="AB232" s="1">
        <v>-2.9</v>
      </c>
      <c r="AC232" s="1">
        <v>-2.9</v>
      </c>
      <c r="AD232" s="1">
        <v>0.23899999999999999</v>
      </c>
      <c r="AE232" s="1">
        <v>0.56999999999999995</v>
      </c>
      <c r="AF232" s="1">
        <v>0.13600000000000001</v>
      </c>
      <c r="AG232" s="1">
        <v>-2.9</v>
      </c>
      <c r="AI232" s="1">
        <v>0</v>
      </c>
      <c r="AJ232" s="1">
        <v>0</v>
      </c>
      <c r="AK232" s="1">
        <v>0</v>
      </c>
      <c r="AL232" s="1">
        <v>1</v>
      </c>
      <c r="AM232" s="1">
        <v>86400</v>
      </c>
      <c r="AN232" s="1">
        <v>80716</v>
      </c>
      <c r="AO232" s="1">
        <v>5684</v>
      </c>
      <c r="AP232" s="1">
        <v>47061</v>
      </c>
      <c r="AQ232" s="1">
        <v>45.30645802650001</v>
      </c>
    </row>
    <row r="233" spans="1:43" x14ac:dyDescent="0.45">
      <c r="A233" s="1">
        <v>232</v>
      </c>
      <c r="B233" s="1">
        <v>439</v>
      </c>
      <c r="C233" s="1">
        <v>94</v>
      </c>
      <c r="D233" s="1" t="s">
        <v>82</v>
      </c>
      <c r="E233" s="1" t="s">
        <v>83</v>
      </c>
      <c r="F233" s="1" t="s">
        <v>84</v>
      </c>
      <c r="G233" s="1" t="s">
        <v>46</v>
      </c>
      <c r="H233" s="1" t="s">
        <v>47</v>
      </c>
      <c r="I233" s="1">
        <v>490</v>
      </c>
      <c r="J233" s="1">
        <v>12595</v>
      </c>
      <c r="K233" s="1">
        <v>1</v>
      </c>
      <c r="L233" s="1">
        <v>93</v>
      </c>
      <c r="M233" s="1">
        <v>1816</v>
      </c>
      <c r="N233" s="1" t="s">
        <v>48</v>
      </c>
      <c r="O233" s="1">
        <v>185061</v>
      </c>
      <c r="P233" s="1">
        <v>94</v>
      </c>
      <c r="Q233" s="1" t="s">
        <v>125</v>
      </c>
      <c r="R233" s="1" t="s">
        <v>50</v>
      </c>
      <c r="S233" s="1">
        <v>0</v>
      </c>
      <c r="T233" s="1">
        <v>0</v>
      </c>
      <c r="U233" s="1">
        <v>504.226</v>
      </c>
      <c r="V233" s="1">
        <v>23.829000000000001</v>
      </c>
      <c r="W233" s="1">
        <v>0.55000000000000004</v>
      </c>
      <c r="X233" s="1">
        <v>0.251</v>
      </c>
      <c r="Y233" s="1">
        <v>24.08</v>
      </c>
      <c r="Z233" s="1">
        <v>0.53400000000000003</v>
      </c>
      <c r="AA233" s="1">
        <v>-3</v>
      </c>
      <c r="AB233" s="1">
        <v>-3</v>
      </c>
      <c r="AC233" s="1">
        <v>-3</v>
      </c>
      <c r="AD233" s="1">
        <v>0.251</v>
      </c>
      <c r="AE233" s="1">
        <v>0.53300000000000003</v>
      </c>
      <c r="AF233" s="1">
        <v>0.13400000000000001</v>
      </c>
      <c r="AG233" s="1">
        <v>-3</v>
      </c>
      <c r="AI233" s="1">
        <v>0</v>
      </c>
      <c r="AJ233" s="1">
        <v>0</v>
      </c>
      <c r="AK233" s="1">
        <v>0</v>
      </c>
      <c r="AL233" s="1">
        <v>1</v>
      </c>
      <c r="AM233" s="1">
        <v>86400</v>
      </c>
      <c r="AN233" s="1">
        <v>80961</v>
      </c>
      <c r="AO233" s="1">
        <v>5439</v>
      </c>
      <c r="AP233" s="1">
        <v>46921</v>
      </c>
      <c r="AQ233" s="1">
        <v>0.85267399366333962</v>
      </c>
    </row>
    <row r="234" spans="1:43" x14ac:dyDescent="0.45">
      <c r="A234" s="1">
        <v>233</v>
      </c>
      <c r="B234" s="1">
        <v>439</v>
      </c>
      <c r="C234" s="1">
        <v>94</v>
      </c>
      <c r="D234" s="1" t="s">
        <v>82</v>
      </c>
      <c r="E234" s="1" t="s">
        <v>83</v>
      </c>
      <c r="F234" s="1" t="s">
        <v>84</v>
      </c>
      <c r="G234" s="1" t="s">
        <v>46</v>
      </c>
      <c r="H234" s="1" t="s">
        <v>47</v>
      </c>
      <c r="I234" s="1">
        <v>490</v>
      </c>
      <c r="J234" s="1">
        <v>12595</v>
      </c>
      <c r="K234" s="1">
        <v>1</v>
      </c>
      <c r="L234" s="1">
        <v>93</v>
      </c>
      <c r="M234" s="1">
        <v>1817</v>
      </c>
      <c r="N234" s="1" t="s">
        <v>48</v>
      </c>
      <c r="O234" s="1">
        <v>185062</v>
      </c>
      <c r="P234" s="1">
        <v>94</v>
      </c>
      <c r="Q234" s="1" t="s">
        <v>125</v>
      </c>
      <c r="R234" s="1" t="s">
        <v>50</v>
      </c>
      <c r="S234" s="1">
        <v>0</v>
      </c>
      <c r="T234" s="1">
        <v>0</v>
      </c>
      <c r="U234" s="1">
        <v>817.89</v>
      </c>
      <c r="V234" s="1">
        <v>23.803000000000001</v>
      </c>
      <c r="W234" s="1">
        <v>0.56000000000000005</v>
      </c>
      <c r="X234" s="1">
        <v>0.27600000000000002</v>
      </c>
      <c r="Y234" s="1">
        <v>24.08</v>
      </c>
      <c r="Z234" s="1">
        <v>0.57399999999999995</v>
      </c>
      <c r="AA234" s="1">
        <v>-3</v>
      </c>
      <c r="AB234" s="1">
        <v>-3</v>
      </c>
      <c r="AC234" s="1">
        <v>-3</v>
      </c>
      <c r="AD234" s="1">
        <v>0.27600000000000002</v>
      </c>
      <c r="AE234" s="1">
        <v>0.57299999999999995</v>
      </c>
      <c r="AF234" s="1">
        <v>0.158</v>
      </c>
      <c r="AG234" s="1">
        <v>-3</v>
      </c>
      <c r="AI234" s="1">
        <v>0</v>
      </c>
      <c r="AJ234" s="1">
        <v>0</v>
      </c>
      <c r="AK234" s="1">
        <v>0</v>
      </c>
      <c r="AL234" s="1">
        <v>1</v>
      </c>
      <c r="AM234" s="1">
        <v>86400</v>
      </c>
      <c r="AN234" s="1">
        <v>81641</v>
      </c>
      <c r="AO234" s="1">
        <v>4759</v>
      </c>
      <c r="AP234" s="1">
        <v>46944</v>
      </c>
      <c r="AQ234" s="1">
        <v>1.100552351128296</v>
      </c>
    </row>
    <row r="235" spans="1:43" x14ac:dyDescent="0.45">
      <c r="A235" s="1">
        <v>234</v>
      </c>
      <c r="B235" s="1">
        <v>439</v>
      </c>
      <c r="C235" s="1">
        <v>94</v>
      </c>
      <c r="D235" s="1" t="s">
        <v>82</v>
      </c>
      <c r="E235" s="1" t="s">
        <v>83</v>
      </c>
      <c r="F235" s="1" t="s">
        <v>84</v>
      </c>
      <c r="G235" s="1" t="s">
        <v>46</v>
      </c>
      <c r="H235" s="1" t="s">
        <v>47</v>
      </c>
      <c r="I235" s="1">
        <v>490</v>
      </c>
      <c r="J235" s="1">
        <v>12595</v>
      </c>
      <c r="K235" s="1">
        <v>1</v>
      </c>
      <c r="L235" s="1">
        <v>93</v>
      </c>
      <c r="M235" s="1">
        <v>1818</v>
      </c>
      <c r="N235" s="1" t="s">
        <v>48</v>
      </c>
      <c r="O235" s="1">
        <v>185063</v>
      </c>
      <c r="P235" s="1">
        <v>94</v>
      </c>
      <c r="Q235" s="1" t="s">
        <v>125</v>
      </c>
      <c r="R235" s="1" t="s">
        <v>50</v>
      </c>
      <c r="S235" s="1">
        <v>0</v>
      </c>
      <c r="T235" s="1">
        <v>0</v>
      </c>
      <c r="U235" s="1">
        <v>330.41199999999998</v>
      </c>
      <c r="V235" s="1">
        <v>23.858000000000001</v>
      </c>
      <c r="W235" s="1">
        <v>0.55000000000000004</v>
      </c>
      <c r="X235" s="1">
        <v>0.22500000000000001</v>
      </c>
      <c r="Y235" s="1">
        <v>24.082999999999998</v>
      </c>
      <c r="Z235" s="1">
        <v>0.70899999999999996</v>
      </c>
      <c r="AA235" s="1">
        <v>-3</v>
      </c>
      <c r="AB235" s="1">
        <v>-3</v>
      </c>
      <c r="AC235" s="1">
        <v>-3</v>
      </c>
      <c r="AD235" s="1">
        <v>0.22500000000000001</v>
      </c>
      <c r="AE235" s="1">
        <v>0.70699999999999996</v>
      </c>
      <c r="AF235" s="1">
        <v>0.159</v>
      </c>
      <c r="AG235" s="1">
        <v>-3</v>
      </c>
      <c r="AI235" s="1">
        <v>0</v>
      </c>
      <c r="AJ235" s="1">
        <v>0</v>
      </c>
      <c r="AK235" s="1">
        <v>0</v>
      </c>
      <c r="AL235" s="1">
        <v>1</v>
      </c>
      <c r="AM235" s="1">
        <v>86400</v>
      </c>
      <c r="AN235" s="1">
        <v>80370</v>
      </c>
      <c r="AO235" s="1">
        <v>6030</v>
      </c>
      <c r="AP235" s="1">
        <v>47182</v>
      </c>
      <c r="AQ235" s="1">
        <v>25.41992129785066</v>
      </c>
    </row>
    <row r="236" spans="1:43" x14ac:dyDescent="0.45">
      <c r="A236" s="1">
        <v>235</v>
      </c>
      <c r="B236" s="1">
        <v>439</v>
      </c>
      <c r="C236" s="1">
        <v>94</v>
      </c>
      <c r="D236" s="1" t="s">
        <v>82</v>
      </c>
      <c r="E236" s="1" t="s">
        <v>83</v>
      </c>
      <c r="F236" s="1" t="s">
        <v>84</v>
      </c>
      <c r="G236" s="1" t="s">
        <v>46</v>
      </c>
      <c r="H236" s="1" t="s">
        <v>47</v>
      </c>
      <c r="I236" s="1">
        <v>490</v>
      </c>
      <c r="J236" s="1">
        <v>12595</v>
      </c>
      <c r="K236" s="1">
        <v>1</v>
      </c>
      <c r="L236" s="1">
        <v>93</v>
      </c>
      <c r="M236" s="1">
        <v>1819</v>
      </c>
      <c r="N236" s="1" t="s">
        <v>48</v>
      </c>
      <c r="O236" s="1">
        <v>185064</v>
      </c>
      <c r="P236" s="1">
        <v>94</v>
      </c>
      <c r="Q236" s="1" t="s">
        <v>125</v>
      </c>
      <c r="R236" s="1" t="s">
        <v>50</v>
      </c>
      <c r="S236" s="1">
        <v>0</v>
      </c>
      <c r="T236" s="1">
        <v>0</v>
      </c>
      <c r="U236" s="1">
        <v>177.54</v>
      </c>
      <c r="V236" s="1">
        <v>23.756</v>
      </c>
      <c r="W236" s="1">
        <v>0.57999999999999996</v>
      </c>
      <c r="X236" s="1">
        <v>0.312</v>
      </c>
      <c r="Y236" s="1">
        <v>24.068000000000001</v>
      </c>
      <c r="Z236" s="1">
        <v>0.998</v>
      </c>
      <c r="AA236" s="1">
        <v>-3</v>
      </c>
      <c r="AB236" s="1">
        <v>-3</v>
      </c>
      <c r="AC236" s="1">
        <v>-3</v>
      </c>
      <c r="AD236" s="1">
        <v>0.312</v>
      </c>
      <c r="AE236" s="1">
        <v>0.997</v>
      </c>
      <c r="AF236" s="1">
        <v>0.311</v>
      </c>
      <c r="AG236" s="1">
        <v>-3</v>
      </c>
      <c r="AI236" s="1">
        <v>0</v>
      </c>
      <c r="AJ236" s="1">
        <v>0</v>
      </c>
      <c r="AK236" s="1">
        <v>0</v>
      </c>
      <c r="AL236" s="1">
        <v>1</v>
      </c>
      <c r="AM236" s="1">
        <v>86400</v>
      </c>
      <c r="AN236" s="1">
        <v>81716</v>
      </c>
      <c r="AO236" s="1">
        <v>4684</v>
      </c>
      <c r="AP236" s="1">
        <v>46957</v>
      </c>
      <c r="AQ236" s="1">
        <v>1.259733542848309</v>
      </c>
    </row>
    <row r="237" spans="1:43" x14ac:dyDescent="0.45">
      <c r="A237" s="1">
        <v>236</v>
      </c>
      <c r="B237" s="1">
        <v>439</v>
      </c>
      <c r="C237" s="1">
        <v>94</v>
      </c>
      <c r="D237" s="1" t="s">
        <v>82</v>
      </c>
      <c r="E237" s="1" t="s">
        <v>83</v>
      </c>
      <c r="F237" s="1" t="s">
        <v>84</v>
      </c>
      <c r="G237" s="1" t="s">
        <v>46</v>
      </c>
      <c r="H237" s="1" t="s">
        <v>47</v>
      </c>
      <c r="I237" s="1">
        <v>490</v>
      </c>
      <c r="J237" s="1">
        <v>12595</v>
      </c>
      <c r="K237" s="1">
        <v>1</v>
      </c>
      <c r="L237" s="1">
        <v>93</v>
      </c>
      <c r="M237" s="1">
        <v>1820</v>
      </c>
      <c r="N237" s="1" t="s">
        <v>48</v>
      </c>
      <c r="O237" s="1">
        <v>185065</v>
      </c>
      <c r="P237" s="1">
        <v>94</v>
      </c>
      <c r="Q237" s="1" t="s">
        <v>125</v>
      </c>
      <c r="R237" s="1" t="s">
        <v>50</v>
      </c>
      <c r="S237" s="1">
        <v>0</v>
      </c>
      <c r="T237" s="1">
        <v>0</v>
      </c>
      <c r="U237" s="1">
        <v>55.773000000000003</v>
      </c>
      <c r="V237" s="1">
        <v>23.952999999999999</v>
      </c>
      <c r="W237" s="1">
        <v>0.55000000000000004</v>
      </c>
      <c r="X237" s="1">
        <v>0.13100000000000001</v>
      </c>
      <c r="Y237" s="1">
        <v>24.082999999999998</v>
      </c>
      <c r="Z237" s="1">
        <v>2.1920000000000002</v>
      </c>
      <c r="AA237" s="1">
        <v>-3</v>
      </c>
      <c r="AB237" s="1">
        <v>-3</v>
      </c>
      <c r="AC237" s="1">
        <v>-3</v>
      </c>
      <c r="AD237" s="1">
        <v>0.13100000000000001</v>
      </c>
      <c r="AE237" s="1">
        <v>2.1890000000000001</v>
      </c>
      <c r="AF237" s="1">
        <v>0.28599999999999998</v>
      </c>
      <c r="AG237" s="1">
        <v>-3</v>
      </c>
      <c r="AI237" s="1">
        <v>0</v>
      </c>
      <c r="AJ237" s="1">
        <v>0</v>
      </c>
      <c r="AK237" s="1">
        <v>0</v>
      </c>
      <c r="AL237" s="1">
        <v>1</v>
      </c>
      <c r="AM237" s="1">
        <v>68770</v>
      </c>
      <c r="AN237" s="1">
        <v>43367</v>
      </c>
      <c r="AO237" s="1">
        <v>25402</v>
      </c>
      <c r="AP237" s="1">
        <v>47007</v>
      </c>
      <c r="AQ237" s="1">
        <v>0.66646226650313478</v>
      </c>
    </row>
    <row r="238" spans="1:43" x14ac:dyDescent="0.45">
      <c r="A238" s="1">
        <v>237</v>
      </c>
      <c r="B238" s="1">
        <v>439</v>
      </c>
      <c r="C238" s="1">
        <v>94</v>
      </c>
      <c r="D238" s="1" t="s">
        <v>82</v>
      </c>
      <c r="E238" s="1" t="s">
        <v>83</v>
      </c>
      <c r="F238" s="1" t="s">
        <v>84</v>
      </c>
      <c r="G238" s="1" t="s">
        <v>46</v>
      </c>
      <c r="H238" s="1" t="s">
        <v>47</v>
      </c>
      <c r="I238" s="1">
        <v>490</v>
      </c>
      <c r="J238" s="1">
        <v>12595</v>
      </c>
      <c r="K238" s="1">
        <v>1</v>
      </c>
      <c r="L238" s="1">
        <v>93</v>
      </c>
      <c r="M238" s="1">
        <v>1824</v>
      </c>
      <c r="N238" s="1" t="s">
        <v>48</v>
      </c>
      <c r="O238" s="1">
        <v>185078</v>
      </c>
      <c r="P238" s="1">
        <v>94</v>
      </c>
      <c r="Q238" s="1" t="s">
        <v>125</v>
      </c>
      <c r="R238" s="1" t="s">
        <v>50</v>
      </c>
      <c r="S238" s="1">
        <v>0</v>
      </c>
      <c r="T238" s="1">
        <v>0</v>
      </c>
      <c r="U238" s="1">
        <v>88.46</v>
      </c>
      <c r="V238" s="1">
        <v>24.093</v>
      </c>
      <c r="W238" s="1">
        <v>0.56000000000000005</v>
      </c>
      <c r="X238" s="1">
        <v>0.22500000000000001</v>
      </c>
      <c r="Y238" s="1">
        <v>24.318000000000001</v>
      </c>
      <c r="Z238" s="1">
        <v>1.048</v>
      </c>
      <c r="AA238" s="1">
        <v>-3.1</v>
      </c>
      <c r="AB238" s="1">
        <v>-3.1</v>
      </c>
      <c r="AC238" s="1">
        <v>-3.1</v>
      </c>
      <c r="AD238" s="1">
        <v>0.22500000000000001</v>
      </c>
      <c r="AE238" s="1">
        <v>1.0329999999999999</v>
      </c>
      <c r="AF238" s="1">
        <v>0.23200000000000001</v>
      </c>
      <c r="AG238" s="1">
        <v>-3.1</v>
      </c>
      <c r="AI238" s="1">
        <v>0</v>
      </c>
      <c r="AJ238" s="1">
        <v>0</v>
      </c>
      <c r="AK238" s="1">
        <v>0</v>
      </c>
      <c r="AL238" s="1">
        <v>1</v>
      </c>
      <c r="AM238" s="1">
        <v>86400</v>
      </c>
      <c r="AN238" s="1">
        <v>78555</v>
      </c>
      <c r="AO238" s="1">
        <v>7845</v>
      </c>
      <c r="AP238" s="1">
        <v>47285</v>
      </c>
      <c r="AQ238" s="1">
        <v>13.972522455192079</v>
      </c>
    </row>
    <row r="239" spans="1:43" x14ac:dyDescent="0.45">
      <c r="A239" s="1">
        <v>238</v>
      </c>
      <c r="B239" s="1">
        <v>439</v>
      </c>
      <c r="C239" s="1">
        <v>94</v>
      </c>
      <c r="D239" s="1" t="s">
        <v>82</v>
      </c>
      <c r="E239" s="1" t="s">
        <v>83</v>
      </c>
      <c r="F239" s="1" t="s">
        <v>84</v>
      </c>
      <c r="G239" s="1" t="s">
        <v>46</v>
      </c>
      <c r="H239" s="1" t="s">
        <v>47</v>
      </c>
      <c r="I239" s="1">
        <v>490</v>
      </c>
      <c r="J239" s="1">
        <v>12595</v>
      </c>
      <c r="K239" s="1">
        <v>1</v>
      </c>
      <c r="L239" s="1">
        <v>93</v>
      </c>
      <c r="M239" s="1">
        <v>1825</v>
      </c>
      <c r="N239" s="1" t="s">
        <v>48</v>
      </c>
      <c r="O239" s="1">
        <v>185079</v>
      </c>
      <c r="P239" s="1">
        <v>94</v>
      </c>
      <c r="Q239" s="1" t="s">
        <v>125</v>
      </c>
      <c r="R239" s="1" t="s">
        <v>50</v>
      </c>
      <c r="S239" s="1">
        <v>0</v>
      </c>
      <c r="T239" s="1">
        <v>0</v>
      </c>
      <c r="U239" s="1">
        <v>54.067</v>
      </c>
      <c r="V239" s="1">
        <v>24.100999999999999</v>
      </c>
      <c r="W239" s="1">
        <v>0.54</v>
      </c>
      <c r="X239" s="1">
        <v>0.114</v>
      </c>
      <c r="Y239" s="1">
        <v>24.213999999999999</v>
      </c>
      <c r="Z239" s="1">
        <v>2.056</v>
      </c>
      <c r="AA239" s="1">
        <v>-2.9</v>
      </c>
      <c r="AB239" s="1">
        <v>-2.9</v>
      </c>
      <c r="AC239" s="1">
        <v>-2.9</v>
      </c>
      <c r="AD239" s="1">
        <v>0.114</v>
      </c>
      <c r="AE239" s="1">
        <v>2.0550000000000002</v>
      </c>
      <c r="AF239" s="1">
        <v>0.23400000000000001</v>
      </c>
      <c r="AG239" s="1">
        <v>-2.9</v>
      </c>
      <c r="AI239" s="1">
        <v>0</v>
      </c>
      <c r="AJ239" s="1">
        <v>0</v>
      </c>
      <c r="AK239" s="1">
        <v>0</v>
      </c>
      <c r="AL239" s="1">
        <v>1</v>
      </c>
      <c r="AM239" s="1">
        <v>58211</v>
      </c>
      <c r="AN239" s="1">
        <v>22042</v>
      </c>
      <c r="AO239" s="1">
        <v>36169</v>
      </c>
      <c r="AP239" s="1">
        <v>47117</v>
      </c>
      <c r="AQ239" s="1">
        <v>0.59664947625070441</v>
      </c>
    </row>
    <row r="240" spans="1:43" x14ac:dyDescent="0.45">
      <c r="A240" s="1">
        <v>239</v>
      </c>
      <c r="B240" s="1">
        <v>439</v>
      </c>
      <c r="C240" s="1">
        <v>94</v>
      </c>
      <c r="D240" s="1" t="s">
        <v>82</v>
      </c>
      <c r="E240" s="1" t="s">
        <v>83</v>
      </c>
      <c r="F240" s="1" t="s">
        <v>84</v>
      </c>
      <c r="G240" s="1" t="s">
        <v>46</v>
      </c>
      <c r="H240" s="1" t="s">
        <v>47</v>
      </c>
      <c r="I240" s="1">
        <v>490</v>
      </c>
      <c r="J240" s="1">
        <v>12595</v>
      </c>
      <c r="K240" s="1">
        <v>1</v>
      </c>
      <c r="L240" s="1">
        <v>93</v>
      </c>
      <c r="M240" s="1">
        <v>1826</v>
      </c>
      <c r="N240" s="1" t="s">
        <v>48</v>
      </c>
      <c r="O240" s="1">
        <v>185080</v>
      </c>
      <c r="P240" s="1">
        <v>94</v>
      </c>
      <c r="Q240" s="1" t="s">
        <v>125</v>
      </c>
      <c r="R240" s="1" t="s">
        <v>50</v>
      </c>
      <c r="S240" s="1">
        <v>0</v>
      </c>
      <c r="T240" s="1">
        <v>0</v>
      </c>
      <c r="U240" s="1">
        <v>129.07900000000001</v>
      </c>
      <c r="V240" s="1">
        <v>24.146999999999998</v>
      </c>
      <c r="W240" s="1">
        <v>0.54</v>
      </c>
      <c r="X240" s="1">
        <v>0.157</v>
      </c>
      <c r="Y240" s="1">
        <v>24.303999999999998</v>
      </c>
      <c r="Z240" s="1">
        <v>0.85199999999999998</v>
      </c>
      <c r="AA240" s="1">
        <v>-3.1</v>
      </c>
      <c r="AB240" s="1">
        <v>-3.1</v>
      </c>
      <c r="AC240" s="1">
        <v>-3.1</v>
      </c>
      <c r="AD240" s="1">
        <v>0.157</v>
      </c>
      <c r="AE240" s="1">
        <v>0.84499999999999997</v>
      </c>
      <c r="AF240" s="1">
        <v>0.13300000000000001</v>
      </c>
      <c r="AG240" s="1">
        <v>-3.1</v>
      </c>
      <c r="AI240" s="1">
        <v>0</v>
      </c>
      <c r="AJ240" s="1">
        <v>0</v>
      </c>
      <c r="AK240" s="1">
        <v>0</v>
      </c>
      <c r="AL240" s="1">
        <v>1</v>
      </c>
      <c r="AM240" s="1">
        <v>57916</v>
      </c>
      <c r="AN240" s="1">
        <v>21578</v>
      </c>
      <c r="AO240" s="1">
        <v>36338</v>
      </c>
      <c r="AP240" s="1">
        <v>47064</v>
      </c>
      <c r="AQ240" s="1">
        <v>2.2360358767229358</v>
      </c>
    </row>
    <row r="241" spans="1:43" x14ac:dyDescent="0.45">
      <c r="A241" s="1">
        <v>240</v>
      </c>
      <c r="B241" s="1">
        <v>439</v>
      </c>
      <c r="C241" s="1">
        <v>94</v>
      </c>
      <c r="D241" s="1" t="s">
        <v>82</v>
      </c>
      <c r="E241" s="1" t="s">
        <v>83</v>
      </c>
      <c r="F241" s="1" t="s">
        <v>84</v>
      </c>
      <c r="G241" s="1" t="s">
        <v>46</v>
      </c>
      <c r="H241" s="1" t="s">
        <v>47</v>
      </c>
      <c r="I241" s="1">
        <v>490</v>
      </c>
      <c r="J241" s="1">
        <v>12595</v>
      </c>
      <c r="K241" s="1">
        <v>1</v>
      </c>
      <c r="L241" s="1">
        <v>93</v>
      </c>
      <c r="M241" s="1">
        <v>1828</v>
      </c>
      <c r="N241" s="1" t="s">
        <v>48</v>
      </c>
      <c r="O241" s="1">
        <v>185083</v>
      </c>
      <c r="P241" s="1">
        <v>94</v>
      </c>
      <c r="Q241" s="1" t="s">
        <v>125</v>
      </c>
      <c r="R241" s="1" t="s">
        <v>50</v>
      </c>
      <c r="S241" s="1">
        <v>0</v>
      </c>
      <c r="T241" s="1">
        <v>0</v>
      </c>
      <c r="U241" s="1">
        <v>169.43199999999999</v>
      </c>
      <c r="V241" s="1">
        <v>24.184999999999999</v>
      </c>
      <c r="W241" s="1">
        <v>0.52</v>
      </c>
      <c r="X241" s="1">
        <v>0.13300000000000001</v>
      </c>
      <c r="Y241" s="1">
        <v>24.317</v>
      </c>
      <c r="Z241" s="1">
        <v>0.28899999999999998</v>
      </c>
      <c r="AA241" s="1">
        <v>-1.2</v>
      </c>
      <c r="AB241" s="1">
        <v>-1.6</v>
      </c>
      <c r="AC241" s="1">
        <v>-1.6</v>
      </c>
      <c r="AD241" s="1">
        <v>0.13300000000000001</v>
      </c>
      <c r="AE241" s="1">
        <v>0.27400000000000002</v>
      </c>
      <c r="AF241" s="1">
        <v>3.5999999999999997E-2</v>
      </c>
      <c r="AG241" s="1">
        <v>-1.2</v>
      </c>
      <c r="AI241" s="1">
        <v>0</v>
      </c>
      <c r="AJ241" s="1">
        <v>0</v>
      </c>
      <c r="AK241" s="1">
        <v>0</v>
      </c>
      <c r="AL241" s="1">
        <v>1</v>
      </c>
      <c r="AM241" s="1">
        <v>54018</v>
      </c>
      <c r="AN241" s="1">
        <v>10774</v>
      </c>
      <c r="AO241" s="1">
        <v>43244</v>
      </c>
      <c r="AP241" s="1">
        <v>46960</v>
      </c>
      <c r="AQ241" s="1">
        <v>1.5244243283726311</v>
      </c>
    </row>
    <row r="242" spans="1:43" x14ac:dyDescent="0.45">
      <c r="A242" s="1">
        <v>241</v>
      </c>
      <c r="B242" s="1">
        <v>439</v>
      </c>
      <c r="C242" s="1">
        <v>94</v>
      </c>
      <c r="D242" s="1" t="s">
        <v>82</v>
      </c>
      <c r="E242" s="1" t="s">
        <v>83</v>
      </c>
      <c r="F242" s="1" t="s">
        <v>84</v>
      </c>
      <c r="G242" s="1" t="s">
        <v>46</v>
      </c>
      <c r="H242" s="1" t="s">
        <v>47</v>
      </c>
      <c r="I242" s="1">
        <v>490</v>
      </c>
      <c r="J242" s="1">
        <v>12595</v>
      </c>
      <c r="K242" s="1">
        <v>1</v>
      </c>
      <c r="L242" s="1">
        <v>93</v>
      </c>
      <c r="M242" s="1">
        <v>1829</v>
      </c>
      <c r="N242" s="1" t="s">
        <v>48</v>
      </c>
      <c r="O242" s="1">
        <v>185085</v>
      </c>
      <c r="P242" s="1">
        <v>94</v>
      </c>
      <c r="Q242" s="1" t="s">
        <v>125</v>
      </c>
      <c r="R242" s="1" t="s">
        <v>50</v>
      </c>
      <c r="S242" s="1">
        <v>0</v>
      </c>
      <c r="T242" s="1">
        <v>0</v>
      </c>
      <c r="U242" s="1">
        <v>144.268</v>
      </c>
      <c r="V242" s="1">
        <v>24.087</v>
      </c>
      <c r="W242" s="1">
        <v>0.54</v>
      </c>
      <c r="X242" s="1">
        <v>0.23</v>
      </c>
      <c r="Y242" s="1">
        <v>24.318000000000001</v>
      </c>
      <c r="Z242" s="1">
        <v>0.23599999999999999</v>
      </c>
      <c r="AA242" s="1">
        <v>-0.9</v>
      </c>
      <c r="AB242" s="1">
        <v>-1</v>
      </c>
      <c r="AC242" s="1">
        <v>-1</v>
      </c>
      <c r="AD242" s="1">
        <v>0.23</v>
      </c>
      <c r="AE242" s="1">
        <v>0.183</v>
      </c>
      <c r="AF242" s="1">
        <v>4.3999999999999997E-2</v>
      </c>
      <c r="AG242" s="1">
        <v>-0.9</v>
      </c>
      <c r="AI242" s="1">
        <v>0</v>
      </c>
      <c r="AJ242" s="1">
        <v>0</v>
      </c>
      <c r="AK242" s="1">
        <v>0</v>
      </c>
      <c r="AL242" s="1">
        <v>1</v>
      </c>
      <c r="AM242" s="1">
        <v>86400</v>
      </c>
      <c r="AN242" s="1">
        <v>79659</v>
      </c>
      <c r="AO242" s="1">
        <v>6741</v>
      </c>
      <c r="AP242" s="1">
        <v>47011</v>
      </c>
      <c r="AQ242" s="1">
        <v>20.343053902491771</v>
      </c>
    </row>
    <row r="243" spans="1:43" x14ac:dyDescent="0.45">
      <c r="A243" s="1">
        <v>242</v>
      </c>
      <c r="B243" s="1">
        <v>439</v>
      </c>
      <c r="C243" s="1">
        <v>94</v>
      </c>
      <c r="D243" s="1" t="s">
        <v>82</v>
      </c>
      <c r="E243" s="1" t="s">
        <v>83</v>
      </c>
      <c r="F243" s="1" t="s">
        <v>84</v>
      </c>
      <c r="G243" s="1" t="s">
        <v>46</v>
      </c>
      <c r="H243" s="1" t="s">
        <v>47</v>
      </c>
      <c r="I243" s="1">
        <v>490</v>
      </c>
      <c r="J243" s="1">
        <v>12595</v>
      </c>
      <c r="K243" s="1">
        <v>1</v>
      </c>
      <c r="L243" s="1">
        <v>93</v>
      </c>
      <c r="M243" s="1">
        <v>1830</v>
      </c>
      <c r="N243" s="1" t="s">
        <v>48</v>
      </c>
      <c r="O243" s="1">
        <v>185086</v>
      </c>
      <c r="P243" s="1">
        <v>94</v>
      </c>
      <c r="Q243" s="1" t="s">
        <v>125</v>
      </c>
      <c r="R243" s="1" t="s">
        <v>50</v>
      </c>
      <c r="S243" s="1">
        <v>0</v>
      </c>
      <c r="T243" s="1">
        <v>0</v>
      </c>
      <c r="U243" s="1">
        <v>153.83099999999999</v>
      </c>
      <c r="V243" s="1">
        <v>24.013000000000002</v>
      </c>
      <c r="W243" s="1">
        <v>0.55000000000000004</v>
      </c>
      <c r="X243" s="1">
        <v>0.3</v>
      </c>
      <c r="Y243" s="1">
        <v>24.314</v>
      </c>
      <c r="Z243" s="1">
        <v>0.2</v>
      </c>
      <c r="AA243" s="1">
        <v>-1.4</v>
      </c>
      <c r="AB243" s="1">
        <v>-1.4</v>
      </c>
      <c r="AC243" s="1">
        <v>-1.4</v>
      </c>
      <c r="AD243" s="1">
        <v>0.3</v>
      </c>
      <c r="AE243" s="1">
        <v>0.19400000000000001</v>
      </c>
      <c r="AF243" s="1">
        <v>5.8000000000000003E-2</v>
      </c>
      <c r="AG243" s="1">
        <v>-1.4</v>
      </c>
      <c r="AI243" s="1">
        <v>0</v>
      </c>
      <c r="AJ243" s="1">
        <v>0</v>
      </c>
      <c r="AK243" s="1">
        <v>0</v>
      </c>
      <c r="AL243" s="1">
        <v>1</v>
      </c>
      <c r="AM243" s="1">
        <v>86400</v>
      </c>
      <c r="AN243" s="1">
        <v>80538</v>
      </c>
      <c r="AO243" s="1">
        <v>5862</v>
      </c>
      <c r="AP243" s="1">
        <v>47274</v>
      </c>
      <c r="AQ243" s="1">
        <v>1.6394359583819851</v>
      </c>
    </row>
    <row r="244" spans="1:43" x14ac:dyDescent="0.45">
      <c r="A244" s="1">
        <v>243</v>
      </c>
      <c r="B244" s="1">
        <v>446</v>
      </c>
      <c r="C244" s="1">
        <v>97</v>
      </c>
      <c r="D244" s="1" t="s">
        <v>85</v>
      </c>
      <c r="E244" s="1" t="s">
        <v>86</v>
      </c>
      <c r="F244" s="1" t="s">
        <v>87</v>
      </c>
      <c r="G244" s="1" t="s">
        <v>46</v>
      </c>
      <c r="H244" s="1" t="s">
        <v>47</v>
      </c>
      <c r="I244" s="1">
        <v>1089</v>
      </c>
      <c r="J244" s="1">
        <v>26566</v>
      </c>
      <c r="K244" s="1">
        <v>1</v>
      </c>
      <c r="L244" s="1">
        <v>96</v>
      </c>
      <c r="M244" s="1">
        <v>1802</v>
      </c>
      <c r="N244" s="1" t="s">
        <v>48</v>
      </c>
      <c r="O244" s="1">
        <v>184863</v>
      </c>
      <c r="P244" s="1">
        <v>94</v>
      </c>
      <c r="Q244" s="1" t="s">
        <v>125</v>
      </c>
      <c r="R244" s="1" t="s">
        <v>50</v>
      </c>
      <c r="S244" s="1">
        <v>0</v>
      </c>
      <c r="T244" s="1">
        <v>0</v>
      </c>
      <c r="U244" s="1">
        <v>325.68799999999999</v>
      </c>
      <c r="V244" s="1">
        <v>24.777999999999999</v>
      </c>
      <c r="W244" s="1">
        <v>0.53</v>
      </c>
      <c r="X244" s="1">
        <v>0.17599999999999999</v>
      </c>
      <c r="Y244" s="1">
        <v>24.954000000000001</v>
      </c>
      <c r="Z244" s="1">
        <v>0.13</v>
      </c>
      <c r="AA244" s="1">
        <v>1.7</v>
      </c>
      <c r="AB244" s="1">
        <v>1.7</v>
      </c>
      <c r="AC244" s="1">
        <v>1.7</v>
      </c>
      <c r="AD244" s="1">
        <v>0.17599999999999999</v>
      </c>
      <c r="AE244" s="1">
        <v>0.13</v>
      </c>
      <c r="AF244" s="1">
        <v>2.3E-2</v>
      </c>
      <c r="AG244" s="1">
        <v>1.7</v>
      </c>
      <c r="AI244" s="1">
        <v>0</v>
      </c>
      <c r="AJ244" s="1">
        <v>0</v>
      </c>
      <c r="AK244" s="1">
        <v>0</v>
      </c>
      <c r="AL244" s="1">
        <v>1</v>
      </c>
      <c r="AM244" s="1">
        <v>86400</v>
      </c>
      <c r="AN244" s="1">
        <v>81599</v>
      </c>
      <c r="AO244" s="1">
        <v>4801</v>
      </c>
      <c r="AP244" s="1">
        <v>47150</v>
      </c>
      <c r="AQ244" s="1">
        <v>15.74861294678051</v>
      </c>
    </row>
    <row r="245" spans="1:43" x14ac:dyDescent="0.45">
      <c r="A245" s="1">
        <v>244</v>
      </c>
      <c r="B245" s="1">
        <v>446</v>
      </c>
      <c r="C245" s="1">
        <v>97</v>
      </c>
      <c r="D245" s="1" t="s">
        <v>85</v>
      </c>
      <c r="E245" s="1" t="s">
        <v>86</v>
      </c>
      <c r="F245" s="1" t="s">
        <v>87</v>
      </c>
      <c r="G245" s="1" t="s">
        <v>46</v>
      </c>
      <c r="H245" s="1" t="s">
        <v>47</v>
      </c>
      <c r="I245" s="1">
        <v>1089</v>
      </c>
      <c r="J245" s="1">
        <v>26566</v>
      </c>
      <c r="K245" s="1">
        <v>1</v>
      </c>
      <c r="L245" s="1">
        <v>96</v>
      </c>
      <c r="M245" s="1">
        <v>1803</v>
      </c>
      <c r="N245" s="1" t="s">
        <v>48</v>
      </c>
      <c r="O245" s="1">
        <v>184865</v>
      </c>
      <c r="P245" s="1">
        <v>94</v>
      </c>
      <c r="Q245" s="1" t="s">
        <v>125</v>
      </c>
      <c r="R245" s="1" t="s">
        <v>50</v>
      </c>
      <c r="S245" s="1">
        <v>0</v>
      </c>
      <c r="T245" s="1">
        <v>0</v>
      </c>
      <c r="U245" s="1">
        <v>478.33499999999998</v>
      </c>
      <c r="V245" s="1">
        <v>24.844000000000001</v>
      </c>
      <c r="W245" s="1">
        <v>0.52</v>
      </c>
      <c r="X245" s="1">
        <v>0.112</v>
      </c>
      <c r="Y245" s="1">
        <v>24.956</v>
      </c>
      <c r="Z245" s="1">
        <v>0.104</v>
      </c>
      <c r="AA245" s="1">
        <v>2.2000000000000002</v>
      </c>
      <c r="AB245" s="1">
        <v>2.2000000000000002</v>
      </c>
      <c r="AC245" s="1">
        <v>2.2000000000000002</v>
      </c>
      <c r="AD245" s="1">
        <v>0.112</v>
      </c>
      <c r="AE245" s="1">
        <v>0.104</v>
      </c>
      <c r="AF245" s="1">
        <v>1.2E-2</v>
      </c>
      <c r="AG245" s="1">
        <v>2.2000000000000002</v>
      </c>
      <c r="AI245" s="1">
        <v>0</v>
      </c>
      <c r="AJ245" s="1">
        <v>0</v>
      </c>
      <c r="AK245" s="1">
        <v>0</v>
      </c>
      <c r="AL245" s="1">
        <v>1</v>
      </c>
      <c r="AM245" s="1">
        <v>86400</v>
      </c>
      <c r="AN245" s="1">
        <v>74051</v>
      </c>
      <c r="AO245" s="1">
        <v>12349</v>
      </c>
      <c r="AP245" s="1">
        <v>43695</v>
      </c>
      <c r="AQ245" s="1">
        <v>17.355190718828648</v>
      </c>
    </row>
    <row r="246" spans="1:43" x14ac:dyDescent="0.45">
      <c r="A246" s="1">
        <v>245</v>
      </c>
      <c r="B246" s="1">
        <v>446</v>
      </c>
      <c r="C246" s="1">
        <v>97</v>
      </c>
      <c r="D246" s="1" t="s">
        <v>85</v>
      </c>
      <c r="E246" s="1" t="s">
        <v>86</v>
      </c>
      <c r="F246" s="1" t="s">
        <v>87</v>
      </c>
      <c r="G246" s="1" t="s">
        <v>46</v>
      </c>
      <c r="H246" s="1" t="s">
        <v>47</v>
      </c>
      <c r="I246" s="1">
        <v>1089</v>
      </c>
      <c r="J246" s="1">
        <v>26566</v>
      </c>
      <c r="K246" s="1">
        <v>1</v>
      </c>
      <c r="L246" s="1">
        <v>96</v>
      </c>
      <c r="M246" s="1">
        <v>1804</v>
      </c>
      <c r="N246" s="1" t="s">
        <v>48</v>
      </c>
      <c r="O246" s="1">
        <v>184866</v>
      </c>
      <c r="P246" s="1">
        <v>94</v>
      </c>
      <c r="Q246" s="1" t="s">
        <v>125</v>
      </c>
      <c r="R246" s="1" t="s">
        <v>50</v>
      </c>
      <c r="S246" s="1">
        <v>0</v>
      </c>
      <c r="T246" s="1">
        <v>0</v>
      </c>
      <c r="U246" s="1">
        <v>867.36900000000003</v>
      </c>
      <c r="V246" s="1">
        <v>24.741</v>
      </c>
      <c r="W246" s="1">
        <v>0.54</v>
      </c>
      <c r="X246" s="1">
        <v>0.214</v>
      </c>
      <c r="Y246" s="1">
        <v>24.954000000000001</v>
      </c>
      <c r="Z246" s="1">
        <v>0.161</v>
      </c>
      <c r="AA246" s="1">
        <v>3</v>
      </c>
      <c r="AB246" s="1">
        <v>3</v>
      </c>
      <c r="AC246" s="1">
        <v>3</v>
      </c>
      <c r="AD246" s="1">
        <v>0.214</v>
      </c>
      <c r="AE246" s="1">
        <v>0.16</v>
      </c>
      <c r="AF246" s="1">
        <v>3.4000000000000002E-2</v>
      </c>
      <c r="AG246" s="1">
        <v>3</v>
      </c>
      <c r="AI246" s="1">
        <v>0</v>
      </c>
      <c r="AJ246" s="1">
        <v>0</v>
      </c>
      <c r="AK246" s="1">
        <v>0</v>
      </c>
      <c r="AL246" s="1">
        <v>1</v>
      </c>
      <c r="AM246" s="1">
        <v>86400</v>
      </c>
      <c r="AN246" s="1">
        <v>77258</v>
      </c>
      <c r="AO246" s="1">
        <v>9142</v>
      </c>
      <c r="AP246" s="1">
        <v>43647</v>
      </c>
      <c r="AQ246" s="1">
        <v>1.37213259683311</v>
      </c>
    </row>
    <row r="247" spans="1:43" x14ac:dyDescent="0.45">
      <c r="A247" s="1">
        <v>246</v>
      </c>
      <c r="B247" s="1">
        <v>446</v>
      </c>
      <c r="C247" s="1">
        <v>97</v>
      </c>
      <c r="D247" s="1" t="s">
        <v>85</v>
      </c>
      <c r="E247" s="1" t="s">
        <v>86</v>
      </c>
      <c r="F247" s="1" t="s">
        <v>87</v>
      </c>
      <c r="G247" s="1" t="s">
        <v>46</v>
      </c>
      <c r="H247" s="1" t="s">
        <v>47</v>
      </c>
      <c r="I247" s="1">
        <v>1089</v>
      </c>
      <c r="J247" s="1">
        <v>26566</v>
      </c>
      <c r="K247" s="1">
        <v>1</v>
      </c>
      <c r="L247" s="1">
        <v>96</v>
      </c>
      <c r="M247" s="1">
        <v>1805</v>
      </c>
      <c r="N247" s="1" t="s">
        <v>48</v>
      </c>
      <c r="O247" s="1">
        <v>184873</v>
      </c>
      <c r="P247" s="1">
        <v>94</v>
      </c>
      <c r="Q247" s="1" t="s">
        <v>125</v>
      </c>
      <c r="R247" s="1" t="s">
        <v>50</v>
      </c>
      <c r="S247" s="1">
        <v>0</v>
      </c>
      <c r="T247" s="1">
        <v>0</v>
      </c>
      <c r="U247" s="1">
        <v>89.039000000000001</v>
      </c>
      <c r="V247" s="1">
        <v>24.5</v>
      </c>
      <c r="W247" s="1">
        <v>0.56999999999999995</v>
      </c>
      <c r="X247" s="1">
        <v>0.45400000000000001</v>
      </c>
      <c r="Y247" s="1">
        <v>24.954000000000001</v>
      </c>
      <c r="Z247" s="1">
        <v>4.3999999999999997E-2</v>
      </c>
      <c r="AA247" s="1">
        <v>-2.2999999999999998</v>
      </c>
      <c r="AB247" s="1">
        <v>-2.5</v>
      </c>
      <c r="AC247" s="1">
        <v>-2.5</v>
      </c>
      <c r="AD247" s="1">
        <v>0.45400000000000001</v>
      </c>
      <c r="AE247" s="1">
        <v>0.02</v>
      </c>
      <c r="AF247" s="1">
        <v>1.0999999999999999E-2</v>
      </c>
      <c r="AI247" s="1">
        <v>0</v>
      </c>
      <c r="AJ247" s="1">
        <v>0</v>
      </c>
      <c r="AK247" s="1">
        <v>0</v>
      </c>
      <c r="AL247" s="1">
        <v>1</v>
      </c>
      <c r="AM247" s="1">
        <v>86400</v>
      </c>
      <c r="AN247" s="1">
        <v>81053</v>
      </c>
      <c r="AO247" s="1">
        <v>5347</v>
      </c>
      <c r="AP247" s="1">
        <v>43538</v>
      </c>
      <c r="AQ247" s="1">
        <v>23.23517241928969</v>
      </c>
    </row>
    <row r="248" spans="1:43" x14ac:dyDescent="0.45">
      <c r="A248" s="1">
        <v>247</v>
      </c>
      <c r="B248" s="1">
        <v>446</v>
      </c>
      <c r="C248" s="1">
        <v>97</v>
      </c>
      <c r="D248" s="1" t="s">
        <v>85</v>
      </c>
      <c r="E248" s="1" t="s">
        <v>86</v>
      </c>
      <c r="F248" s="1" t="s">
        <v>87</v>
      </c>
      <c r="G248" s="1" t="s">
        <v>46</v>
      </c>
      <c r="H248" s="1" t="s">
        <v>47</v>
      </c>
      <c r="I248" s="1">
        <v>1089</v>
      </c>
      <c r="J248" s="1">
        <v>26566</v>
      </c>
      <c r="K248" s="1">
        <v>1</v>
      </c>
      <c r="L248" s="1">
        <v>96</v>
      </c>
      <c r="M248" s="1">
        <v>1806</v>
      </c>
      <c r="N248" s="1" t="s">
        <v>48</v>
      </c>
      <c r="O248" s="1">
        <v>184874</v>
      </c>
      <c r="P248" s="1">
        <v>94</v>
      </c>
      <c r="Q248" s="1" t="s">
        <v>125</v>
      </c>
      <c r="R248" s="1" t="s">
        <v>50</v>
      </c>
      <c r="S248" s="1">
        <v>0</v>
      </c>
      <c r="T248" s="1">
        <v>0</v>
      </c>
      <c r="U248" s="1">
        <v>429.66300000000001</v>
      </c>
      <c r="V248" s="1">
        <v>24.591999999999999</v>
      </c>
      <c r="W248" s="1">
        <v>0.56000000000000005</v>
      </c>
      <c r="X248" s="1">
        <v>0.36199999999999999</v>
      </c>
      <c r="Y248" s="1">
        <v>24.954000000000001</v>
      </c>
      <c r="Z248" s="1">
        <v>9.5000000000000001E-2</v>
      </c>
      <c r="AA248" s="1">
        <v>-2.6</v>
      </c>
      <c r="AB248" s="1">
        <v>-2.6</v>
      </c>
      <c r="AC248" s="1">
        <v>-2.6</v>
      </c>
      <c r="AD248" s="1">
        <v>0.36199999999999999</v>
      </c>
      <c r="AE248" s="1">
        <v>9.5000000000000001E-2</v>
      </c>
      <c r="AF248" s="1">
        <v>3.4000000000000002E-2</v>
      </c>
      <c r="AG248" s="1">
        <v>-2.6</v>
      </c>
      <c r="AI248" s="1">
        <v>0</v>
      </c>
      <c r="AJ248" s="1">
        <v>0</v>
      </c>
      <c r="AK248" s="1">
        <v>0</v>
      </c>
      <c r="AL248" s="1">
        <v>1</v>
      </c>
      <c r="AM248" s="1">
        <v>86400</v>
      </c>
      <c r="AN248" s="1">
        <v>79979</v>
      </c>
      <c r="AO248" s="1">
        <v>6421</v>
      </c>
      <c r="AP248" s="1">
        <v>43583</v>
      </c>
      <c r="AQ248" s="1">
        <v>36.228889069663921</v>
      </c>
    </row>
    <row r="249" spans="1:43" x14ac:dyDescent="0.45">
      <c r="A249" s="1">
        <v>248</v>
      </c>
      <c r="B249" s="1">
        <v>446</v>
      </c>
      <c r="C249" s="1">
        <v>97</v>
      </c>
      <c r="D249" s="1" t="s">
        <v>85</v>
      </c>
      <c r="E249" s="1" t="s">
        <v>86</v>
      </c>
      <c r="F249" s="1" t="s">
        <v>87</v>
      </c>
      <c r="G249" s="1" t="s">
        <v>46</v>
      </c>
      <c r="H249" s="1" t="s">
        <v>47</v>
      </c>
      <c r="I249" s="1">
        <v>1089</v>
      </c>
      <c r="J249" s="1">
        <v>26566</v>
      </c>
      <c r="K249" s="1">
        <v>1</v>
      </c>
      <c r="L249" s="1">
        <v>96</v>
      </c>
      <c r="M249" s="1">
        <v>1807</v>
      </c>
      <c r="N249" s="1" t="s">
        <v>48</v>
      </c>
      <c r="O249" s="1">
        <v>184875</v>
      </c>
      <c r="P249" s="1">
        <v>94</v>
      </c>
      <c r="Q249" s="1" t="s">
        <v>125</v>
      </c>
      <c r="R249" s="1" t="s">
        <v>50</v>
      </c>
      <c r="S249" s="1">
        <v>0</v>
      </c>
      <c r="T249" s="1">
        <v>0</v>
      </c>
      <c r="U249" s="1">
        <v>213.364</v>
      </c>
      <c r="V249" s="1">
        <v>24.367999999999999</v>
      </c>
      <c r="W249" s="1">
        <v>0.59</v>
      </c>
      <c r="X249" s="1">
        <v>0.58699999999999997</v>
      </c>
      <c r="Y249" s="1">
        <v>24.954000000000001</v>
      </c>
      <c r="Z249" s="1">
        <v>5.5E-2</v>
      </c>
      <c r="AA249" s="1">
        <v>-0.8</v>
      </c>
      <c r="AB249" s="1">
        <v>2.8</v>
      </c>
      <c r="AC249" s="1">
        <v>2.8</v>
      </c>
      <c r="AD249" s="1">
        <v>0.58699999999999997</v>
      </c>
      <c r="AE249" s="1">
        <v>4.5999999999999999E-2</v>
      </c>
      <c r="AF249" s="1">
        <v>2.7E-2</v>
      </c>
      <c r="AG249" s="1">
        <v>-0.8</v>
      </c>
      <c r="AI249" s="1">
        <v>0</v>
      </c>
      <c r="AJ249" s="1">
        <v>0</v>
      </c>
      <c r="AK249" s="1">
        <v>0</v>
      </c>
      <c r="AL249" s="1">
        <v>1</v>
      </c>
      <c r="AM249" s="1">
        <v>86400</v>
      </c>
      <c r="AN249" s="1">
        <v>81921</v>
      </c>
      <c r="AO249" s="1">
        <v>4479</v>
      </c>
      <c r="AP249" s="1">
        <v>46839</v>
      </c>
      <c r="AQ249" s="1">
        <v>2.3289428131713419</v>
      </c>
    </row>
    <row r="250" spans="1:43" x14ac:dyDescent="0.45">
      <c r="A250" s="1">
        <v>249</v>
      </c>
      <c r="B250" s="1">
        <v>446</v>
      </c>
      <c r="C250" s="1">
        <v>97</v>
      </c>
      <c r="D250" s="1" t="s">
        <v>85</v>
      </c>
      <c r="E250" s="1" t="s">
        <v>86</v>
      </c>
      <c r="F250" s="1" t="s">
        <v>87</v>
      </c>
      <c r="G250" s="1" t="s">
        <v>46</v>
      </c>
      <c r="H250" s="1" t="s">
        <v>47</v>
      </c>
      <c r="I250" s="1">
        <v>1089</v>
      </c>
      <c r="J250" s="1">
        <v>26566</v>
      </c>
      <c r="K250" s="1">
        <v>1</v>
      </c>
      <c r="L250" s="1">
        <v>96</v>
      </c>
      <c r="M250" s="1">
        <v>1808</v>
      </c>
      <c r="N250" s="1" t="s">
        <v>48</v>
      </c>
      <c r="O250" s="1">
        <v>184876</v>
      </c>
      <c r="P250" s="1">
        <v>94</v>
      </c>
      <c r="Q250" s="1" t="s">
        <v>125</v>
      </c>
      <c r="R250" s="1" t="s">
        <v>50</v>
      </c>
      <c r="S250" s="1">
        <v>0</v>
      </c>
      <c r="T250" s="1">
        <v>0</v>
      </c>
      <c r="U250" s="1">
        <v>217.46</v>
      </c>
      <c r="V250" s="1">
        <v>24.515000000000001</v>
      </c>
      <c r="W250" s="1">
        <v>0.56999999999999995</v>
      </c>
      <c r="X250" s="1">
        <v>0.439</v>
      </c>
      <c r="Y250" s="1">
        <v>24.954000000000001</v>
      </c>
      <c r="Z250" s="1">
        <v>5.3999999999999999E-2</v>
      </c>
      <c r="AA250" s="1">
        <v>0.4</v>
      </c>
      <c r="AB250" s="1">
        <v>1.2</v>
      </c>
      <c r="AC250" s="1">
        <v>1.2</v>
      </c>
      <c r="AD250" s="1">
        <v>0.439</v>
      </c>
      <c r="AE250" s="1">
        <v>3.5999999999999997E-2</v>
      </c>
      <c r="AF250" s="1">
        <v>1.7999999999999999E-2</v>
      </c>
      <c r="AG250" s="1">
        <v>0.4</v>
      </c>
      <c r="AI250" s="1">
        <v>0</v>
      </c>
      <c r="AJ250" s="1">
        <v>0</v>
      </c>
      <c r="AK250" s="1">
        <v>0</v>
      </c>
      <c r="AL250" s="1">
        <v>1</v>
      </c>
      <c r="AM250" s="1">
        <v>86400</v>
      </c>
      <c r="AN250" s="1">
        <v>80879</v>
      </c>
      <c r="AO250" s="1">
        <v>5521</v>
      </c>
      <c r="AP250" s="1">
        <v>46905</v>
      </c>
      <c r="AQ250" s="1">
        <v>19.045530927795099</v>
      </c>
    </row>
    <row r="251" spans="1:43" x14ac:dyDescent="0.45">
      <c r="A251" s="1">
        <v>250</v>
      </c>
      <c r="B251" s="1">
        <v>446</v>
      </c>
      <c r="C251" s="1">
        <v>97</v>
      </c>
      <c r="D251" s="1" t="s">
        <v>85</v>
      </c>
      <c r="E251" s="1" t="s">
        <v>86</v>
      </c>
      <c r="F251" s="1" t="s">
        <v>87</v>
      </c>
      <c r="G251" s="1" t="s">
        <v>46</v>
      </c>
      <c r="H251" s="1" t="s">
        <v>47</v>
      </c>
      <c r="I251" s="1">
        <v>1089</v>
      </c>
      <c r="J251" s="1">
        <v>26566</v>
      </c>
      <c r="K251" s="1">
        <v>1</v>
      </c>
      <c r="L251" s="1">
        <v>96</v>
      </c>
      <c r="M251" s="1">
        <v>1812</v>
      </c>
      <c r="N251" s="1" t="s">
        <v>48</v>
      </c>
      <c r="O251" s="1">
        <v>184955</v>
      </c>
      <c r="P251" s="1">
        <v>94</v>
      </c>
      <c r="Q251" s="1" t="s">
        <v>125</v>
      </c>
      <c r="R251" s="1" t="s">
        <v>50</v>
      </c>
      <c r="S251" s="1">
        <v>0</v>
      </c>
      <c r="T251" s="1">
        <v>0</v>
      </c>
      <c r="U251" s="1">
        <v>142.041</v>
      </c>
      <c r="V251" s="1">
        <v>25.390999999999998</v>
      </c>
      <c r="W251" s="1">
        <v>0.52</v>
      </c>
      <c r="X251" s="1">
        <v>0.126</v>
      </c>
      <c r="Y251" s="1">
        <v>25.518000000000001</v>
      </c>
      <c r="Z251" s="1">
        <v>0.28000000000000003</v>
      </c>
      <c r="AA251" s="1">
        <v>-1.6</v>
      </c>
      <c r="AB251" s="1">
        <v>-1.6</v>
      </c>
      <c r="AC251" s="1">
        <v>-1.6</v>
      </c>
      <c r="AD251" s="1">
        <v>0.126</v>
      </c>
      <c r="AE251" s="1">
        <v>0.27900000000000003</v>
      </c>
      <c r="AF251" s="1">
        <v>3.5000000000000003E-2</v>
      </c>
      <c r="AG251" s="1">
        <v>-1.6</v>
      </c>
      <c r="AI251" s="1">
        <v>0</v>
      </c>
      <c r="AJ251" s="1">
        <v>0</v>
      </c>
      <c r="AK251" s="1">
        <v>0</v>
      </c>
      <c r="AL251" s="1">
        <v>1</v>
      </c>
      <c r="AM251" s="1">
        <v>86400</v>
      </c>
      <c r="AN251" s="1">
        <v>81651</v>
      </c>
      <c r="AO251" s="1">
        <v>4749</v>
      </c>
      <c r="AP251" s="1">
        <v>47100</v>
      </c>
      <c r="AQ251" s="1">
        <v>19.92750351117078</v>
      </c>
    </row>
    <row r="252" spans="1:43" x14ac:dyDescent="0.45">
      <c r="A252" s="1">
        <v>251</v>
      </c>
      <c r="B252" s="1">
        <v>450</v>
      </c>
      <c r="C252" s="1">
        <v>97</v>
      </c>
      <c r="D252" s="1" t="s">
        <v>85</v>
      </c>
      <c r="E252" s="1" t="s">
        <v>86</v>
      </c>
      <c r="F252" s="1" t="s">
        <v>87</v>
      </c>
      <c r="G252" s="1" t="s">
        <v>46</v>
      </c>
      <c r="H252" s="1" t="s">
        <v>47</v>
      </c>
      <c r="I252" s="1">
        <v>1089</v>
      </c>
      <c r="J252" s="1">
        <v>26566</v>
      </c>
      <c r="K252" s="1">
        <v>1</v>
      </c>
      <c r="L252" s="1">
        <v>96</v>
      </c>
      <c r="M252" s="1">
        <v>1809</v>
      </c>
      <c r="N252" s="1" t="s">
        <v>48</v>
      </c>
      <c r="O252" s="1">
        <v>184881</v>
      </c>
      <c r="P252" s="1">
        <v>94</v>
      </c>
      <c r="Q252" s="1" t="s">
        <v>125</v>
      </c>
      <c r="R252" s="1" t="s">
        <v>50</v>
      </c>
      <c r="S252" s="1">
        <v>0</v>
      </c>
      <c r="T252" s="1">
        <v>0</v>
      </c>
      <c r="U252" s="1">
        <v>126.512</v>
      </c>
      <c r="V252" s="1">
        <v>25.347999999999999</v>
      </c>
      <c r="W252" s="1">
        <v>0.54</v>
      </c>
      <c r="X252" s="1">
        <v>0.193</v>
      </c>
      <c r="Y252" s="1">
        <v>25.541</v>
      </c>
      <c r="Z252" s="1">
        <v>0.76200000000000001</v>
      </c>
      <c r="AA252" s="1">
        <v>0.1</v>
      </c>
      <c r="AB252" s="1">
        <v>0.1</v>
      </c>
      <c r="AC252" s="1">
        <v>0.1</v>
      </c>
      <c r="AD252" s="1">
        <v>0.193</v>
      </c>
      <c r="AE252" s="1">
        <v>0.76200000000000001</v>
      </c>
      <c r="AF252" s="1">
        <v>0.14699999999999999</v>
      </c>
      <c r="AG252" s="1">
        <v>0.1</v>
      </c>
      <c r="AI252" s="1">
        <v>0</v>
      </c>
      <c r="AJ252" s="1">
        <v>0</v>
      </c>
      <c r="AK252" s="1">
        <v>0</v>
      </c>
      <c r="AL252" s="1">
        <v>1</v>
      </c>
      <c r="AM252" s="1">
        <v>67330</v>
      </c>
      <c r="AN252" s="1">
        <v>22779</v>
      </c>
      <c r="AO252" s="1">
        <v>44528</v>
      </c>
      <c r="AP252" s="1">
        <v>50241</v>
      </c>
      <c r="AQ252" s="1">
        <v>21.192493647705771</v>
      </c>
    </row>
    <row r="253" spans="1:43" x14ac:dyDescent="0.45">
      <c r="A253" s="1">
        <v>252</v>
      </c>
      <c r="B253" s="1">
        <v>450</v>
      </c>
      <c r="C253" s="1">
        <v>97</v>
      </c>
      <c r="D253" s="1" t="s">
        <v>85</v>
      </c>
      <c r="E253" s="1" t="s">
        <v>86</v>
      </c>
      <c r="F253" s="1" t="s">
        <v>87</v>
      </c>
      <c r="G253" s="1" t="s">
        <v>46</v>
      </c>
      <c r="H253" s="1" t="s">
        <v>47</v>
      </c>
      <c r="I253" s="1">
        <v>1089</v>
      </c>
      <c r="J253" s="1">
        <v>26566</v>
      </c>
      <c r="K253" s="1">
        <v>1</v>
      </c>
      <c r="L253" s="1">
        <v>96</v>
      </c>
      <c r="M253" s="1">
        <v>1810</v>
      </c>
      <c r="N253" s="1" t="s">
        <v>48</v>
      </c>
      <c r="O253" s="1">
        <v>184884</v>
      </c>
      <c r="P253" s="1">
        <v>94</v>
      </c>
      <c r="Q253" s="1" t="s">
        <v>125</v>
      </c>
      <c r="R253" s="1" t="s">
        <v>50</v>
      </c>
      <c r="S253" s="1">
        <v>0</v>
      </c>
      <c r="T253" s="1">
        <v>0</v>
      </c>
      <c r="U253" s="1">
        <v>98.066999999999993</v>
      </c>
      <c r="V253" s="1">
        <v>25.141999999999999</v>
      </c>
      <c r="W253" s="1">
        <v>0.54</v>
      </c>
      <c r="X253" s="1">
        <v>0.125</v>
      </c>
      <c r="Y253" s="1">
        <v>25.266999999999999</v>
      </c>
      <c r="Z253" s="1">
        <v>1.673</v>
      </c>
      <c r="AA253" s="1">
        <v>0.4</v>
      </c>
      <c r="AB253" s="1">
        <v>0.4</v>
      </c>
      <c r="AC253" s="1">
        <v>0.4</v>
      </c>
      <c r="AD253" s="1">
        <v>0.125</v>
      </c>
      <c r="AE253" s="1">
        <v>1.6719999999999999</v>
      </c>
      <c r="AF253" s="1">
        <v>0.20899999999999999</v>
      </c>
      <c r="AG253" s="1">
        <v>0.4</v>
      </c>
      <c r="AI253" s="1">
        <v>0</v>
      </c>
      <c r="AJ253" s="1">
        <v>0</v>
      </c>
      <c r="AK253" s="1">
        <v>0</v>
      </c>
      <c r="AL253" s="1">
        <v>1</v>
      </c>
      <c r="AM253" s="1">
        <v>67248</v>
      </c>
      <c r="AN253" s="1">
        <v>22668</v>
      </c>
      <c r="AO253" s="1">
        <v>44568</v>
      </c>
      <c r="AP253" s="1">
        <v>49939</v>
      </c>
      <c r="AQ253" s="1">
        <v>1.302270255329955</v>
      </c>
    </row>
    <row r="254" spans="1:43" x14ac:dyDescent="0.45">
      <c r="A254" s="1">
        <v>253</v>
      </c>
      <c r="B254" s="1">
        <v>454</v>
      </c>
      <c r="C254" s="1">
        <v>23</v>
      </c>
      <c r="D254" s="1" t="s">
        <v>88</v>
      </c>
      <c r="E254" s="1" t="s">
        <v>89</v>
      </c>
      <c r="F254" s="1" t="s">
        <v>90</v>
      </c>
      <c r="G254" s="1" t="s">
        <v>91</v>
      </c>
      <c r="H254" s="1" t="s">
        <v>47</v>
      </c>
      <c r="I254" s="1">
        <v>330</v>
      </c>
      <c r="J254" s="1">
        <v>5916</v>
      </c>
      <c r="K254" s="1">
        <v>1</v>
      </c>
      <c r="L254" s="1">
        <v>22</v>
      </c>
      <c r="M254" s="1">
        <v>1770</v>
      </c>
      <c r="N254" s="1" t="s">
        <v>48</v>
      </c>
      <c r="O254" s="1">
        <v>175496</v>
      </c>
      <c r="P254" s="1">
        <v>94</v>
      </c>
      <c r="Q254" s="1" t="s">
        <v>125</v>
      </c>
      <c r="R254" s="1" t="s">
        <v>50</v>
      </c>
      <c r="S254" s="1">
        <v>0</v>
      </c>
      <c r="T254" s="1">
        <v>0</v>
      </c>
      <c r="U254" s="1">
        <v>338.95299999999997</v>
      </c>
      <c r="V254" s="1">
        <v>24.632999999999999</v>
      </c>
      <c r="W254" s="1">
        <v>0.52</v>
      </c>
      <c r="X254" s="1">
        <v>0.11799999999999999</v>
      </c>
      <c r="Y254" s="1">
        <v>24.751000000000001</v>
      </c>
      <c r="Z254" s="1">
        <v>8.2000000000000003E-2</v>
      </c>
      <c r="AA254" s="1">
        <v>2.1</v>
      </c>
      <c r="AB254" s="1">
        <v>2.1</v>
      </c>
      <c r="AC254" s="1">
        <v>2.1</v>
      </c>
      <c r="AD254" s="1">
        <v>0.11799999999999999</v>
      </c>
      <c r="AE254" s="1">
        <v>8.2000000000000003E-2</v>
      </c>
      <c r="AF254" s="1">
        <v>0.01</v>
      </c>
      <c r="AG254" s="1">
        <v>2.1</v>
      </c>
      <c r="AI254" s="1">
        <v>0</v>
      </c>
      <c r="AJ254" s="1">
        <v>0</v>
      </c>
      <c r="AK254" s="1">
        <v>0</v>
      </c>
      <c r="AL254" s="1">
        <v>1</v>
      </c>
      <c r="AM254" s="1">
        <v>86400</v>
      </c>
      <c r="AN254" s="1">
        <v>79121</v>
      </c>
      <c r="AO254" s="1">
        <v>7279</v>
      </c>
      <c r="AP254" s="1">
        <v>43433</v>
      </c>
      <c r="AQ254" s="1">
        <v>2.5436351825059029</v>
      </c>
    </row>
    <row r="255" spans="1:43" x14ac:dyDescent="0.45">
      <c r="A255" s="1">
        <v>254</v>
      </c>
      <c r="B255" s="1">
        <v>454</v>
      </c>
      <c r="C255" s="1">
        <v>23</v>
      </c>
      <c r="D255" s="1" t="s">
        <v>88</v>
      </c>
      <c r="E255" s="1" t="s">
        <v>89</v>
      </c>
      <c r="F255" s="1" t="s">
        <v>90</v>
      </c>
      <c r="G255" s="1" t="s">
        <v>91</v>
      </c>
      <c r="H255" s="1" t="s">
        <v>47</v>
      </c>
      <c r="I255" s="1">
        <v>330</v>
      </c>
      <c r="J255" s="1">
        <v>5916</v>
      </c>
      <c r="K255" s="1">
        <v>1</v>
      </c>
      <c r="L255" s="1">
        <v>22</v>
      </c>
      <c r="M255" s="1">
        <v>1771</v>
      </c>
      <c r="N255" s="1" t="s">
        <v>48</v>
      </c>
      <c r="O255" s="1">
        <v>175913</v>
      </c>
      <c r="P255" s="1">
        <v>94</v>
      </c>
      <c r="Q255" s="1" t="s">
        <v>125</v>
      </c>
      <c r="R255" s="1" t="s">
        <v>50</v>
      </c>
      <c r="S255" s="1">
        <v>0</v>
      </c>
      <c r="T255" s="1">
        <v>0</v>
      </c>
      <c r="U255" s="1">
        <v>73.203000000000003</v>
      </c>
      <c r="V255" s="1">
        <v>25.163</v>
      </c>
      <c r="W255" s="1">
        <v>0.55000000000000004</v>
      </c>
      <c r="X255" s="1">
        <v>0.34</v>
      </c>
      <c r="Y255" s="1">
        <v>25.503</v>
      </c>
      <c r="Z255" s="1">
        <v>6.2E-2</v>
      </c>
      <c r="AA255" s="1">
        <v>-1.4</v>
      </c>
      <c r="AB255" s="1">
        <v>-1.4</v>
      </c>
      <c r="AC255" s="1">
        <v>-1.4</v>
      </c>
      <c r="AD255" s="1">
        <v>0.34</v>
      </c>
      <c r="AE255" s="1">
        <v>6.2E-2</v>
      </c>
      <c r="AF255" s="1">
        <v>2.1000000000000001E-2</v>
      </c>
      <c r="AG255" s="1">
        <v>-1.4</v>
      </c>
      <c r="AI255" s="1">
        <v>0</v>
      </c>
      <c r="AJ255" s="1">
        <v>0</v>
      </c>
      <c r="AK255" s="1">
        <v>0</v>
      </c>
      <c r="AL255" s="1">
        <v>1</v>
      </c>
      <c r="AM255" s="1">
        <v>86400</v>
      </c>
      <c r="AN255" s="1">
        <v>81018</v>
      </c>
      <c r="AO255" s="1">
        <v>5382</v>
      </c>
      <c r="AP255" s="1">
        <v>47058</v>
      </c>
      <c r="AQ255" s="1">
        <v>12.51607896382912</v>
      </c>
    </row>
    <row r="256" spans="1:43" x14ac:dyDescent="0.45">
      <c r="A256" s="1">
        <v>255</v>
      </c>
      <c r="B256" s="1">
        <v>454</v>
      </c>
      <c r="C256" s="1">
        <v>23</v>
      </c>
      <c r="D256" s="1" t="s">
        <v>88</v>
      </c>
      <c r="E256" s="1" t="s">
        <v>89</v>
      </c>
      <c r="F256" s="1" t="s">
        <v>90</v>
      </c>
      <c r="G256" s="1" t="s">
        <v>91</v>
      </c>
      <c r="H256" s="1" t="s">
        <v>47</v>
      </c>
      <c r="I256" s="1">
        <v>330</v>
      </c>
      <c r="J256" s="1">
        <v>5916</v>
      </c>
      <c r="K256" s="1">
        <v>1</v>
      </c>
      <c r="L256" s="1">
        <v>22</v>
      </c>
      <c r="M256" s="1">
        <v>1772</v>
      </c>
      <c r="N256" s="1" t="s">
        <v>48</v>
      </c>
      <c r="O256" s="1">
        <v>175914</v>
      </c>
      <c r="P256" s="1">
        <v>94</v>
      </c>
      <c r="Q256" s="1" t="s">
        <v>125</v>
      </c>
      <c r="R256" s="1" t="s">
        <v>50</v>
      </c>
      <c r="S256" s="1">
        <v>0</v>
      </c>
      <c r="T256" s="1">
        <v>0</v>
      </c>
      <c r="U256" s="1">
        <v>92.867000000000004</v>
      </c>
      <c r="V256" s="1">
        <v>25.131</v>
      </c>
      <c r="W256" s="1">
        <v>0.56000000000000005</v>
      </c>
      <c r="X256" s="1">
        <v>0.373</v>
      </c>
      <c r="Y256" s="1">
        <v>25.504000000000001</v>
      </c>
      <c r="Z256" s="1">
        <v>6.8000000000000005E-2</v>
      </c>
      <c r="AA256" s="1">
        <v>0.9</v>
      </c>
      <c r="AB256" s="1">
        <v>0.9</v>
      </c>
      <c r="AC256" s="1">
        <v>0.9</v>
      </c>
      <c r="AD256" s="1">
        <v>0.373</v>
      </c>
      <c r="AE256" s="1">
        <v>6.8000000000000005E-2</v>
      </c>
      <c r="AF256" s="1">
        <v>2.5000000000000001E-2</v>
      </c>
      <c r="AG256" s="1">
        <v>0.9</v>
      </c>
      <c r="AI256" s="1">
        <v>0</v>
      </c>
      <c r="AJ256" s="1">
        <v>0</v>
      </c>
      <c r="AK256" s="1">
        <v>0</v>
      </c>
      <c r="AL256" s="1">
        <v>1</v>
      </c>
      <c r="AM256" s="1">
        <v>86400</v>
      </c>
      <c r="AN256" s="1">
        <v>81733</v>
      </c>
      <c r="AO256" s="1">
        <v>4667</v>
      </c>
      <c r="AP256" s="1">
        <v>46869</v>
      </c>
      <c r="AQ256" s="1">
        <v>3.3747962790819219</v>
      </c>
    </row>
    <row r="257" spans="1:43" x14ac:dyDescent="0.45">
      <c r="A257" s="1">
        <v>256</v>
      </c>
      <c r="B257" s="1">
        <v>470</v>
      </c>
      <c r="C257" s="1">
        <v>97</v>
      </c>
      <c r="D257" s="1" t="s">
        <v>85</v>
      </c>
      <c r="E257" s="1" t="s">
        <v>86</v>
      </c>
      <c r="F257" s="1" t="s">
        <v>87</v>
      </c>
      <c r="G257" s="1" t="s">
        <v>46</v>
      </c>
      <c r="H257" s="1" t="s">
        <v>47</v>
      </c>
      <c r="I257" s="1">
        <v>1089</v>
      </c>
      <c r="J257" s="1">
        <v>26566</v>
      </c>
      <c r="K257" s="1">
        <v>1</v>
      </c>
      <c r="L257" s="1">
        <v>96</v>
      </c>
      <c r="M257" s="1">
        <v>1664</v>
      </c>
      <c r="N257" s="1" t="s">
        <v>48</v>
      </c>
      <c r="O257" s="1">
        <v>132942</v>
      </c>
      <c r="P257" s="1">
        <v>94</v>
      </c>
      <c r="Q257" s="1" t="s">
        <v>125</v>
      </c>
      <c r="R257" s="1" t="s">
        <v>50</v>
      </c>
      <c r="S257" s="1">
        <v>0</v>
      </c>
      <c r="T257" s="1">
        <v>0</v>
      </c>
      <c r="U257" s="1">
        <v>88.98</v>
      </c>
      <c r="V257" s="1">
        <v>25.22</v>
      </c>
      <c r="W257" s="1">
        <v>0.53</v>
      </c>
      <c r="X257" s="1">
        <v>0.16200000000000001</v>
      </c>
      <c r="Y257" s="1">
        <v>25.382000000000001</v>
      </c>
      <c r="Z257" s="1">
        <v>0.26700000000000002</v>
      </c>
      <c r="AA257" s="1">
        <v>-0.6</v>
      </c>
      <c r="AB257" s="1">
        <v>-0.6</v>
      </c>
      <c r="AC257" s="1">
        <v>-0.6</v>
      </c>
      <c r="AD257" s="1">
        <v>0.16200000000000001</v>
      </c>
      <c r="AE257" s="1">
        <v>0.26600000000000001</v>
      </c>
      <c r="AF257" s="1">
        <v>4.2999999999999997E-2</v>
      </c>
      <c r="AG257" s="1">
        <v>-0.6</v>
      </c>
      <c r="AI257" s="1">
        <v>0</v>
      </c>
      <c r="AJ257" s="1">
        <v>0</v>
      </c>
      <c r="AK257" s="1">
        <v>0</v>
      </c>
      <c r="AL257" s="1">
        <v>1</v>
      </c>
      <c r="AM257" s="1">
        <v>86400</v>
      </c>
      <c r="AN257" s="1">
        <v>81748</v>
      </c>
      <c r="AO257" s="1">
        <v>4652</v>
      </c>
      <c r="AP257" s="1">
        <v>43411</v>
      </c>
      <c r="AQ257" s="1">
        <v>13.500253100054801</v>
      </c>
    </row>
    <row r="258" spans="1:43" x14ac:dyDescent="0.45">
      <c r="A258" s="1">
        <v>257</v>
      </c>
      <c r="B258" s="1">
        <v>477</v>
      </c>
      <c r="C258" s="1">
        <v>68</v>
      </c>
      <c r="D258" s="1" t="s">
        <v>107</v>
      </c>
      <c r="E258" s="1" t="s">
        <v>108</v>
      </c>
      <c r="F258" s="1" t="s">
        <v>109</v>
      </c>
      <c r="G258" s="1" t="s">
        <v>46</v>
      </c>
      <c r="H258" s="1" t="s">
        <v>47</v>
      </c>
      <c r="I258" s="1">
        <v>2102</v>
      </c>
      <c r="J258" s="1">
        <v>100258</v>
      </c>
      <c r="K258" s="1">
        <v>1</v>
      </c>
      <c r="L258" s="1">
        <v>67</v>
      </c>
      <c r="M258" s="1">
        <v>1663</v>
      </c>
      <c r="N258" s="1" t="s">
        <v>48</v>
      </c>
      <c r="O258" s="1">
        <v>131335</v>
      </c>
      <c r="P258" s="1">
        <v>94</v>
      </c>
      <c r="Q258" s="1" t="s">
        <v>125</v>
      </c>
      <c r="R258" s="1" t="s">
        <v>50</v>
      </c>
      <c r="S258" s="1">
        <v>0</v>
      </c>
      <c r="T258" s="1">
        <v>0</v>
      </c>
      <c r="U258" s="1">
        <v>322.94299999999998</v>
      </c>
      <c r="V258" s="1">
        <v>50</v>
      </c>
      <c r="W258" s="1">
        <v>0.52</v>
      </c>
      <c r="X258" s="1">
        <v>0.156</v>
      </c>
      <c r="Y258" s="1">
        <v>50.155999999999999</v>
      </c>
      <c r="Z258" s="1">
        <v>0.17299999999999999</v>
      </c>
      <c r="AA258" s="1">
        <v>2.1</v>
      </c>
      <c r="AB258" s="1">
        <v>2.2000000000000002</v>
      </c>
      <c r="AC258" s="1">
        <v>2.2000000000000002</v>
      </c>
      <c r="AD258" s="1">
        <v>0.156</v>
      </c>
      <c r="AE258" s="1">
        <v>3.9E-2</v>
      </c>
      <c r="AF258" s="1">
        <v>6.0000000000000001E-3</v>
      </c>
      <c r="AI258" s="1">
        <v>0</v>
      </c>
      <c r="AJ258" s="1">
        <v>0</v>
      </c>
      <c r="AK258" s="1">
        <v>0</v>
      </c>
      <c r="AL258" s="1">
        <v>1</v>
      </c>
      <c r="AM258" s="1">
        <v>70259</v>
      </c>
      <c r="AN258" s="1">
        <v>24727</v>
      </c>
      <c r="AO258" s="1">
        <v>45532</v>
      </c>
      <c r="AP258" s="1">
        <v>50358</v>
      </c>
      <c r="AQ258" s="1">
        <v>29.48440096530631</v>
      </c>
    </row>
    <row r="259" spans="1:43" x14ac:dyDescent="0.45">
      <c r="A259" s="1">
        <v>258</v>
      </c>
      <c r="B259" s="1">
        <v>494</v>
      </c>
      <c r="C259" s="1">
        <v>67</v>
      </c>
      <c r="D259" s="1" t="s">
        <v>92</v>
      </c>
      <c r="E259" s="1" t="s">
        <v>93</v>
      </c>
      <c r="F259" s="1" t="s">
        <v>94</v>
      </c>
      <c r="G259" s="1" t="s">
        <v>46</v>
      </c>
      <c r="H259" s="1" t="s">
        <v>47</v>
      </c>
      <c r="I259" s="1">
        <v>1579</v>
      </c>
      <c r="J259" s="1">
        <v>67764</v>
      </c>
      <c r="K259" s="1">
        <v>1</v>
      </c>
      <c r="L259" s="1">
        <v>66</v>
      </c>
      <c r="M259" s="1">
        <v>1659</v>
      </c>
      <c r="N259" s="1" t="s">
        <v>48</v>
      </c>
      <c r="O259" s="1">
        <v>131020</v>
      </c>
      <c r="P259" s="1">
        <v>94</v>
      </c>
      <c r="Q259" s="1" t="s">
        <v>125</v>
      </c>
      <c r="R259" s="1" t="s">
        <v>50</v>
      </c>
      <c r="S259" s="1">
        <v>0</v>
      </c>
      <c r="T259" s="1">
        <v>0</v>
      </c>
      <c r="U259" s="1">
        <v>94.191999999999993</v>
      </c>
      <c r="V259" s="1">
        <v>25.324000000000002</v>
      </c>
      <c r="W259" s="1">
        <v>1.1399999999999999</v>
      </c>
      <c r="X259" s="1">
        <v>0.89300000000000002</v>
      </c>
      <c r="Y259" s="1">
        <v>26.216000000000001</v>
      </c>
      <c r="Z259" s="1">
        <v>8.8999999999999996E-2</v>
      </c>
      <c r="AA259" s="1">
        <v>0.9</v>
      </c>
      <c r="AB259" s="1">
        <v>0.9</v>
      </c>
      <c r="AC259" s="1">
        <v>0.9</v>
      </c>
      <c r="AD259" s="1">
        <v>0.89300000000000002</v>
      </c>
      <c r="AE259" s="1">
        <v>8.8999999999999996E-2</v>
      </c>
      <c r="AF259" s="1">
        <v>7.9000000000000001E-2</v>
      </c>
      <c r="AG259" s="1">
        <v>0.9</v>
      </c>
      <c r="AI259" s="1">
        <v>0</v>
      </c>
      <c r="AJ259" s="1">
        <v>0</v>
      </c>
      <c r="AK259" s="1">
        <v>0</v>
      </c>
      <c r="AL259" s="1">
        <v>1</v>
      </c>
      <c r="AM259" s="1">
        <v>86400</v>
      </c>
      <c r="AN259" s="1">
        <v>81681</v>
      </c>
      <c r="AO259" s="1">
        <v>4719</v>
      </c>
      <c r="AP259" s="1">
        <v>46850</v>
      </c>
      <c r="AQ259" s="1">
        <v>22.945877289242109</v>
      </c>
    </row>
    <row r="260" spans="1:43" x14ac:dyDescent="0.45">
      <c r="A260" s="1">
        <v>259</v>
      </c>
      <c r="B260" s="1">
        <v>494</v>
      </c>
      <c r="C260" s="1">
        <v>67</v>
      </c>
      <c r="D260" s="1" t="s">
        <v>92</v>
      </c>
      <c r="E260" s="1" t="s">
        <v>93</v>
      </c>
      <c r="F260" s="1" t="s">
        <v>94</v>
      </c>
      <c r="G260" s="1" t="s">
        <v>46</v>
      </c>
      <c r="H260" s="1" t="s">
        <v>47</v>
      </c>
      <c r="I260" s="1">
        <v>1579</v>
      </c>
      <c r="J260" s="1">
        <v>67764</v>
      </c>
      <c r="K260" s="1">
        <v>1</v>
      </c>
      <c r="L260" s="1">
        <v>66</v>
      </c>
      <c r="M260" s="1">
        <v>1660</v>
      </c>
      <c r="N260" s="1" t="s">
        <v>48</v>
      </c>
      <c r="O260" s="1">
        <v>131021</v>
      </c>
      <c r="P260" s="1">
        <v>94</v>
      </c>
      <c r="Q260" s="1" t="s">
        <v>125</v>
      </c>
      <c r="R260" s="1" t="s">
        <v>50</v>
      </c>
      <c r="S260" s="1">
        <v>0</v>
      </c>
      <c r="T260" s="1">
        <v>0</v>
      </c>
      <c r="U260" s="1">
        <v>89.78</v>
      </c>
      <c r="V260" s="1">
        <v>25.841999999999999</v>
      </c>
      <c r="W260" s="1">
        <v>0.56000000000000005</v>
      </c>
      <c r="X260" s="1">
        <v>0.375</v>
      </c>
      <c r="Y260" s="1">
        <v>26.216999999999999</v>
      </c>
      <c r="Z260" s="1">
        <v>5.5E-2</v>
      </c>
      <c r="AA260" s="1">
        <v>-2.8</v>
      </c>
      <c r="AB260" s="1">
        <v>-3</v>
      </c>
      <c r="AC260" s="1">
        <v>-3</v>
      </c>
      <c r="AD260" s="1">
        <v>0.375</v>
      </c>
      <c r="AE260" s="1">
        <v>4.5999999999999999E-2</v>
      </c>
      <c r="AF260" s="1">
        <v>0.02</v>
      </c>
      <c r="AG260" s="1">
        <v>-2.8</v>
      </c>
      <c r="AI260" s="1">
        <v>0</v>
      </c>
      <c r="AJ260" s="1">
        <v>0</v>
      </c>
      <c r="AK260" s="1">
        <v>0</v>
      </c>
      <c r="AL260" s="1">
        <v>1</v>
      </c>
      <c r="AM260" s="1">
        <v>86400</v>
      </c>
      <c r="AN260" s="1">
        <v>75273</v>
      </c>
      <c r="AO260" s="1">
        <v>11127</v>
      </c>
      <c r="AP260" s="1">
        <v>45585</v>
      </c>
      <c r="AQ260" s="1">
        <v>6.4043930915015341</v>
      </c>
    </row>
    <row r="261" spans="1:43" x14ac:dyDescent="0.45">
      <c r="A261" s="1">
        <v>260</v>
      </c>
      <c r="B261" s="1">
        <v>494</v>
      </c>
      <c r="C261" s="1">
        <v>67</v>
      </c>
      <c r="D261" s="1" t="s">
        <v>92</v>
      </c>
      <c r="E261" s="1" t="s">
        <v>93</v>
      </c>
      <c r="F261" s="1" t="s">
        <v>94</v>
      </c>
      <c r="G261" s="1" t="s">
        <v>46</v>
      </c>
      <c r="H261" s="1" t="s">
        <v>47</v>
      </c>
      <c r="I261" s="1">
        <v>1579</v>
      </c>
      <c r="J261" s="1">
        <v>67764</v>
      </c>
      <c r="K261" s="1">
        <v>1</v>
      </c>
      <c r="L261" s="1">
        <v>66</v>
      </c>
      <c r="M261" s="1">
        <v>1661</v>
      </c>
      <c r="N261" s="1" t="s">
        <v>48</v>
      </c>
      <c r="O261" s="1">
        <v>131025</v>
      </c>
      <c r="P261" s="1">
        <v>94</v>
      </c>
      <c r="Q261" s="1" t="s">
        <v>125</v>
      </c>
      <c r="R261" s="1" t="s">
        <v>50</v>
      </c>
      <c r="S261" s="1">
        <v>0</v>
      </c>
      <c r="T261" s="1">
        <v>0</v>
      </c>
      <c r="U261" s="1">
        <v>51.036999999999999</v>
      </c>
      <c r="V261" s="1">
        <v>25.751999999999999</v>
      </c>
      <c r="W261" s="1">
        <v>0.57999999999999996</v>
      </c>
      <c r="X261" s="1">
        <v>0.46400000000000002</v>
      </c>
      <c r="Y261" s="1">
        <v>26.216000000000001</v>
      </c>
      <c r="Z261" s="1">
        <v>0.248</v>
      </c>
      <c r="AA261" s="1">
        <v>-1.6</v>
      </c>
      <c r="AB261" s="1">
        <v>-1.6</v>
      </c>
      <c r="AC261" s="1">
        <v>-1.6</v>
      </c>
      <c r="AD261" s="1">
        <v>0.46400000000000002</v>
      </c>
      <c r="AE261" s="1">
        <v>0.248</v>
      </c>
      <c r="AF261" s="1">
        <v>0.115</v>
      </c>
      <c r="AG261" s="1">
        <v>-1.6</v>
      </c>
      <c r="AI261" s="1">
        <v>0</v>
      </c>
      <c r="AJ261" s="1">
        <v>0</v>
      </c>
      <c r="AK261" s="1">
        <v>0</v>
      </c>
      <c r="AL261" s="1">
        <v>1</v>
      </c>
      <c r="AM261" s="1">
        <v>86400</v>
      </c>
      <c r="AN261" s="1">
        <v>76659</v>
      </c>
      <c r="AO261" s="1">
        <v>9741</v>
      </c>
      <c r="AP261" s="1">
        <v>43617</v>
      </c>
      <c r="AQ261" s="1">
        <v>12.58488408496922</v>
      </c>
    </row>
  </sheetData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0B668-7C45-463B-B27D-0B15DB3857C2}">
  <sheetPr codeName="Sheet8"/>
  <dimension ref="A1:AQ291"/>
  <sheetViews>
    <sheetView workbookViewId="0">
      <pane ySplit="1" topLeftCell="A2" activePane="bottomLeft" state="frozen"/>
      <selection pane="bottomLeft" activeCell="Y9" sqref="Y9"/>
    </sheetView>
  </sheetViews>
  <sheetFormatPr defaultColWidth="9.1328125" defaultRowHeight="14.25" customHeight="1" x14ac:dyDescent="0.45"/>
  <cols>
    <col min="1" max="1" width="9.1328125" style="1" customWidth="1"/>
    <col min="2" max="3" width="0" style="1" hidden="1" customWidth="1"/>
    <col min="4" max="4" width="9.1328125" style="1"/>
    <col min="5" max="5" width="29.9296875" style="1" bestFit="1" customWidth="1"/>
    <col min="6" max="21" width="0" style="1" hidden="1" customWidth="1"/>
    <col min="22" max="24" width="9.1328125" style="1"/>
    <col min="25" max="25" width="10.06640625" style="1" bestFit="1" customWidth="1"/>
    <col min="26" max="42" width="0" style="1" hidden="1" customWidth="1"/>
    <col min="43" max="16384" width="9.1328125" style="1"/>
  </cols>
  <sheetData>
    <row r="1" spans="1:43" ht="16.149999999999999" thickBot="1" x14ac:dyDescent="0.5500000000000000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126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</row>
    <row r="2" spans="1:43" x14ac:dyDescent="0.45">
      <c r="A2" s="1">
        <v>183</v>
      </c>
      <c r="B2" s="1">
        <v>143</v>
      </c>
      <c r="C2" s="1">
        <v>64</v>
      </c>
      <c r="D2" s="1" t="s">
        <v>99</v>
      </c>
      <c r="E2" s="1" t="s">
        <v>100</v>
      </c>
      <c r="F2" s="1" t="s">
        <v>101</v>
      </c>
      <c r="G2" s="1" t="s">
        <v>46</v>
      </c>
      <c r="H2" s="1" t="s">
        <v>47</v>
      </c>
      <c r="I2" s="1">
        <v>1411</v>
      </c>
      <c r="J2" s="1">
        <v>38055</v>
      </c>
      <c r="K2" s="1">
        <v>1</v>
      </c>
      <c r="L2" s="1">
        <v>63</v>
      </c>
      <c r="M2" s="1">
        <v>2577</v>
      </c>
      <c r="N2" s="1" t="s">
        <v>48</v>
      </c>
      <c r="O2" s="1">
        <v>198808</v>
      </c>
      <c r="P2" s="1">
        <v>95</v>
      </c>
      <c r="Q2" s="1" t="s">
        <v>127</v>
      </c>
      <c r="R2" s="1" t="s">
        <v>50</v>
      </c>
      <c r="S2" s="1">
        <v>0</v>
      </c>
      <c r="T2" s="1">
        <v>0</v>
      </c>
      <c r="U2" s="1">
        <v>222.95500000000001</v>
      </c>
      <c r="V2" s="1">
        <v>21.597000000000001</v>
      </c>
      <c r="W2" s="1">
        <v>2.0499999999999998</v>
      </c>
      <c r="X2" s="1">
        <v>6.899</v>
      </c>
      <c r="Y2" s="1">
        <v>28.495000000000001</v>
      </c>
      <c r="Z2" s="1">
        <v>0.122</v>
      </c>
      <c r="AA2" s="1">
        <v>-0.4</v>
      </c>
      <c r="AB2" s="1">
        <v>1.1000000000000001</v>
      </c>
      <c r="AC2" s="1">
        <v>1.1000000000000001</v>
      </c>
      <c r="AD2" s="1">
        <v>6.899</v>
      </c>
      <c r="AE2" s="1">
        <v>5.0000000000000001E-3</v>
      </c>
      <c r="AF2" s="1">
        <v>0.23699999999999999</v>
      </c>
      <c r="AG2" s="1">
        <v>-0.4</v>
      </c>
      <c r="AI2" s="1">
        <v>0</v>
      </c>
      <c r="AJ2" s="1">
        <v>0</v>
      </c>
      <c r="AK2" s="1">
        <v>0</v>
      </c>
      <c r="AL2" s="1">
        <v>1</v>
      </c>
      <c r="AM2" s="1">
        <v>86400</v>
      </c>
      <c r="AN2" s="1">
        <v>82022</v>
      </c>
      <c r="AO2" s="1">
        <v>4378</v>
      </c>
      <c r="AP2" s="1">
        <v>86379</v>
      </c>
      <c r="AQ2" s="1">
        <v>11.654956863190669</v>
      </c>
    </row>
    <row r="3" spans="1:43" x14ac:dyDescent="0.45">
      <c r="A3" s="1">
        <v>182</v>
      </c>
      <c r="B3" s="1">
        <v>143</v>
      </c>
      <c r="C3" s="1">
        <v>64</v>
      </c>
      <c r="D3" s="1" t="s">
        <v>99</v>
      </c>
      <c r="E3" s="1" t="s">
        <v>100</v>
      </c>
      <c r="F3" s="1" t="s">
        <v>101</v>
      </c>
      <c r="G3" s="1" t="s">
        <v>46</v>
      </c>
      <c r="H3" s="1" t="s">
        <v>47</v>
      </c>
      <c r="I3" s="1">
        <v>1411</v>
      </c>
      <c r="J3" s="1">
        <v>38055</v>
      </c>
      <c r="K3" s="1">
        <v>1</v>
      </c>
      <c r="L3" s="1">
        <v>63</v>
      </c>
      <c r="M3" s="1">
        <v>2576</v>
      </c>
      <c r="N3" s="1" t="s">
        <v>48</v>
      </c>
      <c r="O3" s="1">
        <v>198806</v>
      </c>
      <c r="P3" s="1">
        <v>95</v>
      </c>
      <c r="Q3" s="1" t="s">
        <v>127</v>
      </c>
      <c r="R3" s="1" t="s">
        <v>50</v>
      </c>
      <c r="S3" s="1">
        <v>0</v>
      </c>
      <c r="T3" s="1">
        <v>0</v>
      </c>
      <c r="U3" s="1">
        <v>365.387</v>
      </c>
      <c r="V3" s="1">
        <v>21.681000000000001</v>
      </c>
      <c r="W3" s="1">
        <v>2.04</v>
      </c>
      <c r="X3" s="1">
        <v>6.8140000000000001</v>
      </c>
      <c r="Y3" s="1">
        <v>28.495000000000001</v>
      </c>
      <c r="Z3" s="1">
        <v>0.107</v>
      </c>
      <c r="AA3" s="1">
        <v>-0.1</v>
      </c>
      <c r="AB3" s="1">
        <v>-2.2999999999999998</v>
      </c>
      <c r="AC3" s="1">
        <v>-2.2999999999999998</v>
      </c>
      <c r="AD3" s="1">
        <v>6.8140000000000001</v>
      </c>
      <c r="AE3" s="1">
        <v>0</v>
      </c>
      <c r="AF3" s="1">
        <v>1.9E-2</v>
      </c>
      <c r="AI3" s="1">
        <v>0</v>
      </c>
      <c r="AJ3" s="1">
        <v>0</v>
      </c>
      <c r="AK3" s="1">
        <v>0</v>
      </c>
      <c r="AL3" s="1">
        <v>1</v>
      </c>
      <c r="AM3" s="1">
        <v>86400</v>
      </c>
      <c r="AN3" s="1">
        <v>81679</v>
      </c>
      <c r="AO3" s="1">
        <v>4721</v>
      </c>
      <c r="AP3" s="1">
        <v>86339</v>
      </c>
      <c r="AQ3" s="1">
        <v>3.6435071118563251</v>
      </c>
    </row>
    <row r="4" spans="1:43" x14ac:dyDescent="0.45">
      <c r="A4" s="1">
        <v>185</v>
      </c>
      <c r="B4" s="1">
        <v>143</v>
      </c>
      <c r="C4" s="1">
        <v>64</v>
      </c>
      <c r="D4" s="1" t="s">
        <v>99</v>
      </c>
      <c r="E4" s="1" t="s">
        <v>100</v>
      </c>
      <c r="F4" s="1" t="s">
        <v>101</v>
      </c>
      <c r="G4" s="1" t="s">
        <v>46</v>
      </c>
      <c r="H4" s="1" t="s">
        <v>47</v>
      </c>
      <c r="I4" s="1">
        <v>1411</v>
      </c>
      <c r="J4" s="1">
        <v>38055</v>
      </c>
      <c r="K4" s="1">
        <v>1</v>
      </c>
      <c r="L4" s="1">
        <v>63</v>
      </c>
      <c r="M4" s="1">
        <v>2579</v>
      </c>
      <c r="N4" s="1" t="s">
        <v>48</v>
      </c>
      <c r="O4" s="1">
        <v>198817</v>
      </c>
      <c r="P4" s="1">
        <v>95</v>
      </c>
      <c r="Q4" s="1" t="s">
        <v>127</v>
      </c>
      <c r="R4" s="1" t="s">
        <v>50</v>
      </c>
      <c r="S4" s="1">
        <v>0</v>
      </c>
      <c r="T4" s="1">
        <v>0</v>
      </c>
      <c r="U4" s="1">
        <v>120.09</v>
      </c>
      <c r="V4" s="1">
        <v>21.742999999999999</v>
      </c>
      <c r="W4" s="1">
        <v>2.0299999999999998</v>
      </c>
      <c r="X4" s="1">
        <v>6.7519999999999998</v>
      </c>
      <c r="Y4" s="1">
        <v>28.495000000000001</v>
      </c>
      <c r="Z4" s="1">
        <v>0.04</v>
      </c>
      <c r="AA4" s="1">
        <v>-1.8</v>
      </c>
      <c r="AB4" s="1">
        <v>-1</v>
      </c>
      <c r="AC4" s="1">
        <v>-1</v>
      </c>
      <c r="AD4" s="1">
        <v>6.7519999999999998</v>
      </c>
      <c r="AE4" s="1">
        <v>1E-3</v>
      </c>
      <c r="AF4" s="1">
        <v>3.2000000000000001E-2</v>
      </c>
      <c r="AI4" s="1">
        <v>0</v>
      </c>
      <c r="AJ4" s="1">
        <v>0</v>
      </c>
      <c r="AK4" s="1">
        <v>0</v>
      </c>
      <c r="AL4" s="1">
        <v>1</v>
      </c>
      <c r="AM4" s="1">
        <v>86400</v>
      </c>
      <c r="AN4" s="1">
        <v>80913</v>
      </c>
      <c r="AO4" s="1">
        <v>5487</v>
      </c>
      <c r="AP4" s="1">
        <v>86333</v>
      </c>
      <c r="AQ4" s="1">
        <v>13.2008896502241</v>
      </c>
    </row>
    <row r="5" spans="1:43" x14ac:dyDescent="0.45">
      <c r="A5" s="1">
        <v>184</v>
      </c>
      <c r="B5" s="1">
        <v>143</v>
      </c>
      <c r="C5" s="1">
        <v>64</v>
      </c>
      <c r="D5" s="1" t="s">
        <v>99</v>
      </c>
      <c r="E5" s="1" t="s">
        <v>100</v>
      </c>
      <c r="F5" s="1" t="s">
        <v>101</v>
      </c>
      <c r="G5" s="1" t="s">
        <v>46</v>
      </c>
      <c r="H5" s="1" t="s">
        <v>47</v>
      </c>
      <c r="I5" s="1">
        <v>1411</v>
      </c>
      <c r="J5" s="1">
        <v>38055</v>
      </c>
      <c r="K5" s="1">
        <v>1</v>
      </c>
      <c r="L5" s="1">
        <v>63</v>
      </c>
      <c r="M5" s="1">
        <v>2578</v>
      </c>
      <c r="N5" s="1" t="s">
        <v>48</v>
      </c>
      <c r="O5" s="1">
        <v>198816</v>
      </c>
      <c r="P5" s="1">
        <v>95</v>
      </c>
      <c r="Q5" s="1" t="s">
        <v>127</v>
      </c>
      <c r="R5" s="1" t="s">
        <v>50</v>
      </c>
      <c r="S5" s="1">
        <v>0</v>
      </c>
      <c r="T5" s="1">
        <v>0</v>
      </c>
      <c r="U5" s="1">
        <v>120.09</v>
      </c>
      <c r="V5" s="1">
        <v>21.809000000000001</v>
      </c>
      <c r="W5" s="1">
        <v>2.02</v>
      </c>
      <c r="X5" s="1">
        <v>6.6859999999999999</v>
      </c>
      <c r="Y5" s="1">
        <v>28.495000000000001</v>
      </c>
      <c r="Z5" s="1">
        <v>3.4000000000000002E-2</v>
      </c>
      <c r="AA5" s="1">
        <v>-1.3</v>
      </c>
      <c r="AB5" s="1">
        <v>-1</v>
      </c>
      <c r="AC5" s="1">
        <v>-1</v>
      </c>
      <c r="AD5" s="1">
        <v>6.6859999999999999</v>
      </c>
      <c r="AE5" s="1">
        <v>1E-3</v>
      </c>
      <c r="AF5" s="1">
        <v>3.1E-2</v>
      </c>
      <c r="AI5" s="1">
        <v>0</v>
      </c>
      <c r="AJ5" s="1">
        <v>0</v>
      </c>
      <c r="AK5" s="1">
        <v>0</v>
      </c>
      <c r="AL5" s="1">
        <v>1</v>
      </c>
      <c r="AM5" s="1">
        <v>86400</v>
      </c>
      <c r="AN5" s="1">
        <v>79534</v>
      </c>
      <c r="AO5" s="1">
        <v>6866</v>
      </c>
      <c r="AP5" s="1">
        <v>86353</v>
      </c>
      <c r="AQ5" s="1">
        <v>12.706252394481499</v>
      </c>
    </row>
    <row r="6" spans="1:43" x14ac:dyDescent="0.45">
      <c r="A6" s="1">
        <v>181</v>
      </c>
      <c r="B6" s="1">
        <v>143</v>
      </c>
      <c r="C6" s="1">
        <v>64</v>
      </c>
      <c r="D6" s="1" t="s">
        <v>99</v>
      </c>
      <c r="E6" s="1" t="s">
        <v>100</v>
      </c>
      <c r="F6" s="1" t="s">
        <v>101</v>
      </c>
      <c r="G6" s="1" t="s">
        <v>46</v>
      </c>
      <c r="H6" s="1" t="s">
        <v>47</v>
      </c>
      <c r="I6" s="1">
        <v>1411</v>
      </c>
      <c r="J6" s="1">
        <v>38055</v>
      </c>
      <c r="K6" s="1">
        <v>1</v>
      </c>
      <c r="L6" s="1">
        <v>63</v>
      </c>
      <c r="M6" s="1">
        <v>2573</v>
      </c>
      <c r="N6" s="1" t="s">
        <v>48</v>
      </c>
      <c r="O6" s="1">
        <v>198793</v>
      </c>
      <c r="P6" s="1">
        <v>95</v>
      </c>
      <c r="Q6" s="1" t="s">
        <v>127</v>
      </c>
      <c r="R6" s="1" t="s">
        <v>50</v>
      </c>
      <c r="S6" s="1">
        <v>0</v>
      </c>
      <c r="T6" s="1">
        <v>0</v>
      </c>
      <c r="U6" s="1">
        <v>734.44899999999996</v>
      </c>
      <c r="V6" s="1">
        <v>21.827999999999999</v>
      </c>
      <c r="W6" s="1">
        <v>2.02</v>
      </c>
      <c r="X6" s="1">
        <v>6.6669999999999998</v>
      </c>
      <c r="Y6" s="1">
        <v>28.495000000000001</v>
      </c>
      <c r="Z6" s="1">
        <v>4.2999999999999997E-2</v>
      </c>
      <c r="AA6" s="1">
        <v>-0.7</v>
      </c>
      <c r="AB6" s="1">
        <v>-1.1000000000000001</v>
      </c>
      <c r="AC6" s="1">
        <v>-1.1000000000000001</v>
      </c>
      <c r="AD6" s="1">
        <v>6.6669999999999998</v>
      </c>
      <c r="AE6" s="1">
        <v>1E-3</v>
      </c>
      <c r="AF6" s="1">
        <v>8.9999999999999993E-3</v>
      </c>
      <c r="AI6" s="1">
        <v>0</v>
      </c>
      <c r="AJ6" s="1">
        <v>0</v>
      </c>
      <c r="AK6" s="1">
        <v>0</v>
      </c>
      <c r="AL6" s="1">
        <v>1</v>
      </c>
      <c r="AM6" s="1">
        <v>86400</v>
      </c>
      <c r="AN6" s="1">
        <v>79025</v>
      </c>
      <c r="AO6" s="1">
        <v>7375</v>
      </c>
      <c r="AP6" s="1">
        <v>86323</v>
      </c>
      <c r="AQ6" s="1">
        <v>34.789345584757001</v>
      </c>
    </row>
    <row r="7" spans="1:43" x14ac:dyDescent="0.45">
      <c r="A7" s="1">
        <v>186</v>
      </c>
      <c r="B7" s="1">
        <v>143</v>
      </c>
      <c r="C7" s="1">
        <v>64</v>
      </c>
      <c r="D7" s="1" t="s">
        <v>99</v>
      </c>
      <c r="E7" s="1" t="s">
        <v>100</v>
      </c>
      <c r="F7" s="1" t="s">
        <v>101</v>
      </c>
      <c r="G7" s="1" t="s">
        <v>46</v>
      </c>
      <c r="H7" s="1" t="s">
        <v>47</v>
      </c>
      <c r="I7" s="1">
        <v>1411</v>
      </c>
      <c r="J7" s="1">
        <v>38055</v>
      </c>
      <c r="K7" s="1">
        <v>1</v>
      </c>
      <c r="L7" s="1">
        <v>63</v>
      </c>
      <c r="M7" s="1">
        <v>2580</v>
      </c>
      <c r="N7" s="1" t="s">
        <v>48</v>
      </c>
      <c r="O7" s="1">
        <v>198818</v>
      </c>
      <c r="P7" s="1">
        <v>95</v>
      </c>
      <c r="Q7" s="1" t="s">
        <v>127</v>
      </c>
      <c r="R7" s="1" t="s">
        <v>50</v>
      </c>
      <c r="S7" s="1">
        <v>0</v>
      </c>
      <c r="T7" s="1">
        <v>0</v>
      </c>
      <c r="U7" s="1">
        <v>217.74799999999999</v>
      </c>
      <c r="V7" s="1">
        <v>21.881</v>
      </c>
      <c r="W7" s="1">
        <v>2.0099999999999998</v>
      </c>
      <c r="X7" s="1">
        <v>6.6139999999999999</v>
      </c>
      <c r="Y7" s="1">
        <v>28.495000000000001</v>
      </c>
      <c r="Z7" s="1">
        <v>3.5999999999999997E-2</v>
      </c>
      <c r="AA7" s="1">
        <v>-2</v>
      </c>
      <c r="AB7" s="1">
        <v>0.5</v>
      </c>
      <c r="AC7" s="1">
        <v>0.5</v>
      </c>
      <c r="AD7" s="1">
        <v>6.6139999999999999</v>
      </c>
      <c r="AE7" s="1">
        <v>1E-3</v>
      </c>
      <c r="AF7" s="1">
        <v>2.8000000000000001E-2</v>
      </c>
      <c r="AI7" s="1">
        <v>0</v>
      </c>
      <c r="AJ7" s="1">
        <v>0</v>
      </c>
      <c r="AK7" s="1">
        <v>0</v>
      </c>
      <c r="AL7" s="1">
        <v>1</v>
      </c>
      <c r="AM7" s="1">
        <v>86400</v>
      </c>
      <c r="AN7" s="1">
        <v>77362</v>
      </c>
      <c r="AO7" s="1">
        <v>9038</v>
      </c>
      <c r="AP7" s="1">
        <v>86352</v>
      </c>
      <c r="AQ7" s="1">
        <v>2.1189163386238858</v>
      </c>
    </row>
    <row r="8" spans="1:43" x14ac:dyDescent="0.45">
      <c r="A8" s="1">
        <v>188</v>
      </c>
      <c r="B8" s="1">
        <v>143</v>
      </c>
      <c r="C8" s="1">
        <v>64</v>
      </c>
      <c r="D8" s="1" t="s">
        <v>99</v>
      </c>
      <c r="E8" s="1" t="s">
        <v>100</v>
      </c>
      <c r="F8" s="1" t="s">
        <v>101</v>
      </c>
      <c r="G8" s="1" t="s">
        <v>46</v>
      </c>
      <c r="H8" s="1" t="s">
        <v>47</v>
      </c>
      <c r="I8" s="1">
        <v>1411</v>
      </c>
      <c r="J8" s="1">
        <v>38055</v>
      </c>
      <c r="K8" s="1">
        <v>1</v>
      </c>
      <c r="L8" s="1">
        <v>63</v>
      </c>
      <c r="M8" s="1">
        <v>2584</v>
      </c>
      <c r="N8" s="1" t="s">
        <v>48</v>
      </c>
      <c r="O8" s="1">
        <v>198822</v>
      </c>
      <c r="P8" s="1">
        <v>95</v>
      </c>
      <c r="Q8" s="1" t="s">
        <v>127</v>
      </c>
      <c r="R8" s="1" t="s">
        <v>50</v>
      </c>
      <c r="S8" s="1">
        <v>0</v>
      </c>
      <c r="T8" s="1">
        <v>0</v>
      </c>
      <c r="U8" s="1">
        <v>452.39499999999998</v>
      </c>
      <c r="V8" s="1">
        <v>21.888000000000002</v>
      </c>
      <c r="W8" s="1">
        <v>2.0099999999999998</v>
      </c>
      <c r="X8" s="1">
        <v>6.6070000000000002</v>
      </c>
      <c r="Y8" s="1">
        <v>28.495000000000001</v>
      </c>
      <c r="Z8" s="1">
        <v>4.5999999999999999E-2</v>
      </c>
      <c r="AA8" s="1">
        <v>-1.6</v>
      </c>
      <c r="AB8" s="1">
        <v>-2.2999999999999998</v>
      </c>
      <c r="AC8" s="1">
        <v>-2.2999999999999998</v>
      </c>
      <c r="AD8" s="1">
        <v>6.6070000000000002</v>
      </c>
      <c r="AE8" s="1">
        <v>2E-3</v>
      </c>
      <c r="AF8" s="1">
        <v>2.1000000000000001E-2</v>
      </c>
      <c r="AI8" s="1">
        <v>0</v>
      </c>
      <c r="AJ8" s="1">
        <v>0</v>
      </c>
      <c r="AK8" s="1">
        <v>0</v>
      </c>
      <c r="AL8" s="1">
        <v>1</v>
      </c>
      <c r="AM8" s="1">
        <v>86400</v>
      </c>
      <c r="AN8" s="1">
        <v>77106</v>
      </c>
      <c r="AO8" s="1">
        <v>9294</v>
      </c>
      <c r="AP8" s="1">
        <v>86345</v>
      </c>
      <c r="AQ8" s="1">
        <v>2.3511520457252209</v>
      </c>
    </row>
    <row r="9" spans="1:43" x14ac:dyDescent="0.45">
      <c r="A9" s="1">
        <v>190</v>
      </c>
      <c r="B9" s="1">
        <v>143</v>
      </c>
      <c r="C9" s="1">
        <v>64</v>
      </c>
      <c r="D9" s="1" t="s">
        <v>99</v>
      </c>
      <c r="E9" s="1" t="s">
        <v>100</v>
      </c>
      <c r="F9" s="1" t="s">
        <v>101</v>
      </c>
      <c r="G9" s="1" t="s">
        <v>46</v>
      </c>
      <c r="H9" s="1" t="s">
        <v>47</v>
      </c>
      <c r="I9" s="1">
        <v>1411</v>
      </c>
      <c r="J9" s="1">
        <v>38055</v>
      </c>
      <c r="K9" s="1">
        <v>1</v>
      </c>
      <c r="L9" s="1">
        <v>63</v>
      </c>
      <c r="M9" s="1">
        <v>2586</v>
      </c>
      <c r="N9" s="1" t="s">
        <v>48</v>
      </c>
      <c r="O9" s="1">
        <v>198824</v>
      </c>
      <c r="P9" s="1">
        <v>95</v>
      </c>
      <c r="Q9" s="1" t="s">
        <v>127</v>
      </c>
      <c r="R9" s="1" t="s">
        <v>50</v>
      </c>
      <c r="S9" s="1">
        <v>0</v>
      </c>
      <c r="T9" s="1">
        <v>0</v>
      </c>
      <c r="U9" s="1">
        <v>446.22899999999998</v>
      </c>
      <c r="V9" s="1">
        <v>21.9</v>
      </c>
      <c r="W9" s="1">
        <v>2.0099999999999998</v>
      </c>
      <c r="X9" s="1">
        <v>6.5949999999999998</v>
      </c>
      <c r="Y9" s="1">
        <v>28.495000000000001</v>
      </c>
      <c r="Z9" s="1">
        <v>3.3000000000000002E-2</v>
      </c>
      <c r="AA9" s="1">
        <v>-1.7</v>
      </c>
      <c r="AB9" s="1">
        <v>-1.8</v>
      </c>
      <c r="AC9" s="1">
        <v>-1.8</v>
      </c>
      <c r="AD9" s="1">
        <v>6.5949999999999998</v>
      </c>
      <c r="AE9" s="1">
        <v>2E-3</v>
      </c>
      <c r="AF9" s="1">
        <v>2.5999999999999999E-2</v>
      </c>
      <c r="AI9" s="1">
        <v>0</v>
      </c>
      <c r="AJ9" s="1">
        <v>0</v>
      </c>
      <c r="AK9" s="1">
        <v>0</v>
      </c>
      <c r="AL9" s="1">
        <v>1</v>
      </c>
      <c r="AM9" s="1">
        <v>86400</v>
      </c>
      <c r="AN9" s="1">
        <v>76594</v>
      </c>
      <c r="AO9" s="1">
        <v>9806</v>
      </c>
      <c r="AP9" s="1">
        <v>86324</v>
      </c>
      <c r="AQ9" s="1">
        <v>8.3137607862681389</v>
      </c>
    </row>
    <row r="10" spans="1:43" x14ac:dyDescent="0.45">
      <c r="A10" s="1">
        <v>187</v>
      </c>
      <c r="B10" s="1">
        <v>143</v>
      </c>
      <c r="C10" s="1">
        <v>64</v>
      </c>
      <c r="D10" s="1" t="s">
        <v>99</v>
      </c>
      <c r="E10" s="1" t="s">
        <v>100</v>
      </c>
      <c r="F10" s="1" t="s">
        <v>101</v>
      </c>
      <c r="G10" s="1" t="s">
        <v>46</v>
      </c>
      <c r="H10" s="1" t="s">
        <v>47</v>
      </c>
      <c r="I10" s="1">
        <v>1411</v>
      </c>
      <c r="J10" s="1">
        <v>38055</v>
      </c>
      <c r="K10" s="1">
        <v>1</v>
      </c>
      <c r="L10" s="1">
        <v>63</v>
      </c>
      <c r="M10" s="1">
        <v>2581</v>
      </c>
      <c r="N10" s="1" t="s">
        <v>48</v>
      </c>
      <c r="O10" s="1">
        <v>198819</v>
      </c>
      <c r="P10" s="1">
        <v>95</v>
      </c>
      <c r="Q10" s="1" t="s">
        <v>127</v>
      </c>
      <c r="R10" s="1" t="s">
        <v>50</v>
      </c>
      <c r="S10" s="1">
        <v>0</v>
      </c>
      <c r="T10" s="1">
        <v>0</v>
      </c>
      <c r="U10" s="1">
        <v>726.38900000000001</v>
      </c>
      <c r="V10" s="1">
        <v>21.905000000000001</v>
      </c>
      <c r="W10" s="1">
        <v>2.0099999999999998</v>
      </c>
      <c r="X10" s="1">
        <v>6.59</v>
      </c>
      <c r="Y10" s="1">
        <v>28.495000000000001</v>
      </c>
      <c r="Z10" s="1">
        <v>1.6E-2</v>
      </c>
      <c r="AA10" s="1">
        <v>-1.2</v>
      </c>
      <c r="AB10" s="1">
        <v>-2.4</v>
      </c>
      <c r="AC10" s="1">
        <v>-2.4</v>
      </c>
      <c r="AD10" s="1">
        <v>6.59</v>
      </c>
      <c r="AE10" s="1">
        <v>1E-3</v>
      </c>
      <c r="AF10" s="1">
        <v>8.9999999999999993E-3</v>
      </c>
      <c r="AI10" s="1">
        <v>0</v>
      </c>
      <c r="AJ10" s="1">
        <v>0</v>
      </c>
      <c r="AK10" s="1">
        <v>0</v>
      </c>
      <c r="AL10" s="1">
        <v>1</v>
      </c>
      <c r="AM10" s="1">
        <v>86400</v>
      </c>
      <c r="AN10" s="1">
        <v>76396</v>
      </c>
      <c r="AO10" s="1">
        <v>10004</v>
      </c>
      <c r="AP10" s="1">
        <v>86385</v>
      </c>
      <c r="AQ10" s="1">
        <v>15.51755964572809</v>
      </c>
    </row>
    <row r="11" spans="1:43" x14ac:dyDescent="0.45">
      <c r="A11" s="1">
        <v>197</v>
      </c>
      <c r="B11" s="1">
        <v>143</v>
      </c>
      <c r="C11" s="1">
        <v>64</v>
      </c>
      <c r="D11" s="1" t="s">
        <v>99</v>
      </c>
      <c r="E11" s="1" t="s">
        <v>100</v>
      </c>
      <c r="F11" s="1" t="s">
        <v>101</v>
      </c>
      <c r="G11" s="1" t="s">
        <v>46</v>
      </c>
      <c r="H11" s="1" t="s">
        <v>47</v>
      </c>
      <c r="I11" s="1">
        <v>1411</v>
      </c>
      <c r="J11" s="1">
        <v>38055</v>
      </c>
      <c r="K11" s="1">
        <v>1</v>
      </c>
      <c r="L11" s="1">
        <v>63</v>
      </c>
      <c r="M11" s="1">
        <v>2594</v>
      </c>
      <c r="N11" s="1" t="s">
        <v>48</v>
      </c>
      <c r="O11" s="1">
        <v>198880</v>
      </c>
      <c r="P11" s="1">
        <v>95</v>
      </c>
      <c r="Q11" s="1" t="s">
        <v>127</v>
      </c>
      <c r="R11" s="1" t="s">
        <v>50</v>
      </c>
      <c r="S11" s="1">
        <v>0</v>
      </c>
      <c r="T11" s="1">
        <v>0</v>
      </c>
      <c r="U11" s="1">
        <v>136.09700000000001</v>
      </c>
      <c r="V11" s="1">
        <v>21.954999999999998</v>
      </c>
      <c r="W11" s="1">
        <v>2</v>
      </c>
      <c r="X11" s="1">
        <v>6.5410000000000004</v>
      </c>
      <c r="Y11" s="1">
        <v>28.495000000000001</v>
      </c>
      <c r="Z11" s="1">
        <v>4.5999999999999999E-2</v>
      </c>
      <c r="AA11" s="1">
        <v>-1.8</v>
      </c>
      <c r="AB11" s="1">
        <v>1.9</v>
      </c>
      <c r="AC11" s="1">
        <v>1.9</v>
      </c>
      <c r="AD11" s="1">
        <v>6.5410000000000004</v>
      </c>
      <c r="AE11" s="1">
        <v>2E-3</v>
      </c>
      <c r="AF11" s="1">
        <v>1.4E-2</v>
      </c>
      <c r="AI11" s="1">
        <v>0</v>
      </c>
      <c r="AJ11" s="1">
        <v>0</v>
      </c>
      <c r="AK11" s="1">
        <v>0</v>
      </c>
      <c r="AL11" s="1">
        <v>1</v>
      </c>
      <c r="AM11" s="1">
        <v>86400</v>
      </c>
      <c r="AN11" s="1">
        <v>74357</v>
      </c>
      <c r="AO11" s="1">
        <v>12043</v>
      </c>
      <c r="AP11" s="1">
        <v>86387</v>
      </c>
      <c r="AQ11" s="1">
        <v>7.2449964355107257</v>
      </c>
    </row>
    <row r="12" spans="1:43" x14ac:dyDescent="0.45">
      <c r="A12" s="1">
        <v>191</v>
      </c>
      <c r="B12" s="1">
        <v>143</v>
      </c>
      <c r="C12" s="1">
        <v>64</v>
      </c>
      <c r="D12" s="1" t="s">
        <v>99</v>
      </c>
      <c r="E12" s="1" t="s">
        <v>100</v>
      </c>
      <c r="F12" s="1" t="s">
        <v>101</v>
      </c>
      <c r="G12" s="1" t="s">
        <v>46</v>
      </c>
      <c r="H12" s="1" t="s">
        <v>47</v>
      </c>
      <c r="I12" s="1">
        <v>1411</v>
      </c>
      <c r="J12" s="1">
        <v>38055</v>
      </c>
      <c r="K12" s="1">
        <v>1</v>
      </c>
      <c r="L12" s="1">
        <v>63</v>
      </c>
      <c r="M12" s="1">
        <v>2587</v>
      </c>
      <c r="N12" s="1" t="s">
        <v>48</v>
      </c>
      <c r="O12" s="1">
        <v>198825</v>
      </c>
      <c r="P12" s="1">
        <v>95</v>
      </c>
      <c r="Q12" s="1" t="s">
        <v>127</v>
      </c>
      <c r="R12" s="1" t="s">
        <v>50</v>
      </c>
      <c r="S12" s="1">
        <v>0</v>
      </c>
      <c r="T12" s="1">
        <v>0</v>
      </c>
      <c r="U12" s="1">
        <v>420.69600000000003</v>
      </c>
      <c r="V12" s="1">
        <v>21.959</v>
      </c>
      <c r="W12" s="1">
        <v>2</v>
      </c>
      <c r="X12" s="1">
        <v>6.5359999999999996</v>
      </c>
      <c r="Y12" s="1">
        <v>28.495000000000001</v>
      </c>
      <c r="Z12" s="1">
        <v>2.5000000000000001E-2</v>
      </c>
      <c r="AA12" s="1">
        <v>-0.4</v>
      </c>
      <c r="AB12" s="1">
        <v>0.4</v>
      </c>
      <c r="AC12" s="1">
        <v>0.4</v>
      </c>
      <c r="AD12" s="1">
        <v>6.5359999999999996</v>
      </c>
      <c r="AE12" s="1">
        <v>1E-3</v>
      </c>
      <c r="AF12" s="1">
        <v>2.7E-2</v>
      </c>
      <c r="AI12" s="1">
        <v>0</v>
      </c>
      <c r="AJ12" s="1">
        <v>0</v>
      </c>
      <c r="AK12" s="1">
        <v>0</v>
      </c>
      <c r="AL12" s="1">
        <v>1</v>
      </c>
      <c r="AM12" s="1">
        <v>86400</v>
      </c>
      <c r="AN12" s="1">
        <v>74155</v>
      </c>
      <c r="AO12" s="1">
        <v>12245</v>
      </c>
      <c r="AP12" s="1">
        <v>86308</v>
      </c>
      <c r="AQ12" s="1">
        <v>29.450668699661989</v>
      </c>
    </row>
    <row r="13" spans="1:43" x14ac:dyDescent="0.45">
      <c r="A13" s="1">
        <v>189</v>
      </c>
      <c r="B13" s="1">
        <v>143</v>
      </c>
      <c r="C13" s="1">
        <v>64</v>
      </c>
      <c r="D13" s="1" t="s">
        <v>99</v>
      </c>
      <c r="E13" s="1" t="s">
        <v>100</v>
      </c>
      <c r="F13" s="1" t="s">
        <v>101</v>
      </c>
      <c r="G13" s="1" t="s">
        <v>46</v>
      </c>
      <c r="H13" s="1" t="s">
        <v>47</v>
      </c>
      <c r="I13" s="1">
        <v>1411</v>
      </c>
      <c r="J13" s="1">
        <v>38055</v>
      </c>
      <c r="K13" s="1">
        <v>1</v>
      </c>
      <c r="L13" s="1">
        <v>63</v>
      </c>
      <c r="M13" s="1">
        <v>2585</v>
      </c>
      <c r="N13" s="1" t="s">
        <v>48</v>
      </c>
      <c r="O13" s="1">
        <v>198823</v>
      </c>
      <c r="P13" s="1">
        <v>95</v>
      </c>
      <c r="Q13" s="1" t="s">
        <v>127</v>
      </c>
      <c r="R13" s="1" t="s">
        <v>50</v>
      </c>
      <c r="S13" s="1">
        <v>0</v>
      </c>
      <c r="T13" s="1">
        <v>0</v>
      </c>
      <c r="U13" s="1">
        <v>457.721</v>
      </c>
      <c r="V13" s="1">
        <v>21.972000000000001</v>
      </c>
      <c r="W13" s="1">
        <v>1.99</v>
      </c>
      <c r="X13" s="1">
        <v>6.524</v>
      </c>
      <c r="Y13" s="1">
        <v>28.495000000000001</v>
      </c>
      <c r="Z13" s="1">
        <v>2.3E-2</v>
      </c>
      <c r="AA13" s="1">
        <v>0.5</v>
      </c>
      <c r="AB13" s="1">
        <v>2.1</v>
      </c>
      <c r="AC13" s="1">
        <v>2.1</v>
      </c>
      <c r="AD13" s="1">
        <v>6.524</v>
      </c>
      <c r="AE13" s="1">
        <v>1E-3</v>
      </c>
      <c r="AF13" s="1">
        <v>1.7000000000000001E-2</v>
      </c>
      <c r="AI13" s="1">
        <v>0</v>
      </c>
      <c r="AJ13" s="1">
        <v>0</v>
      </c>
      <c r="AK13" s="1">
        <v>0</v>
      </c>
      <c r="AL13" s="1">
        <v>1</v>
      </c>
      <c r="AM13" s="1">
        <v>86400</v>
      </c>
      <c r="AN13" s="1">
        <v>73586</v>
      </c>
      <c r="AO13" s="1">
        <v>12814</v>
      </c>
      <c r="AP13" s="1">
        <v>86293</v>
      </c>
      <c r="AQ13" s="1">
        <v>35.312191187687972</v>
      </c>
    </row>
    <row r="14" spans="1:43" x14ac:dyDescent="0.45">
      <c r="A14" s="1">
        <v>192</v>
      </c>
      <c r="B14" s="1">
        <v>143</v>
      </c>
      <c r="C14" s="1">
        <v>64</v>
      </c>
      <c r="D14" s="1" t="s">
        <v>99</v>
      </c>
      <c r="E14" s="1" t="s">
        <v>100</v>
      </c>
      <c r="F14" s="1" t="s">
        <v>101</v>
      </c>
      <c r="G14" s="1" t="s">
        <v>46</v>
      </c>
      <c r="H14" s="1" t="s">
        <v>47</v>
      </c>
      <c r="I14" s="1">
        <v>1411</v>
      </c>
      <c r="J14" s="1">
        <v>38055</v>
      </c>
      <c r="K14" s="1">
        <v>1</v>
      </c>
      <c r="L14" s="1">
        <v>63</v>
      </c>
      <c r="M14" s="1">
        <v>2588</v>
      </c>
      <c r="N14" s="1" t="s">
        <v>48</v>
      </c>
      <c r="O14" s="1">
        <v>198827</v>
      </c>
      <c r="P14" s="1">
        <v>95</v>
      </c>
      <c r="Q14" s="1" t="s">
        <v>127</v>
      </c>
      <c r="R14" s="1" t="s">
        <v>50</v>
      </c>
      <c r="S14" s="1">
        <v>0</v>
      </c>
      <c r="T14" s="1">
        <v>0</v>
      </c>
      <c r="U14" s="1">
        <v>182.84700000000001</v>
      </c>
      <c r="V14" s="1">
        <v>21.972999999999999</v>
      </c>
      <c r="W14" s="1">
        <v>2</v>
      </c>
      <c r="X14" s="1">
        <v>6.5220000000000002</v>
      </c>
      <c r="Y14" s="1">
        <v>28.495000000000001</v>
      </c>
      <c r="Z14" s="1">
        <v>0.03</v>
      </c>
      <c r="AA14" s="1">
        <v>-1.7</v>
      </c>
      <c r="AB14" s="1">
        <v>-2.7</v>
      </c>
      <c r="AC14" s="1">
        <v>-2.7</v>
      </c>
      <c r="AD14" s="1">
        <v>6.5220000000000002</v>
      </c>
      <c r="AE14" s="1">
        <v>2E-3</v>
      </c>
      <c r="AF14" s="1">
        <v>1.7000000000000001E-2</v>
      </c>
      <c r="AI14" s="1">
        <v>0</v>
      </c>
      <c r="AJ14" s="1">
        <v>0</v>
      </c>
      <c r="AK14" s="1">
        <v>0</v>
      </c>
      <c r="AL14" s="1">
        <v>1</v>
      </c>
      <c r="AM14" s="1">
        <v>86400</v>
      </c>
      <c r="AN14" s="1">
        <v>73514</v>
      </c>
      <c r="AO14" s="1">
        <v>12886</v>
      </c>
      <c r="AP14" s="1">
        <v>86355</v>
      </c>
      <c r="AQ14" s="1">
        <v>13.316614286791451</v>
      </c>
    </row>
    <row r="15" spans="1:43" x14ac:dyDescent="0.45">
      <c r="A15" s="1">
        <v>193</v>
      </c>
      <c r="B15" s="1">
        <v>143</v>
      </c>
      <c r="C15" s="1">
        <v>64</v>
      </c>
      <c r="D15" s="1" t="s">
        <v>99</v>
      </c>
      <c r="E15" s="1" t="s">
        <v>100</v>
      </c>
      <c r="F15" s="1" t="s">
        <v>101</v>
      </c>
      <c r="G15" s="1" t="s">
        <v>46</v>
      </c>
      <c r="H15" s="1" t="s">
        <v>47</v>
      </c>
      <c r="I15" s="1">
        <v>1411</v>
      </c>
      <c r="J15" s="1">
        <v>38055</v>
      </c>
      <c r="K15" s="1">
        <v>1</v>
      </c>
      <c r="L15" s="1">
        <v>63</v>
      </c>
      <c r="M15" s="1">
        <v>2589</v>
      </c>
      <c r="N15" s="1" t="s">
        <v>48</v>
      </c>
      <c r="O15" s="1">
        <v>198828</v>
      </c>
      <c r="P15" s="1">
        <v>95</v>
      </c>
      <c r="Q15" s="1" t="s">
        <v>127</v>
      </c>
      <c r="R15" s="1" t="s">
        <v>50</v>
      </c>
      <c r="S15" s="1">
        <v>0</v>
      </c>
      <c r="T15" s="1">
        <v>0</v>
      </c>
      <c r="U15" s="1">
        <v>91.424000000000007</v>
      </c>
      <c r="V15" s="1">
        <v>22.026</v>
      </c>
      <c r="W15" s="1">
        <v>1.99</v>
      </c>
      <c r="X15" s="1">
        <v>6.4690000000000003</v>
      </c>
      <c r="Y15" s="1">
        <v>28.495000000000001</v>
      </c>
      <c r="Z15" s="1">
        <v>2.7E-2</v>
      </c>
      <c r="AA15" s="1">
        <v>-2.2999999999999998</v>
      </c>
      <c r="AB15" s="1">
        <v>-2.7</v>
      </c>
      <c r="AC15" s="1">
        <v>-2.7</v>
      </c>
      <c r="AD15" s="1">
        <v>6.4690000000000003</v>
      </c>
      <c r="AE15" s="1">
        <v>2E-3</v>
      </c>
      <c r="AF15" s="1">
        <v>1.7000000000000001E-2</v>
      </c>
      <c r="AI15" s="1">
        <v>0</v>
      </c>
      <c r="AJ15" s="1">
        <v>0</v>
      </c>
      <c r="AK15" s="1">
        <v>0</v>
      </c>
      <c r="AL15" s="1">
        <v>1</v>
      </c>
      <c r="AM15" s="1">
        <v>86400</v>
      </c>
      <c r="AN15" s="1">
        <v>71195</v>
      </c>
      <c r="AO15" s="1">
        <v>15205</v>
      </c>
      <c r="AP15" s="1">
        <v>86357</v>
      </c>
      <c r="AQ15" s="1">
        <v>6.674082864382977</v>
      </c>
    </row>
    <row r="16" spans="1:43" x14ac:dyDescent="0.45">
      <c r="A16" s="1">
        <v>194</v>
      </c>
      <c r="B16" s="1">
        <v>143</v>
      </c>
      <c r="C16" s="1">
        <v>64</v>
      </c>
      <c r="D16" s="1" t="s">
        <v>99</v>
      </c>
      <c r="E16" s="1" t="s">
        <v>100</v>
      </c>
      <c r="F16" s="1" t="s">
        <v>101</v>
      </c>
      <c r="G16" s="1" t="s">
        <v>46</v>
      </c>
      <c r="H16" s="1" t="s">
        <v>47</v>
      </c>
      <c r="I16" s="1">
        <v>1411</v>
      </c>
      <c r="J16" s="1">
        <v>38055</v>
      </c>
      <c r="K16" s="1">
        <v>1</v>
      </c>
      <c r="L16" s="1">
        <v>63</v>
      </c>
      <c r="M16" s="1">
        <v>2591</v>
      </c>
      <c r="N16" s="1" t="s">
        <v>48</v>
      </c>
      <c r="O16" s="1">
        <v>198830</v>
      </c>
      <c r="P16" s="1">
        <v>95</v>
      </c>
      <c r="Q16" s="1" t="s">
        <v>127</v>
      </c>
      <c r="R16" s="1" t="s">
        <v>50</v>
      </c>
      <c r="S16" s="1">
        <v>0</v>
      </c>
      <c r="T16" s="1">
        <v>0</v>
      </c>
      <c r="U16" s="1">
        <v>91.95</v>
      </c>
      <c r="V16" s="1">
        <v>22.048999999999999</v>
      </c>
      <c r="W16" s="1">
        <v>1.98</v>
      </c>
      <c r="X16" s="1">
        <v>6.4459999999999997</v>
      </c>
      <c r="Y16" s="1">
        <v>28.495000000000001</v>
      </c>
      <c r="Z16" s="1">
        <v>2.4E-2</v>
      </c>
      <c r="AA16" s="1">
        <v>-2</v>
      </c>
      <c r="AB16" s="1">
        <v>-2.9</v>
      </c>
      <c r="AC16" s="1">
        <v>-2.9</v>
      </c>
      <c r="AD16" s="1">
        <v>6.4459999999999997</v>
      </c>
      <c r="AE16" s="1">
        <v>2E-3</v>
      </c>
      <c r="AF16" s="1">
        <v>0.03</v>
      </c>
      <c r="AI16" s="1">
        <v>0</v>
      </c>
      <c r="AJ16" s="1">
        <v>0</v>
      </c>
      <c r="AK16" s="1">
        <v>0</v>
      </c>
      <c r="AL16" s="1">
        <v>1</v>
      </c>
      <c r="AM16" s="1">
        <v>86400</v>
      </c>
      <c r="AN16" s="1">
        <v>70206</v>
      </c>
      <c r="AO16" s="1">
        <v>16194</v>
      </c>
      <c r="AP16" s="1">
        <v>86365</v>
      </c>
      <c r="AQ16" s="1">
        <v>9.6542195110212443</v>
      </c>
    </row>
    <row r="17" spans="1:43" x14ac:dyDescent="0.45">
      <c r="A17" s="1">
        <v>196</v>
      </c>
      <c r="B17" s="1">
        <v>143</v>
      </c>
      <c r="C17" s="1">
        <v>64</v>
      </c>
      <c r="D17" s="1" t="s">
        <v>99</v>
      </c>
      <c r="E17" s="1" t="s">
        <v>100</v>
      </c>
      <c r="F17" s="1" t="s">
        <v>101</v>
      </c>
      <c r="G17" s="1" t="s">
        <v>46</v>
      </c>
      <c r="H17" s="1" t="s">
        <v>47</v>
      </c>
      <c r="I17" s="1">
        <v>1411</v>
      </c>
      <c r="J17" s="1">
        <v>38055</v>
      </c>
      <c r="K17" s="1">
        <v>1</v>
      </c>
      <c r="L17" s="1">
        <v>63</v>
      </c>
      <c r="M17" s="1">
        <v>2593</v>
      </c>
      <c r="N17" s="1" t="s">
        <v>48</v>
      </c>
      <c r="O17" s="1">
        <v>198878</v>
      </c>
      <c r="P17" s="1">
        <v>95</v>
      </c>
      <c r="Q17" s="1" t="s">
        <v>127</v>
      </c>
      <c r="R17" s="1" t="s">
        <v>50</v>
      </c>
      <c r="S17" s="1">
        <v>0</v>
      </c>
      <c r="T17" s="1">
        <v>0</v>
      </c>
      <c r="U17" s="1">
        <v>73.399000000000001</v>
      </c>
      <c r="V17" s="1">
        <v>22.128</v>
      </c>
      <c r="W17" s="1">
        <v>1.97</v>
      </c>
      <c r="X17" s="1">
        <v>6.3680000000000003</v>
      </c>
      <c r="Y17" s="1">
        <v>28.495000000000001</v>
      </c>
      <c r="Z17" s="1">
        <v>5.5E-2</v>
      </c>
      <c r="AA17" s="1">
        <v>-2.9</v>
      </c>
      <c r="AB17" s="1">
        <v>1.9</v>
      </c>
      <c r="AC17" s="1">
        <v>1.9</v>
      </c>
      <c r="AD17" s="1">
        <v>6.3680000000000003</v>
      </c>
      <c r="AE17" s="1">
        <v>6.0000000000000001E-3</v>
      </c>
      <c r="AF17" s="1">
        <v>0.14099999999999999</v>
      </c>
      <c r="AI17" s="1">
        <v>0</v>
      </c>
      <c r="AJ17" s="1">
        <v>0</v>
      </c>
      <c r="AK17" s="1">
        <v>0</v>
      </c>
      <c r="AL17" s="1">
        <v>1</v>
      </c>
      <c r="AM17" s="1">
        <v>86400</v>
      </c>
      <c r="AN17" s="1">
        <v>67030</v>
      </c>
      <c r="AO17" s="1">
        <v>19370</v>
      </c>
      <c r="AP17" s="1">
        <v>86361</v>
      </c>
      <c r="AQ17" s="1">
        <v>7.1280436310846298</v>
      </c>
    </row>
    <row r="18" spans="1:43" x14ac:dyDescent="0.45">
      <c r="A18" s="1">
        <v>195</v>
      </c>
      <c r="B18" s="1">
        <v>143</v>
      </c>
      <c r="C18" s="1">
        <v>64</v>
      </c>
      <c r="D18" s="1" t="s">
        <v>99</v>
      </c>
      <c r="E18" s="1" t="s">
        <v>100</v>
      </c>
      <c r="F18" s="1" t="s">
        <v>101</v>
      </c>
      <c r="G18" s="1" t="s">
        <v>46</v>
      </c>
      <c r="H18" s="1" t="s">
        <v>47</v>
      </c>
      <c r="I18" s="1">
        <v>1411</v>
      </c>
      <c r="J18" s="1">
        <v>38055</v>
      </c>
      <c r="K18" s="1">
        <v>1</v>
      </c>
      <c r="L18" s="1">
        <v>63</v>
      </c>
      <c r="M18" s="1">
        <v>2592</v>
      </c>
      <c r="N18" s="1" t="s">
        <v>48</v>
      </c>
      <c r="O18" s="1">
        <v>198831</v>
      </c>
      <c r="P18" s="1">
        <v>95</v>
      </c>
      <c r="Q18" s="1" t="s">
        <v>127</v>
      </c>
      <c r="R18" s="1" t="s">
        <v>50</v>
      </c>
      <c r="S18" s="1">
        <v>0</v>
      </c>
      <c r="T18" s="1">
        <v>0</v>
      </c>
      <c r="U18" s="1">
        <v>52.819000000000003</v>
      </c>
      <c r="V18" s="1">
        <v>22.129000000000001</v>
      </c>
      <c r="W18" s="1">
        <v>1.97</v>
      </c>
      <c r="X18" s="1">
        <v>6.3659999999999997</v>
      </c>
      <c r="Y18" s="1">
        <v>28.495000000000001</v>
      </c>
      <c r="Z18" s="1">
        <v>0.04</v>
      </c>
      <c r="AA18" s="1">
        <v>-2.1</v>
      </c>
      <c r="AB18" s="1">
        <v>-2.7</v>
      </c>
      <c r="AC18" s="1">
        <v>-2.7</v>
      </c>
      <c r="AD18" s="1">
        <v>6.3659999999999997</v>
      </c>
      <c r="AE18" s="1">
        <v>2E-3</v>
      </c>
      <c r="AF18" s="1">
        <v>0.04</v>
      </c>
      <c r="AI18" s="1">
        <v>0</v>
      </c>
      <c r="AJ18" s="1">
        <v>0</v>
      </c>
      <c r="AK18" s="1">
        <v>0</v>
      </c>
      <c r="AL18" s="1">
        <v>1</v>
      </c>
      <c r="AM18" s="1">
        <v>86400</v>
      </c>
      <c r="AN18" s="1">
        <v>66982</v>
      </c>
      <c r="AO18" s="1">
        <v>19418</v>
      </c>
      <c r="AP18" s="1">
        <v>86289</v>
      </c>
      <c r="AQ18" s="1">
        <v>2.63378111287494</v>
      </c>
    </row>
    <row r="19" spans="1:43" x14ac:dyDescent="0.45">
      <c r="A19" s="1">
        <v>139</v>
      </c>
      <c r="B19" s="1">
        <v>128</v>
      </c>
      <c r="C19" s="1">
        <v>88</v>
      </c>
      <c r="D19" s="1" t="s">
        <v>115</v>
      </c>
      <c r="E19" s="1" t="s">
        <v>116</v>
      </c>
      <c r="F19" s="1" t="s">
        <v>117</v>
      </c>
      <c r="G19" s="1" t="s">
        <v>54</v>
      </c>
      <c r="H19" s="1" t="s">
        <v>47</v>
      </c>
      <c r="I19" s="1">
        <v>830</v>
      </c>
      <c r="J19" s="1">
        <v>39746</v>
      </c>
      <c r="K19" s="1">
        <v>1</v>
      </c>
      <c r="L19" s="1">
        <v>87</v>
      </c>
      <c r="M19" s="1">
        <v>2334</v>
      </c>
      <c r="N19" s="1" t="s">
        <v>48</v>
      </c>
      <c r="O19" s="1">
        <v>195273</v>
      </c>
      <c r="P19" s="1">
        <v>95</v>
      </c>
      <c r="Q19" s="1" t="s">
        <v>127</v>
      </c>
      <c r="R19" s="1" t="s">
        <v>50</v>
      </c>
      <c r="S19" s="1">
        <v>0</v>
      </c>
      <c r="T19" s="1">
        <v>0</v>
      </c>
      <c r="U19" s="1">
        <v>85.891000000000005</v>
      </c>
      <c r="V19" s="1">
        <v>19.951000000000001</v>
      </c>
      <c r="W19" s="1">
        <v>1.89</v>
      </c>
      <c r="X19" s="1">
        <v>5.62</v>
      </c>
      <c r="Y19" s="1">
        <v>25.571000000000002</v>
      </c>
      <c r="Z19" s="1">
        <v>0.152</v>
      </c>
      <c r="AA19" s="1">
        <v>0.4</v>
      </c>
      <c r="AB19" s="1">
        <v>-2.5</v>
      </c>
      <c r="AC19" s="1">
        <v>-2.6</v>
      </c>
      <c r="AD19" s="1">
        <v>5.62</v>
      </c>
      <c r="AE19" s="1">
        <v>7.0999999999999994E-2</v>
      </c>
      <c r="AF19" s="1">
        <v>0.40100000000000002</v>
      </c>
      <c r="AG19" s="1">
        <v>0.4</v>
      </c>
      <c r="AI19" s="1">
        <v>0</v>
      </c>
      <c r="AJ19" s="1">
        <v>0</v>
      </c>
      <c r="AK19" s="1">
        <v>0</v>
      </c>
      <c r="AL19" s="1">
        <v>1</v>
      </c>
      <c r="AM19" s="1">
        <v>86400</v>
      </c>
      <c r="AN19" s="1">
        <v>81555</v>
      </c>
      <c r="AO19" s="1">
        <v>4845</v>
      </c>
      <c r="AP19" s="1">
        <v>48947</v>
      </c>
      <c r="AQ19" s="1">
        <v>1.1430980625257849</v>
      </c>
    </row>
    <row r="20" spans="1:43" x14ac:dyDescent="0.45">
      <c r="A20" s="1">
        <v>137</v>
      </c>
      <c r="B20" s="1">
        <v>128</v>
      </c>
      <c r="C20" s="1">
        <v>88</v>
      </c>
      <c r="D20" s="1" t="s">
        <v>115</v>
      </c>
      <c r="E20" s="1" t="s">
        <v>116</v>
      </c>
      <c r="F20" s="1" t="s">
        <v>117</v>
      </c>
      <c r="G20" s="1" t="s">
        <v>54</v>
      </c>
      <c r="H20" s="1" t="s">
        <v>47</v>
      </c>
      <c r="I20" s="1">
        <v>830</v>
      </c>
      <c r="J20" s="1">
        <v>39746</v>
      </c>
      <c r="K20" s="1">
        <v>1</v>
      </c>
      <c r="L20" s="1">
        <v>87</v>
      </c>
      <c r="M20" s="1">
        <v>2332</v>
      </c>
      <c r="N20" s="1" t="s">
        <v>48</v>
      </c>
      <c r="O20" s="1">
        <v>195271</v>
      </c>
      <c r="P20" s="1">
        <v>95</v>
      </c>
      <c r="Q20" s="1" t="s">
        <v>127</v>
      </c>
      <c r="R20" s="1" t="s">
        <v>50</v>
      </c>
      <c r="S20" s="1">
        <v>0</v>
      </c>
      <c r="T20" s="1">
        <v>0</v>
      </c>
      <c r="U20" s="1">
        <v>153.398</v>
      </c>
      <c r="V20" s="1">
        <v>20.052</v>
      </c>
      <c r="W20" s="1">
        <v>1.86</v>
      </c>
      <c r="X20" s="1">
        <v>5.52</v>
      </c>
      <c r="Y20" s="1">
        <v>25.571999999999999</v>
      </c>
      <c r="Z20" s="1">
        <v>7.8E-2</v>
      </c>
      <c r="AA20" s="1">
        <v>0.9</v>
      </c>
      <c r="AB20" s="1">
        <v>-0.7</v>
      </c>
      <c r="AC20" s="1">
        <v>-0.7</v>
      </c>
      <c r="AD20" s="1">
        <v>5.52</v>
      </c>
      <c r="AE20" s="1">
        <v>4.2999999999999997E-2</v>
      </c>
      <c r="AF20" s="1">
        <v>0.23599999999999999</v>
      </c>
      <c r="AI20" s="1">
        <v>0</v>
      </c>
      <c r="AJ20" s="1">
        <v>0</v>
      </c>
      <c r="AK20" s="1">
        <v>0</v>
      </c>
      <c r="AL20" s="1">
        <v>1</v>
      </c>
      <c r="AM20" s="1">
        <v>86400</v>
      </c>
      <c r="AN20" s="1">
        <v>81086</v>
      </c>
      <c r="AO20" s="1">
        <v>5314</v>
      </c>
      <c r="AP20" s="1">
        <v>48680</v>
      </c>
      <c r="AQ20" s="1">
        <v>1.848400219853761</v>
      </c>
    </row>
    <row r="21" spans="1:43" x14ac:dyDescent="0.45">
      <c r="A21" s="1">
        <v>138</v>
      </c>
      <c r="B21" s="1">
        <v>128</v>
      </c>
      <c r="C21" s="1">
        <v>88</v>
      </c>
      <c r="D21" s="1" t="s">
        <v>115</v>
      </c>
      <c r="E21" s="1" t="s">
        <v>116</v>
      </c>
      <c r="F21" s="1" t="s">
        <v>117</v>
      </c>
      <c r="G21" s="1" t="s">
        <v>54</v>
      </c>
      <c r="H21" s="1" t="s">
        <v>47</v>
      </c>
      <c r="I21" s="1">
        <v>830</v>
      </c>
      <c r="J21" s="1">
        <v>39746</v>
      </c>
      <c r="K21" s="1">
        <v>1</v>
      </c>
      <c r="L21" s="1">
        <v>87</v>
      </c>
      <c r="M21" s="1">
        <v>2333</v>
      </c>
      <c r="N21" s="1" t="s">
        <v>48</v>
      </c>
      <c r="O21" s="1">
        <v>195272</v>
      </c>
      <c r="P21" s="1">
        <v>95</v>
      </c>
      <c r="Q21" s="1" t="s">
        <v>127</v>
      </c>
      <c r="R21" s="1" t="s">
        <v>50</v>
      </c>
      <c r="S21" s="1">
        <v>0</v>
      </c>
      <c r="T21" s="1">
        <v>0</v>
      </c>
      <c r="U21" s="1">
        <v>122.854</v>
      </c>
      <c r="V21" s="1">
        <v>20.367000000000001</v>
      </c>
      <c r="W21" s="1">
        <v>1.8</v>
      </c>
      <c r="X21" s="1">
        <v>5.2039999999999997</v>
      </c>
      <c r="Y21" s="1">
        <v>25.571000000000002</v>
      </c>
      <c r="Z21" s="1">
        <v>0.05</v>
      </c>
      <c r="AA21" s="1">
        <v>0.2</v>
      </c>
      <c r="AB21" s="1">
        <v>-1.3</v>
      </c>
      <c r="AC21" s="1">
        <v>-1.3</v>
      </c>
      <c r="AD21" s="1">
        <v>5.2039999999999997</v>
      </c>
      <c r="AE21" s="1">
        <v>1.4999999999999999E-2</v>
      </c>
      <c r="AF21" s="1">
        <v>0.08</v>
      </c>
      <c r="AI21" s="1">
        <v>0</v>
      </c>
      <c r="AJ21" s="1">
        <v>0</v>
      </c>
      <c r="AK21" s="1">
        <v>0</v>
      </c>
      <c r="AL21" s="1">
        <v>1</v>
      </c>
      <c r="AM21" s="1">
        <v>86400</v>
      </c>
      <c r="AN21" s="1">
        <v>79894</v>
      </c>
      <c r="AO21" s="1">
        <v>6506</v>
      </c>
      <c r="AP21" s="1">
        <v>48801</v>
      </c>
      <c r="AQ21" s="1">
        <v>15.112516080123729</v>
      </c>
    </row>
    <row r="22" spans="1:43" x14ac:dyDescent="0.45">
      <c r="A22" s="1">
        <v>79</v>
      </c>
      <c r="B22" s="1">
        <v>95</v>
      </c>
      <c r="C22" s="1">
        <v>117</v>
      </c>
      <c r="D22" s="1" t="s">
        <v>112</v>
      </c>
      <c r="E22" s="1" t="s">
        <v>113</v>
      </c>
      <c r="F22" s="1" t="s">
        <v>114</v>
      </c>
      <c r="G22" s="1" t="s">
        <v>54</v>
      </c>
      <c r="H22" s="1" t="s">
        <v>47</v>
      </c>
      <c r="I22" s="1">
        <v>948</v>
      </c>
      <c r="J22" s="1">
        <v>50781</v>
      </c>
      <c r="K22" s="1">
        <v>1</v>
      </c>
      <c r="L22" s="1">
        <v>116</v>
      </c>
      <c r="M22" s="1">
        <v>2282</v>
      </c>
      <c r="N22" s="1" t="s">
        <v>48</v>
      </c>
      <c r="O22" s="1">
        <v>195155</v>
      </c>
      <c r="P22" s="1">
        <v>95</v>
      </c>
      <c r="Q22" s="1" t="s">
        <v>127</v>
      </c>
      <c r="R22" s="1" t="s">
        <v>50</v>
      </c>
      <c r="S22" s="1">
        <v>0</v>
      </c>
      <c r="T22" s="1">
        <v>0</v>
      </c>
      <c r="U22" s="1">
        <v>53.843000000000004</v>
      </c>
      <c r="V22" s="1">
        <v>20.477</v>
      </c>
      <c r="W22" s="1">
        <v>1.92</v>
      </c>
      <c r="X22" s="1">
        <v>5.093</v>
      </c>
      <c r="Y22" s="1">
        <v>25.57</v>
      </c>
      <c r="Z22" s="1">
        <v>0.29899999999999999</v>
      </c>
      <c r="AA22" s="1">
        <v>0.6</v>
      </c>
      <c r="AB22" s="1">
        <v>0.6</v>
      </c>
      <c r="AC22" s="1">
        <v>0.6</v>
      </c>
      <c r="AD22" s="1">
        <v>5.093</v>
      </c>
      <c r="AE22" s="1">
        <v>0.29799999999999999</v>
      </c>
      <c r="AF22" s="1">
        <v>1.5189999999999999</v>
      </c>
      <c r="AG22" s="1">
        <v>0.6</v>
      </c>
      <c r="AI22" s="1">
        <v>0</v>
      </c>
      <c r="AJ22" s="1">
        <v>0</v>
      </c>
      <c r="AK22" s="1">
        <v>0</v>
      </c>
      <c r="AL22" s="1">
        <v>1</v>
      </c>
      <c r="AM22" s="1">
        <v>86400</v>
      </c>
      <c r="AN22" s="1">
        <v>79457</v>
      </c>
      <c r="AO22" s="1">
        <v>6943</v>
      </c>
      <c r="AP22" s="1">
        <v>48599</v>
      </c>
      <c r="AQ22" s="1">
        <v>1.566961171589063</v>
      </c>
    </row>
    <row r="23" spans="1:43" x14ac:dyDescent="0.45">
      <c r="A23" s="1">
        <v>201</v>
      </c>
      <c r="B23" s="1">
        <v>170</v>
      </c>
      <c r="C23" s="1">
        <v>89</v>
      </c>
      <c r="D23" s="1" t="s">
        <v>121</v>
      </c>
      <c r="E23" s="1" t="s">
        <v>122</v>
      </c>
      <c r="F23" s="1" t="s">
        <v>123</v>
      </c>
      <c r="G23" s="1" t="s">
        <v>54</v>
      </c>
      <c r="H23" s="1" t="s">
        <v>47</v>
      </c>
      <c r="I23" s="1">
        <v>766</v>
      </c>
      <c r="J23" s="1">
        <v>21382</v>
      </c>
      <c r="K23" s="1">
        <v>1</v>
      </c>
      <c r="L23" s="1">
        <v>88</v>
      </c>
      <c r="M23" s="1">
        <v>2282</v>
      </c>
      <c r="N23" s="1" t="s">
        <v>48</v>
      </c>
      <c r="O23" s="1">
        <v>195155</v>
      </c>
      <c r="P23" s="1">
        <v>95</v>
      </c>
      <c r="Q23" s="1" t="s">
        <v>127</v>
      </c>
      <c r="R23" s="1" t="s">
        <v>50</v>
      </c>
      <c r="S23" s="1">
        <v>0</v>
      </c>
      <c r="T23" s="1">
        <v>0</v>
      </c>
      <c r="U23" s="1">
        <v>53.843000000000004</v>
      </c>
      <c r="V23" s="1">
        <v>20.477</v>
      </c>
      <c r="W23" s="1">
        <v>1.92</v>
      </c>
      <c r="X23" s="1">
        <v>5.093</v>
      </c>
      <c r="Y23" s="1">
        <v>25.57</v>
      </c>
      <c r="Z23" s="1">
        <v>0.29899999999999999</v>
      </c>
      <c r="AA23" s="1">
        <v>0.6</v>
      </c>
      <c r="AB23" s="1">
        <v>0.6</v>
      </c>
      <c r="AC23" s="1">
        <v>0.6</v>
      </c>
      <c r="AD23" s="1">
        <v>5.093</v>
      </c>
      <c r="AE23" s="1">
        <v>0.29799999999999999</v>
      </c>
      <c r="AF23" s="1">
        <v>1.5189999999999999</v>
      </c>
      <c r="AG23" s="1">
        <v>0.6</v>
      </c>
      <c r="AI23" s="1">
        <v>0</v>
      </c>
      <c r="AJ23" s="1">
        <v>0</v>
      </c>
      <c r="AK23" s="1">
        <v>0</v>
      </c>
      <c r="AL23" s="1">
        <v>1</v>
      </c>
      <c r="AM23" s="1">
        <v>86400</v>
      </c>
      <c r="AN23" s="1">
        <v>79457</v>
      </c>
      <c r="AO23" s="1">
        <v>6943</v>
      </c>
      <c r="AP23" s="1">
        <v>48599</v>
      </c>
      <c r="AQ23" s="1">
        <v>5.6937170470055518</v>
      </c>
    </row>
    <row r="24" spans="1:43" x14ac:dyDescent="0.45">
      <c r="A24" s="1">
        <v>116</v>
      </c>
      <c r="B24" s="1">
        <v>128</v>
      </c>
      <c r="C24" s="1">
        <v>88</v>
      </c>
      <c r="D24" s="1" t="s">
        <v>115</v>
      </c>
      <c r="E24" s="1" t="s">
        <v>116</v>
      </c>
      <c r="F24" s="1" t="s">
        <v>117</v>
      </c>
      <c r="G24" s="1" t="s">
        <v>54</v>
      </c>
      <c r="H24" s="1" t="s">
        <v>47</v>
      </c>
      <c r="I24" s="1">
        <v>830</v>
      </c>
      <c r="J24" s="1">
        <v>39746</v>
      </c>
      <c r="K24" s="1">
        <v>1</v>
      </c>
      <c r="L24" s="1">
        <v>87</v>
      </c>
      <c r="M24" s="1">
        <v>2285</v>
      </c>
      <c r="N24" s="1" t="s">
        <v>48</v>
      </c>
      <c r="O24" s="1">
        <v>195158</v>
      </c>
      <c r="P24" s="1">
        <v>95</v>
      </c>
      <c r="Q24" s="1" t="s">
        <v>127</v>
      </c>
      <c r="R24" s="1" t="s">
        <v>50</v>
      </c>
      <c r="S24" s="1">
        <v>0</v>
      </c>
      <c r="T24" s="1">
        <v>0</v>
      </c>
      <c r="U24" s="1">
        <v>115.226</v>
      </c>
      <c r="V24" s="1">
        <v>20.7</v>
      </c>
      <c r="W24" s="1">
        <v>1.77</v>
      </c>
      <c r="X24" s="1">
        <v>4.8719999999999999</v>
      </c>
      <c r="Y24" s="1">
        <v>25.571999999999999</v>
      </c>
      <c r="Z24" s="1">
        <v>0.221</v>
      </c>
      <c r="AA24" s="1">
        <v>1.9</v>
      </c>
      <c r="AB24" s="1">
        <v>-1.7</v>
      </c>
      <c r="AC24" s="1">
        <v>-1.7</v>
      </c>
      <c r="AD24" s="1">
        <v>4.8719999999999999</v>
      </c>
      <c r="AE24" s="1">
        <v>5.8999999999999997E-2</v>
      </c>
      <c r="AF24" s="1">
        <v>0.28899999999999998</v>
      </c>
      <c r="AG24" s="1">
        <v>1.9</v>
      </c>
      <c r="AI24" s="1">
        <v>0</v>
      </c>
      <c r="AJ24" s="1">
        <v>0</v>
      </c>
      <c r="AK24" s="1">
        <v>0</v>
      </c>
      <c r="AL24" s="1">
        <v>1</v>
      </c>
      <c r="AM24" s="1">
        <v>86400</v>
      </c>
      <c r="AN24" s="1">
        <v>78588</v>
      </c>
      <c r="AO24" s="1">
        <v>7812</v>
      </c>
      <c r="AP24" s="1">
        <v>48830</v>
      </c>
      <c r="AQ24" s="1">
        <v>2.4109407993357479</v>
      </c>
    </row>
    <row r="25" spans="1:43" x14ac:dyDescent="0.45">
      <c r="A25" s="1">
        <v>205</v>
      </c>
      <c r="B25" s="1">
        <v>170</v>
      </c>
      <c r="C25" s="1">
        <v>89</v>
      </c>
      <c r="D25" s="1" t="s">
        <v>121</v>
      </c>
      <c r="E25" s="1" t="s">
        <v>122</v>
      </c>
      <c r="F25" s="1" t="s">
        <v>123</v>
      </c>
      <c r="G25" s="1" t="s">
        <v>54</v>
      </c>
      <c r="H25" s="1" t="s">
        <v>47</v>
      </c>
      <c r="I25" s="1">
        <v>766</v>
      </c>
      <c r="J25" s="1">
        <v>21382</v>
      </c>
      <c r="K25" s="1">
        <v>1</v>
      </c>
      <c r="L25" s="1">
        <v>88</v>
      </c>
      <c r="M25" s="1">
        <v>2294</v>
      </c>
      <c r="N25" s="1" t="s">
        <v>48</v>
      </c>
      <c r="O25" s="1">
        <v>195169</v>
      </c>
      <c r="P25" s="1">
        <v>95</v>
      </c>
      <c r="Q25" s="1" t="s">
        <v>127</v>
      </c>
      <c r="R25" s="1" t="s">
        <v>50</v>
      </c>
      <c r="S25" s="1">
        <v>0</v>
      </c>
      <c r="T25" s="1">
        <v>0</v>
      </c>
      <c r="U25" s="1">
        <v>82.075999999999993</v>
      </c>
      <c r="V25" s="1">
        <v>20.9</v>
      </c>
      <c r="W25" s="1">
        <v>1.72</v>
      </c>
      <c r="X25" s="1">
        <v>4.673</v>
      </c>
      <c r="Y25" s="1">
        <v>25.574000000000002</v>
      </c>
      <c r="Z25" s="1">
        <v>0.29899999999999999</v>
      </c>
      <c r="AA25" s="1">
        <v>0.7</v>
      </c>
      <c r="AB25" s="1">
        <v>-1.2</v>
      </c>
      <c r="AC25" s="1">
        <v>-1.7</v>
      </c>
      <c r="AD25" s="1">
        <v>4.6719999999999997</v>
      </c>
      <c r="AE25" s="1">
        <v>2.1000000000000001E-2</v>
      </c>
      <c r="AF25" s="1">
        <v>0.253</v>
      </c>
      <c r="AG25" s="1">
        <v>0.7</v>
      </c>
      <c r="AI25" s="1">
        <v>0</v>
      </c>
      <c r="AJ25" s="1">
        <v>0</v>
      </c>
      <c r="AK25" s="1">
        <v>0</v>
      </c>
      <c r="AL25" s="1">
        <v>1</v>
      </c>
      <c r="AM25" s="1">
        <v>86400</v>
      </c>
      <c r="AN25" s="1">
        <v>81877</v>
      </c>
      <c r="AO25" s="1">
        <v>4523</v>
      </c>
      <c r="AP25" s="1">
        <v>48538</v>
      </c>
      <c r="AQ25" s="1">
        <v>0.18602093680121329</v>
      </c>
    </row>
    <row r="26" spans="1:43" x14ac:dyDescent="0.45">
      <c r="A26" s="1">
        <v>208</v>
      </c>
      <c r="B26" s="1">
        <v>170</v>
      </c>
      <c r="C26" s="1">
        <v>89</v>
      </c>
      <c r="D26" s="1" t="s">
        <v>121</v>
      </c>
      <c r="E26" s="1" t="s">
        <v>122</v>
      </c>
      <c r="F26" s="1" t="s">
        <v>123</v>
      </c>
      <c r="G26" s="1" t="s">
        <v>54</v>
      </c>
      <c r="H26" s="1" t="s">
        <v>47</v>
      </c>
      <c r="I26" s="1">
        <v>766</v>
      </c>
      <c r="J26" s="1">
        <v>21382</v>
      </c>
      <c r="K26" s="1">
        <v>1</v>
      </c>
      <c r="L26" s="1">
        <v>88</v>
      </c>
      <c r="M26" s="1">
        <v>2299</v>
      </c>
      <c r="N26" s="1" t="s">
        <v>48</v>
      </c>
      <c r="O26" s="1">
        <v>195174</v>
      </c>
      <c r="P26" s="1">
        <v>95</v>
      </c>
      <c r="Q26" s="1" t="s">
        <v>127</v>
      </c>
      <c r="R26" s="1" t="s">
        <v>50</v>
      </c>
      <c r="S26" s="1">
        <v>0</v>
      </c>
      <c r="T26" s="1">
        <v>0</v>
      </c>
      <c r="U26" s="1">
        <v>202.34399999999999</v>
      </c>
      <c r="V26" s="1">
        <v>21.012</v>
      </c>
      <c r="W26" s="1">
        <v>1.72</v>
      </c>
      <c r="X26" s="1">
        <v>4.5620000000000003</v>
      </c>
      <c r="Y26" s="1">
        <v>25.573</v>
      </c>
      <c r="Z26" s="1">
        <v>0.52900000000000003</v>
      </c>
      <c r="AA26" s="1">
        <v>2.5</v>
      </c>
      <c r="AB26" s="1">
        <v>-2.7</v>
      </c>
      <c r="AC26" s="1">
        <v>-2.7</v>
      </c>
      <c r="AD26" s="1">
        <v>4.556</v>
      </c>
      <c r="AE26" s="1">
        <v>6.6000000000000003E-2</v>
      </c>
      <c r="AF26" s="1">
        <v>0.30299999999999999</v>
      </c>
      <c r="AG26" s="1">
        <v>2.5</v>
      </c>
      <c r="AI26" s="1">
        <v>0</v>
      </c>
      <c r="AJ26" s="1">
        <v>0</v>
      </c>
      <c r="AK26" s="1">
        <v>0</v>
      </c>
      <c r="AL26" s="1">
        <v>1</v>
      </c>
      <c r="AM26" s="1">
        <v>86400</v>
      </c>
      <c r="AN26" s="1">
        <v>81873</v>
      </c>
      <c r="AO26" s="1">
        <v>4527</v>
      </c>
      <c r="AP26" s="1">
        <v>48599</v>
      </c>
      <c r="AQ26" s="1">
        <v>21.728686360130141</v>
      </c>
    </row>
    <row r="27" spans="1:43" x14ac:dyDescent="0.45">
      <c r="A27" s="1">
        <v>81</v>
      </c>
      <c r="B27" s="1">
        <v>95</v>
      </c>
      <c r="C27" s="1">
        <v>117</v>
      </c>
      <c r="D27" s="1" t="s">
        <v>112</v>
      </c>
      <c r="E27" s="1" t="s">
        <v>113</v>
      </c>
      <c r="F27" s="1" t="s">
        <v>114</v>
      </c>
      <c r="G27" s="1" t="s">
        <v>54</v>
      </c>
      <c r="H27" s="1" t="s">
        <v>47</v>
      </c>
      <c r="I27" s="1">
        <v>948</v>
      </c>
      <c r="J27" s="1">
        <v>50781</v>
      </c>
      <c r="K27" s="1">
        <v>1</v>
      </c>
      <c r="L27" s="1">
        <v>116</v>
      </c>
      <c r="M27" s="1">
        <v>2343</v>
      </c>
      <c r="N27" s="1" t="s">
        <v>48</v>
      </c>
      <c r="O27" s="1">
        <v>195298</v>
      </c>
      <c r="P27" s="1">
        <v>95</v>
      </c>
      <c r="Q27" s="1" t="s">
        <v>127</v>
      </c>
      <c r="R27" s="1" t="s">
        <v>50</v>
      </c>
      <c r="S27" s="1">
        <v>0</v>
      </c>
      <c r="T27" s="1">
        <v>0</v>
      </c>
      <c r="U27" s="1">
        <v>69.653000000000006</v>
      </c>
      <c r="V27" s="1">
        <v>21.009</v>
      </c>
      <c r="W27" s="1">
        <v>1.71</v>
      </c>
      <c r="X27" s="1">
        <v>4.5599999999999996</v>
      </c>
      <c r="Y27" s="1">
        <v>25.57</v>
      </c>
      <c r="Z27" s="1">
        <v>0.32600000000000001</v>
      </c>
      <c r="AA27" s="1">
        <v>2.4</v>
      </c>
      <c r="AB27" s="1">
        <v>-1</v>
      </c>
      <c r="AC27" s="1">
        <v>-1</v>
      </c>
      <c r="AD27" s="1">
        <v>4.5599999999999996</v>
      </c>
      <c r="AE27" s="1">
        <v>3.4000000000000002E-2</v>
      </c>
      <c r="AF27" s="1">
        <v>0.154</v>
      </c>
      <c r="AI27" s="1">
        <v>0</v>
      </c>
      <c r="AJ27" s="1">
        <v>0</v>
      </c>
      <c r="AK27" s="1">
        <v>0</v>
      </c>
      <c r="AL27" s="1">
        <v>1</v>
      </c>
      <c r="AM27" s="1">
        <v>86400</v>
      </c>
      <c r="AN27" s="1">
        <v>77189</v>
      </c>
      <c r="AO27" s="1">
        <v>9211</v>
      </c>
      <c r="AP27" s="1">
        <v>48913</v>
      </c>
      <c r="AQ27" s="1">
        <v>1.3019755942637019</v>
      </c>
    </row>
    <row r="28" spans="1:43" x14ac:dyDescent="0.45">
      <c r="A28" s="1">
        <v>207</v>
      </c>
      <c r="B28" s="1">
        <v>170</v>
      </c>
      <c r="C28" s="1">
        <v>89</v>
      </c>
      <c r="D28" s="1" t="s">
        <v>121</v>
      </c>
      <c r="E28" s="1" t="s">
        <v>122</v>
      </c>
      <c r="F28" s="1" t="s">
        <v>123</v>
      </c>
      <c r="G28" s="1" t="s">
        <v>54</v>
      </c>
      <c r="H28" s="1" t="s">
        <v>47</v>
      </c>
      <c r="I28" s="1">
        <v>766</v>
      </c>
      <c r="J28" s="1">
        <v>21382</v>
      </c>
      <c r="K28" s="1">
        <v>1</v>
      </c>
      <c r="L28" s="1">
        <v>88</v>
      </c>
      <c r="M28" s="1">
        <v>2298</v>
      </c>
      <c r="N28" s="1" t="s">
        <v>48</v>
      </c>
      <c r="O28" s="1">
        <v>195173</v>
      </c>
      <c r="P28" s="1">
        <v>95</v>
      </c>
      <c r="Q28" s="1" t="s">
        <v>127</v>
      </c>
      <c r="R28" s="1" t="s">
        <v>50</v>
      </c>
      <c r="S28" s="1">
        <v>0</v>
      </c>
      <c r="T28" s="1">
        <v>0</v>
      </c>
      <c r="U28" s="1">
        <v>154.75700000000001</v>
      </c>
      <c r="V28" s="1">
        <v>21.016999999999999</v>
      </c>
      <c r="W28" s="1">
        <v>1.72</v>
      </c>
      <c r="X28" s="1">
        <v>4.5579999999999998</v>
      </c>
      <c r="Y28" s="1">
        <v>25.576000000000001</v>
      </c>
      <c r="Z28" s="1">
        <v>0.28999999999999998</v>
      </c>
      <c r="AA28" s="1">
        <v>-1.2</v>
      </c>
      <c r="AB28" s="1">
        <v>-2.1</v>
      </c>
      <c r="AC28" s="1">
        <v>-2.1</v>
      </c>
      <c r="AD28" s="1">
        <v>4.5529999999999999</v>
      </c>
      <c r="AE28" s="1">
        <v>5.8000000000000003E-2</v>
      </c>
      <c r="AF28" s="1">
        <v>0.26500000000000001</v>
      </c>
      <c r="AG28" s="1">
        <v>-1.2</v>
      </c>
      <c r="AI28" s="1">
        <v>0</v>
      </c>
      <c r="AJ28" s="1">
        <v>0</v>
      </c>
      <c r="AK28" s="1">
        <v>0</v>
      </c>
      <c r="AL28" s="1">
        <v>1</v>
      </c>
      <c r="AM28" s="1">
        <v>86400</v>
      </c>
      <c r="AN28" s="1">
        <v>81730</v>
      </c>
      <c r="AO28" s="1">
        <v>4670</v>
      </c>
      <c r="AP28" s="1">
        <v>48801</v>
      </c>
      <c r="AQ28" s="1">
        <v>9.1612240139907583E-2</v>
      </c>
    </row>
    <row r="29" spans="1:43" x14ac:dyDescent="0.45">
      <c r="A29" s="1">
        <v>136</v>
      </c>
      <c r="B29" s="1">
        <v>128</v>
      </c>
      <c r="C29" s="1">
        <v>88</v>
      </c>
      <c r="D29" s="1" t="s">
        <v>115</v>
      </c>
      <c r="E29" s="1" t="s">
        <v>116</v>
      </c>
      <c r="F29" s="1" t="s">
        <v>117</v>
      </c>
      <c r="G29" s="1" t="s">
        <v>54</v>
      </c>
      <c r="H29" s="1" t="s">
        <v>47</v>
      </c>
      <c r="I29" s="1">
        <v>830</v>
      </c>
      <c r="J29" s="1">
        <v>39746</v>
      </c>
      <c r="K29" s="1">
        <v>1</v>
      </c>
      <c r="L29" s="1">
        <v>87</v>
      </c>
      <c r="M29" s="1">
        <v>2331</v>
      </c>
      <c r="N29" s="1" t="s">
        <v>48</v>
      </c>
      <c r="O29" s="1">
        <v>195270</v>
      </c>
      <c r="P29" s="1">
        <v>95</v>
      </c>
      <c r="Q29" s="1" t="s">
        <v>127</v>
      </c>
      <c r="R29" s="1" t="s">
        <v>50</v>
      </c>
      <c r="S29" s="1">
        <v>0</v>
      </c>
      <c r="T29" s="1">
        <v>0</v>
      </c>
      <c r="U29" s="1">
        <v>69.132000000000005</v>
      </c>
      <c r="V29" s="1">
        <v>21.013999999999999</v>
      </c>
      <c r="W29" s="1">
        <v>1.71</v>
      </c>
      <c r="X29" s="1">
        <v>4.5570000000000004</v>
      </c>
      <c r="Y29" s="1">
        <v>25.571000000000002</v>
      </c>
      <c r="Z29" s="1">
        <v>6.5000000000000002E-2</v>
      </c>
      <c r="AA29" s="1">
        <v>1.7</v>
      </c>
      <c r="AB29" s="1">
        <v>-0.9</v>
      </c>
      <c r="AC29" s="1">
        <v>-0.9</v>
      </c>
      <c r="AD29" s="1">
        <v>4.5570000000000004</v>
      </c>
      <c r="AE29" s="1">
        <v>4.5999999999999999E-2</v>
      </c>
      <c r="AF29" s="1">
        <v>0.20899999999999999</v>
      </c>
      <c r="AG29" s="1">
        <v>1.7</v>
      </c>
      <c r="AI29" s="1">
        <v>0</v>
      </c>
      <c r="AJ29" s="1">
        <v>0</v>
      </c>
      <c r="AK29" s="1">
        <v>0</v>
      </c>
      <c r="AL29" s="1">
        <v>1</v>
      </c>
      <c r="AM29" s="1">
        <v>86400</v>
      </c>
      <c r="AN29" s="1">
        <v>77098</v>
      </c>
      <c r="AO29" s="1">
        <v>9302</v>
      </c>
      <c r="AP29" s="1">
        <v>48978</v>
      </c>
      <c r="AQ29" s="1">
        <v>1.392836945343001</v>
      </c>
    </row>
    <row r="30" spans="1:43" x14ac:dyDescent="0.45">
      <c r="A30" s="1">
        <v>80</v>
      </c>
      <c r="B30" s="1">
        <v>95</v>
      </c>
      <c r="C30" s="1">
        <v>117</v>
      </c>
      <c r="D30" s="1" t="s">
        <v>112</v>
      </c>
      <c r="E30" s="1" t="s">
        <v>113</v>
      </c>
      <c r="F30" s="1" t="s">
        <v>114</v>
      </c>
      <c r="G30" s="1" t="s">
        <v>54</v>
      </c>
      <c r="H30" s="1" t="s">
        <v>47</v>
      </c>
      <c r="I30" s="1">
        <v>948</v>
      </c>
      <c r="J30" s="1">
        <v>50781</v>
      </c>
      <c r="K30" s="1">
        <v>1</v>
      </c>
      <c r="L30" s="1">
        <v>116</v>
      </c>
      <c r="M30" s="1">
        <v>2342</v>
      </c>
      <c r="N30" s="1" t="s">
        <v>48</v>
      </c>
      <c r="O30" s="1">
        <v>195297</v>
      </c>
      <c r="P30" s="1">
        <v>95</v>
      </c>
      <c r="Q30" s="1" t="s">
        <v>127</v>
      </c>
      <c r="R30" s="1" t="s">
        <v>50</v>
      </c>
      <c r="S30" s="1">
        <v>0</v>
      </c>
      <c r="T30" s="1">
        <v>0</v>
      </c>
      <c r="U30" s="1">
        <v>57.128999999999998</v>
      </c>
      <c r="V30" s="1">
        <v>21.033000000000001</v>
      </c>
      <c r="W30" s="1">
        <v>1.71</v>
      </c>
      <c r="X30" s="1">
        <v>4.5380000000000003</v>
      </c>
      <c r="Y30" s="1">
        <v>25.571000000000002</v>
      </c>
      <c r="Z30" s="1">
        <v>0.17399999999999999</v>
      </c>
      <c r="AA30" s="1">
        <v>2.4</v>
      </c>
      <c r="AB30" s="1">
        <v>-1.3</v>
      </c>
      <c r="AC30" s="1">
        <v>-1.3</v>
      </c>
      <c r="AD30" s="1">
        <v>4.5380000000000003</v>
      </c>
      <c r="AE30" s="1">
        <v>0.05</v>
      </c>
      <c r="AF30" s="1">
        <v>0.22500000000000001</v>
      </c>
      <c r="AI30" s="1">
        <v>0</v>
      </c>
      <c r="AJ30" s="1">
        <v>0</v>
      </c>
      <c r="AK30" s="1">
        <v>0</v>
      </c>
      <c r="AL30" s="1">
        <v>1</v>
      </c>
      <c r="AM30" s="1">
        <v>86400</v>
      </c>
      <c r="AN30" s="1">
        <v>77008</v>
      </c>
      <c r="AO30" s="1">
        <v>9392</v>
      </c>
      <c r="AP30" s="1">
        <v>48681</v>
      </c>
      <c r="AQ30" s="1">
        <v>4.8008961758897906</v>
      </c>
    </row>
    <row r="31" spans="1:43" x14ac:dyDescent="0.45">
      <c r="A31" s="1">
        <v>204</v>
      </c>
      <c r="B31" s="1">
        <v>170</v>
      </c>
      <c r="C31" s="1">
        <v>89</v>
      </c>
      <c r="D31" s="1" t="s">
        <v>121</v>
      </c>
      <c r="E31" s="1" t="s">
        <v>122</v>
      </c>
      <c r="F31" s="1" t="s">
        <v>123</v>
      </c>
      <c r="G31" s="1" t="s">
        <v>54</v>
      </c>
      <c r="H31" s="1" t="s">
        <v>47</v>
      </c>
      <c r="I31" s="1">
        <v>766</v>
      </c>
      <c r="J31" s="1">
        <v>21382</v>
      </c>
      <c r="K31" s="1">
        <v>1</v>
      </c>
      <c r="L31" s="1">
        <v>88</v>
      </c>
      <c r="M31" s="1">
        <v>2293</v>
      </c>
      <c r="N31" s="1" t="s">
        <v>48</v>
      </c>
      <c r="O31" s="1">
        <v>195168</v>
      </c>
      <c r="P31" s="1">
        <v>95</v>
      </c>
      <c r="Q31" s="1" t="s">
        <v>127</v>
      </c>
      <c r="R31" s="1" t="s">
        <v>50</v>
      </c>
      <c r="S31" s="1">
        <v>0</v>
      </c>
      <c r="T31" s="1">
        <v>0</v>
      </c>
      <c r="U31" s="1">
        <v>136.03899999999999</v>
      </c>
      <c r="V31" s="1">
        <v>21.044</v>
      </c>
      <c r="W31" s="1">
        <v>1.7</v>
      </c>
      <c r="X31" s="1">
        <v>4.53</v>
      </c>
      <c r="Y31" s="1">
        <v>25.574000000000002</v>
      </c>
      <c r="Z31" s="1">
        <v>0.36399999999999999</v>
      </c>
      <c r="AA31" s="1">
        <v>0.4</v>
      </c>
      <c r="AB31" s="1">
        <v>-2.7</v>
      </c>
      <c r="AC31" s="1">
        <v>-2.5</v>
      </c>
      <c r="AD31" s="1">
        <v>4.5279999999999996</v>
      </c>
      <c r="AE31" s="1">
        <v>2.1000000000000001E-2</v>
      </c>
      <c r="AF31" s="1">
        <v>0.28399999999999997</v>
      </c>
      <c r="AG31" s="1">
        <v>0.4</v>
      </c>
      <c r="AI31" s="1">
        <v>0</v>
      </c>
      <c r="AJ31" s="1">
        <v>0</v>
      </c>
      <c r="AK31" s="1">
        <v>0</v>
      </c>
      <c r="AL31" s="1">
        <v>1</v>
      </c>
      <c r="AM31" s="1">
        <v>86400</v>
      </c>
      <c r="AN31" s="1">
        <v>76866</v>
      </c>
      <c r="AO31" s="1">
        <v>9534</v>
      </c>
      <c r="AP31" s="1">
        <v>49344</v>
      </c>
      <c r="AQ31" s="1">
        <v>21.579620393168941</v>
      </c>
    </row>
    <row r="32" spans="1:43" x14ac:dyDescent="0.45">
      <c r="A32" s="1">
        <v>141</v>
      </c>
      <c r="B32" s="1">
        <v>128</v>
      </c>
      <c r="C32" s="1">
        <v>88</v>
      </c>
      <c r="D32" s="1" t="s">
        <v>115</v>
      </c>
      <c r="E32" s="1" t="s">
        <v>116</v>
      </c>
      <c r="F32" s="1" t="s">
        <v>117</v>
      </c>
      <c r="G32" s="1" t="s">
        <v>54</v>
      </c>
      <c r="H32" s="1" t="s">
        <v>47</v>
      </c>
      <c r="I32" s="1">
        <v>830</v>
      </c>
      <c r="J32" s="1">
        <v>39746</v>
      </c>
      <c r="K32" s="1">
        <v>1</v>
      </c>
      <c r="L32" s="1">
        <v>87</v>
      </c>
      <c r="M32" s="1">
        <v>2348</v>
      </c>
      <c r="N32" s="1" t="s">
        <v>48</v>
      </c>
      <c r="O32" s="1">
        <v>195303</v>
      </c>
      <c r="P32" s="1">
        <v>95</v>
      </c>
      <c r="Q32" s="1" t="s">
        <v>127</v>
      </c>
      <c r="R32" s="1" t="s">
        <v>50</v>
      </c>
      <c r="S32" s="1">
        <v>0</v>
      </c>
      <c r="T32" s="1">
        <v>0</v>
      </c>
      <c r="U32" s="1">
        <v>59.354999999999997</v>
      </c>
      <c r="V32" s="1">
        <v>21.082000000000001</v>
      </c>
      <c r="W32" s="1">
        <v>1.71</v>
      </c>
      <c r="X32" s="1">
        <v>4.4880000000000004</v>
      </c>
      <c r="Y32" s="1">
        <v>25.57</v>
      </c>
      <c r="Z32" s="1">
        <v>8.2000000000000003E-2</v>
      </c>
      <c r="AA32" s="1">
        <v>1.8</v>
      </c>
      <c r="AB32" s="1">
        <v>-1.4</v>
      </c>
      <c r="AC32" s="1">
        <v>-1.4</v>
      </c>
      <c r="AD32" s="1">
        <v>4.4880000000000004</v>
      </c>
      <c r="AE32" s="1">
        <v>5.2999999999999999E-2</v>
      </c>
      <c r="AF32" s="1">
        <v>0.23699999999999999</v>
      </c>
      <c r="AG32" s="1">
        <v>1.8</v>
      </c>
      <c r="AI32" s="1">
        <v>0</v>
      </c>
      <c r="AJ32" s="1">
        <v>0</v>
      </c>
      <c r="AK32" s="1">
        <v>0</v>
      </c>
      <c r="AL32" s="1">
        <v>1</v>
      </c>
      <c r="AM32" s="1">
        <v>86400</v>
      </c>
      <c r="AN32" s="1">
        <v>81633</v>
      </c>
      <c r="AO32" s="1">
        <v>4767</v>
      </c>
      <c r="AP32" s="1">
        <v>48951</v>
      </c>
      <c r="AQ32" s="1">
        <v>0.78619780940348905</v>
      </c>
    </row>
    <row r="33" spans="1:43" x14ac:dyDescent="0.45">
      <c r="A33" s="1">
        <v>203</v>
      </c>
      <c r="B33" s="1">
        <v>170</v>
      </c>
      <c r="C33" s="1">
        <v>89</v>
      </c>
      <c r="D33" s="1" t="s">
        <v>121</v>
      </c>
      <c r="E33" s="1" t="s">
        <v>122</v>
      </c>
      <c r="F33" s="1" t="s">
        <v>123</v>
      </c>
      <c r="G33" s="1" t="s">
        <v>54</v>
      </c>
      <c r="H33" s="1" t="s">
        <v>47</v>
      </c>
      <c r="I33" s="1">
        <v>766</v>
      </c>
      <c r="J33" s="1">
        <v>21382</v>
      </c>
      <c r="K33" s="1">
        <v>1</v>
      </c>
      <c r="L33" s="1">
        <v>88</v>
      </c>
      <c r="M33" s="1">
        <v>2292</v>
      </c>
      <c r="N33" s="1" t="s">
        <v>48</v>
      </c>
      <c r="O33" s="1">
        <v>195165</v>
      </c>
      <c r="P33" s="1">
        <v>95</v>
      </c>
      <c r="Q33" s="1" t="s">
        <v>127</v>
      </c>
      <c r="R33" s="1" t="s">
        <v>50</v>
      </c>
      <c r="S33" s="1">
        <v>0</v>
      </c>
      <c r="T33" s="1">
        <v>0</v>
      </c>
      <c r="U33" s="1">
        <v>82.712999999999994</v>
      </c>
      <c r="V33" s="1">
        <v>21.097999999999999</v>
      </c>
      <c r="W33" s="1">
        <v>1.71</v>
      </c>
      <c r="X33" s="1">
        <v>4.4800000000000004</v>
      </c>
      <c r="Y33" s="1">
        <v>25.577999999999999</v>
      </c>
      <c r="Z33" s="1">
        <v>0.625</v>
      </c>
      <c r="AA33" s="1">
        <v>1.5</v>
      </c>
      <c r="AB33" s="1">
        <v>2.7</v>
      </c>
      <c r="AC33" s="1">
        <v>2.6</v>
      </c>
      <c r="AD33" s="1">
        <v>4.4640000000000004</v>
      </c>
      <c r="AE33" s="1">
        <v>6.3E-2</v>
      </c>
      <c r="AF33" s="1">
        <v>0.28499999999999998</v>
      </c>
      <c r="AI33" s="1">
        <v>0</v>
      </c>
      <c r="AJ33" s="1">
        <v>0</v>
      </c>
      <c r="AK33" s="1">
        <v>0</v>
      </c>
      <c r="AL33" s="1">
        <v>1</v>
      </c>
      <c r="AM33" s="1">
        <v>86400</v>
      </c>
      <c r="AN33" s="1">
        <v>75415</v>
      </c>
      <c r="AO33" s="1">
        <v>10944</v>
      </c>
      <c r="AP33" s="1">
        <v>48601</v>
      </c>
      <c r="AQ33" s="1">
        <v>6.6330805374352551</v>
      </c>
    </row>
    <row r="34" spans="1:43" x14ac:dyDescent="0.45">
      <c r="A34" s="1">
        <v>144</v>
      </c>
      <c r="B34" s="1">
        <v>128</v>
      </c>
      <c r="C34" s="1">
        <v>88</v>
      </c>
      <c r="D34" s="1" t="s">
        <v>115</v>
      </c>
      <c r="E34" s="1" t="s">
        <v>116</v>
      </c>
      <c r="F34" s="1" t="s">
        <v>117</v>
      </c>
      <c r="G34" s="1" t="s">
        <v>54</v>
      </c>
      <c r="H34" s="1" t="s">
        <v>47</v>
      </c>
      <c r="I34" s="1">
        <v>830</v>
      </c>
      <c r="J34" s="1">
        <v>39746</v>
      </c>
      <c r="K34" s="1">
        <v>1</v>
      </c>
      <c r="L34" s="1">
        <v>87</v>
      </c>
      <c r="M34" s="1">
        <v>2351</v>
      </c>
      <c r="N34" s="1" t="s">
        <v>48</v>
      </c>
      <c r="O34" s="1">
        <v>195309</v>
      </c>
      <c r="P34" s="1">
        <v>95</v>
      </c>
      <c r="Q34" s="1" t="s">
        <v>127</v>
      </c>
      <c r="R34" s="1" t="s">
        <v>50</v>
      </c>
      <c r="S34" s="1">
        <v>0</v>
      </c>
      <c r="T34" s="1">
        <v>0</v>
      </c>
      <c r="U34" s="1">
        <v>66.171999999999997</v>
      </c>
      <c r="V34" s="1">
        <v>21.103999999999999</v>
      </c>
      <c r="W34" s="1">
        <v>1.7</v>
      </c>
      <c r="X34" s="1">
        <v>4.4660000000000002</v>
      </c>
      <c r="Y34" s="1">
        <v>25.57</v>
      </c>
      <c r="Z34" s="1">
        <v>7.4999999999999997E-2</v>
      </c>
      <c r="AA34" s="1">
        <v>2</v>
      </c>
      <c r="AB34" s="1">
        <v>-1.1000000000000001</v>
      </c>
      <c r="AC34" s="1">
        <v>-1.1000000000000001</v>
      </c>
      <c r="AD34" s="1">
        <v>4.4660000000000002</v>
      </c>
      <c r="AE34" s="1">
        <v>4.8000000000000001E-2</v>
      </c>
      <c r="AF34" s="1">
        <v>0.216</v>
      </c>
      <c r="AG34" s="1">
        <v>2</v>
      </c>
      <c r="AI34" s="1">
        <v>0</v>
      </c>
      <c r="AJ34" s="1">
        <v>0</v>
      </c>
      <c r="AK34" s="1">
        <v>0</v>
      </c>
      <c r="AL34" s="1">
        <v>1</v>
      </c>
      <c r="AM34" s="1">
        <v>86400</v>
      </c>
      <c r="AN34" s="1">
        <v>81450</v>
      </c>
      <c r="AO34" s="1">
        <v>4950</v>
      </c>
      <c r="AP34" s="1">
        <v>48637</v>
      </c>
      <c r="AQ34" s="1">
        <v>2.0028434179116399</v>
      </c>
    </row>
    <row r="35" spans="1:43" x14ac:dyDescent="0.45">
      <c r="A35" s="1">
        <v>202</v>
      </c>
      <c r="B35" s="1">
        <v>170</v>
      </c>
      <c r="C35" s="1">
        <v>89</v>
      </c>
      <c r="D35" s="1" t="s">
        <v>121</v>
      </c>
      <c r="E35" s="1" t="s">
        <v>122</v>
      </c>
      <c r="F35" s="1" t="s">
        <v>123</v>
      </c>
      <c r="G35" s="1" t="s">
        <v>54</v>
      </c>
      <c r="H35" s="1" t="s">
        <v>47</v>
      </c>
      <c r="I35" s="1">
        <v>766</v>
      </c>
      <c r="J35" s="1">
        <v>21382</v>
      </c>
      <c r="K35" s="1">
        <v>1</v>
      </c>
      <c r="L35" s="1">
        <v>88</v>
      </c>
      <c r="M35" s="1">
        <v>2290</v>
      </c>
      <c r="N35" s="1" t="s">
        <v>48</v>
      </c>
      <c r="O35" s="1">
        <v>195163</v>
      </c>
      <c r="P35" s="1">
        <v>95</v>
      </c>
      <c r="Q35" s="1" t="s">
        <v>127</v>
      </c>
      <c r="R35" s="1" t="s">
        <v>50</v>
      </c>
      <c r="S35" s="1">
        <v>0</v>
      </c>
      <c r="T35" s="1">
        <v>0</v>
      </c>
      <c r="U35" s="1">
        <v>77.653000000000006</v>
      </c>
      <c r="V35" s="1">
        <v>21.117000000000001</v>
      </c>
      <c r="W35" s="1">
        <v>1.7</v>
      </c>
      <c r="X35" s="1">
        <v>4.4589999999999996</v>
      </c>
      <c r="Y35" s="1">
        <v>25.577000000000002</v>
      </c>
      <c r="Z35" s="1">
        <v>0.38700000000000001</v>
      </c>
      <c r="AA35" s="1">
        <v>1.7</v>
      </c>
      <c r="AB35" s="1">
        <v>-1.3</v>
      </c>
      <c r="AC35" s="1">
        <v>-1.3</v>
      </c>
      <c r="AD35" s="1">
        <v>4.4580000000000002</v>
      </c>
      <c r="AE35" s="1">
        <v>5.6000000000000001E-2</v>
      </c>
      <c r="AF35" s="1">
        <v>0.25</v>
      </c>
      <c r="AG35" s="1">
        <v>1.7</v>
      </c>
      <c r="AI35" s="1">
        <v>0</v>
      </c>
      <c r="AJ35" s="1">
        <v>0</v>
      </c>
      <c r="AK35" s="1">
        <v>0</v>
      </c>
      <c r="AL35" s="1">
        <v>1</v>
      </c>
      <c r="AM35" s="1">
        <v>84977</v>
      </c>
      <c r="AN35" s="1">
        <v>72188</v>
      </c>
      <c r="AO35" s="1">
        <v>12545</v>
      </c>
      <c r="AP35" s="1">
        <v>48602</v>
      </c>
      <c r="AQ35" s="1">
        <v>7.1683937504640411</v>
      </c>
    </row>
    <row r="36" spans="1:43" x14ac:dyDescent="0.45">
      <c r="A36" s="1">
        <v>134</v>
      </c>
      <c r="B36" s="1">
        <v>128</v>
      </c>
      <c r="C36" s="1">
        <v>88</v>
      </c>
      <c r="D36" s="1" t="s">
        <v>115</v>
      </c>
      <c r="E36" s="1" t="s">
        <v>116</v>
      </c>
      <c r="F36" s="1" t="s">
        <v>117</v>
      </c>
      <c r="G36" s="1" t="s">
        <v>54</v>
      </c>
      <c r="H36" s="1" t="s">
        <v>47</v>
      </c>
      <c r="I36" s="1">
        <v>830</v>
      </c>
      <c r="J36" s="1">
        <v>39746</v>
      </c>
      <c r="K36" s="1">
        <v>1</v>
      </c>
      <c r="L36" s="1">
        <v>87</v>
      </c>
      <c r="M36" s="1">
        <v>2324</v>
      </c>
      <c r="N36" s="1" t="s">
        <v>48</v>
      </c>
      <c r="O36" s="1">
        <v>195261</v>
      </c>
      <c r="P36" s="1">
        <v>95</v>
      </c>
      <c r="Q36" s="1" t="s">
        <v>127</v>
      </c>
      <c r="R36" s="1" t="s">
        <v>50</v>
      </c>
      <c r="S36" s="1">
        <v>0</v>
      </c>
      <c r="T36" s="1">
        <v>0</v>
      </c>
      <c r="U36" s="1">
        <v>153.06899999999999</v>
      </c>
      <c r="V36" s="1">
        <v>21.137</v>
      </c>
      <c r="W36" s="1">
        <v>1.7</v>
      </c>
      <c r="X36" s="1">
        <v>4.4329999999999998</v>
      </c>
      <c r="Y36" s="1">
        <v>25.57</v>
      </c>
      <c r="Z36" s="1">
        <v>8.4000000000000005E-2</v>
      </c>
      <c r="AA36" s="1">
        <v>2.2999999999999998</v>
      </c>
      <c r="AB36" s="1">
        <v>-1.2</v>
      </c>
      <c r="AC36" s="1">
        <v>-1.2</v>
      </c>
      <c r="AD36" s="1">
        <v>4.4329999999999998</v>
      </c>
      <c r="AE36" s="1">
        <v>6.0999999999999999E-2</v>
      </c>
      <c r="AF36" s="1">
        <v>0.27</v>
      </c>
      <c r="AG36" s="1">
        <v>2.2999999999999998</v>
      </c>
      <c r="AI36" s="1">
        <v>0</v>
      </c>
      <c r="AJ36" s="1">
        <v>0</v>
      </c>
      <c r="AK36" s="1">
        <v>0</v>
      </c>
      <c r="AL36" s="1">
        <v>1</v>
      </c>
      <c r="AM36" s="1">
        <v>83075</v>
      </c>
      <c r="AN36" s="1">
        <v>67256</v>
      </c>
      <c r="AO36" s="1">
        <v>15819</v>
      </c>
      <c r="AP36" s="1">
        <v>48738</v>
      </c>
      <c r="AQ36" s="1">
        <v>15.89005224095512</v>
      </c>
    </row>
    <row r="37" spans="1:43" x14ac:dyDescent="0.45">
      <c r="A37" s="1">
        <v>135</v>
      </c>
      <c r="B37" s="1">
        <v>128</v>
      </c>
      <c r="C37" s="1">
        <v>88</v>
      </c>
      <c r="D37" s="1" t="s">
        <v>115</v>
      </c>
      <c r="E37" s="1" t="s">
        <v>116</v>
      </c>
      <c r="F37" s="1" t="s">
        <v>117</v>
      </c>
      <c r="G37" s="1" t="s">
        <v>54</v>
      </c>
      <c r="H37" s="1" t="s">
        <v>47</v>
      </c>
      <c r="I37" s="1">
        <v>830</v>
      </c>
      <c r="J37" s="1">
        <v>39746</v>
      </c>
      <c r="K37" s="1">
        <v>1</v>
      </c>
      <c r="L37" s="1">
        <v>87</v>
      </c>
      <c r="M37" s="1">
        <v>2325</v>
      </c>
      <c r="N37" s="1" t="s">
        <v>48</v>
      </c>
      <c r="O37" s="1">
        <v>195262</v>
      </c>
      <c r="P37" s="1">
        <v>95</v>
      </c>
      <c r="Q37" s="1" t="s">
        <v>127</v>
      </c>
      <c r="R37" s="1" t="s">
        <v>50</v>
      </c>
      <c r="S37" s="1">
        <v>0</v>
      </c>
      <c r="T37" s="1">
        <v>0</v>
      </c>
      <c r="U37" s="1">
        <v>125.68300000000001</v>
      </c>
      <c r="V37" s="1">
        <v>21.154</v>
      </c>
      <c r="W37" s="1">
        <v>1.7</v>
      </c>
      <c r="X37" s="1">
        <v>4.4169999999999998</v>
      </c>
      <c r="Y37" s="1">
        <v>25.571000000000002</v>
      </c>
      <c r="Z37" s="1">
        <v>0.104</v>
      </c>
      <c r="AA37" s="1">
        <v>2.2000000000000002</v>
      </c>
      <c r="AB37" s="1">
        <v>-1.2</v>
      </c>
      <c r="AC37" s="1">
        <v>-1.2</v>
      </c>
      <c r="AD37" s="1">
        <v>4.4169999999999998</v>
      </c>
      <c r="AE37" s="1">
        <v>0.06</v>
      </c>
      <c r="AF37" s="1">
        <v>0.26500000000000001</v>
      </c>
      <c r="AG37" s="1">
        <v>2.2000000000000002</v>
      </c>
      <c r="AI37" s="1">
        <v>0</v>
      </c>
      <c r="AJ37" s="1">
        <v>0</v>
      </c>
      <c r="AK37" s="1">
        <v>0</v>
      </c>
      <c r="AL37" s="1">
        <v>1</v>
      </c>
      <c r="AM37" s="1">
        <v>78160</v>
      </c>
      <c r="AN37" s="1">
        <v>55733</v>
      </c>
      <c r="AO37" s="1">
        <v>22427</v>
      </c>
      <c r="AP37" s="1">
        <v>48739</v>
      </c>
      <c r="AQ37" s="1">
        <v>1.520562052601047</v>
      </c>
    </row>
    <row r="38" spans="1:43" x14ac:dyDescent="0.45">
      <c r="A38" s="1">
        <v>140</v>
      </c>
      <c r="B38" s="1">
        <v>128</v>
      </c>
      <c r="C38" s="1">
        <v>88</v>
      </c>
      <c r="D38" s="1" t="s">
        <v>115</v>
      </c>
      <c r="E38" s="1" t="s">
        <v>116</v>
      </c>
      <c r="F38" s="1" t="s">
        <v>117</v>
      </c>
      <c r="G38" s="1" t="s">
        <v>54</v>
      </c>
      <c r="H38" s="1" t="s">
        <v>47</v>
      </c>
      <c r="I38" s="1">
        <v>830</v>
      </c>
      <c r="J38" s="1">
        <v>39746</v>
      </c>
      <c r="K38" s="1">
        <v>1</v>
      </c>
      <c r="L38" s="1">
        <v>87</v>
      </c>
      <c r="M38" s="1">
        <v>2347</v>
      </c>
      <c r="N38" s="1" t="s">
        <v>48</v>
      </c>
      <c r="O38" s="1">
        <v>195302</v>
      </c>
      <c r="P38" s="1">
        <v>95</v>
      </c>
      <c r="Q38" s="1" t="s">
        <v>127</v>
      </c>
      <c r="R38" s="1" t="s">
        <v>50</v>
      </c>
      <c r="S38" s="1">
        <v>0</v>
      </c>
      <c r="T38" s="1">
        <v>0</v>
      </c>
      <c r="U38" s="1">
        <v>78.664000000000001</v>
      </c>
      <c r="V38" s="1">
        <v>21.154</v>
      </c>
      <c r="W38" s="1">
        <v>1.7</v>
      </c>
      <c r="X38" s="1">
        <v>4.4160000000000004</v>
      </c>
      <c r="Y38" s="1">
        <v>25.57</v>
      </c>
      <c r="Z38" s="1">
        <v>0.23699999999999999</v>
      </c>
      <c r="AA38" s="1">
        <v>2.5</v>
      </c>
      <c r="AB38" s="1">
        <v>-1.3</v>
      </c>
      <c r="AC38" s="1">
        <v>-1.3</v>
      </c>
      <c r="AD38" s="1">
        <v>4.4160000000000004</v>
      </c>
      <c r="AE38" s="1">
        <v>5.5E-2</v>
      </c>
      <c r="AF38" s="1">
        <v>0.24299999999999999</v>
      </c>
      <c r="AG38" s="1">
        <v>2.5</v>
      </c>
      <c r="AI38" s="1">
        <v>0</v>
      </c>
      <c r="AJ38" s="1">
        <v>0</v>
      </c>
      <c r="AK38" s="1">
        <v>0</v>
      </c>
      <c r="AL38" s="1">
        <v>1</v>
      </c>
      <c r="AM38" s="1">
        <v>78404</v>
      </c>
      <c r="AN38" s="1">
        <v>59635</v>
      </c>
      <c r="AO38" s="1">
        <v>18769</v>
      </c>
      <c r="AP38" s="1">
        <v>48980</v>
      </c>
      <c r="AQ38" s="1">
        <v>1.1310608105362661</v>
      </c>
    </row>
    <row r="39" spans="1:43" x14ac:dyDescent="0.45">
      <c r="A39" s="1">
        <v>206</v>
      </c>
      <c r="B39" s="1">
        <v>170</v>
      </c>
      <c r="C39" s="1">
        <v>89</v>
      </c>
      <c r="D39" s="1" t="s">
        <v>121</v>
      </c>
      <c r="E39" s="1" t="s">
        <v>122</v>
      </c>
      <c r="F39" s="1" t="s">
        <v>123</v>
      </c>
      <c r="G39" s="1" t="s">
        <v>54</v>
      </c>
      <c r="H39" s="1" t="s">
        <v>47</v>
      </c>
      <c r="I39" s="1">
        <v>766</v>
      </c>
      <c r="J39" s="1">
        <v>21382</v>
      </c>
      <c r="K39" s="1">
        <v>1</v>
      </c>
      <c r="L39" s="1">
        <v>88</v>
      </c>
      <c r="M39" s="1">
        <v>2295</v>
      </c>
      <c r="N39" s="1" t="s">
        <v>48</v>
      </c>
      <c r="O39" s="1">
        <v>195170</v>
      </c>
      <c r="P39" s="1">
        <v>95</v>
      </c>
      <c r="Q39" s="1" t="s">
        <v>127</v>
      </c>
      <c r="R39" s="1" t="s">
        <v>50</v>
      </c>
      <c r="S39" s="1">
        <v>0</v>
      </c>
      <c r="T39" s="1">
        <v>0</v>
      </c>
      <c r="U39" s="1">
        <v>66.691999999999993</v>
      </c>
      <c r="V39" s="1">
        <v>21.17</v>
      </c>
      <c r="W39" s="1">
        <v>1.68</v>
      </c>
      <c r="X39" s="1">
        <v>4.4039999999999999</v>
      </c>
      <c r="Y39" s="1">
        <v>25.574000000000002</v>
      </c>
      <c r="Z39" s="1">
        <v>0.24</v>
      </c>
      <c r="AA39" s="1">
        <v>0.3</v>
      </c>
      <c r="AB39" s="1">
        <v>0.1</v>
      </c>
      <c r="AC39" s="1">
        <v>0.2</v>
      </c>
      <c r="AD39" s="1">
        <v>4.3929999999999998</v>
      </c>
      <c r="AE39" s="1">
        <v>2.1999999999999999E-2</v>
      </c>
      <c r="AF39" s="1">
        <v>0.185</v>
      </c>
      <c r="AG39" s="1">
        <v>0.3</v>
      </c>
      <c r="AI39" s="1">
        <v>0</v>
      </c>
      <c r="AJ39" s="1">
        <v>0</v>
      </c>
      <c r="AK39" s="1">
        <v>0</v>
      </c>
      <c r="AL39" s="1">
        <v>1</v>
      </c>
      <c r="AM39" s="1">
        <v>77882</v>
      </c>
      <c r="AN39" s="1">
        <v>48540</v>
      </c>
      <c r="AO39" s="1">
        <v>29327</v>
      </c>
      <c r="AP39" s="1">
        <v>48601</v>
      </c>
      <c r="AQ39" s="1">
        <v>13.34484878906739</v>
      </c>
    </row>
    <row r="40" spans="1:43" x14ac:dyDescent="0.45">
      <c r="A40" s="1">
        <v>133</v>
      </c>
      <c r="B40" s="1">
        <v>128</v>
      </c>
      <c r="C40" s="1">
        <v>88</v>
      </c>
      <c r="D40" s="1" t="s">
        <v>115</v>
      </c>
      <c r="E40" s="1" t="s">
        <v>116</v>
      </c>
      <c r="F40" s="1" t="s">
        <v>117</v>
      </c>
      <c r="G40" s="1" t="s">
        <v>54</v>
      </c>
      <c r="H40" s="1" t="s">
        <v>47</v>
      </c>
      <c r="I40" s="1">
        <v>830</v>
      </c>
      <c r="J40" s="1">
        <v>39746</v>
      </c>
      <c r="K40" s="1">
        <v>1</v>
      </c>
      <c r="L40" s="1">
        <v>87</v>
      </c>
      <c r="M40" s="1">
        <v>2321</v>
      </c>
      <c r="N40" s="1" t="s">
        <v>48</v>
      </c>
      <c r="O40" s="1">
        <v>195258</v>
      </c>
      <c r="P40" s="1">
        <v>95</v>
      </c>
      <c r="Q40" s="1" t="s">
        <v>127</v>
      </c>
      <c r="R40" s="1" t="s">
        <v>50</v>
      </c>
      <c r="S40" s="1">
        <v>0</v>
      </c>
      <c r="T40" s="1">
        <v>0</v>
      </c>
      <c r="U40" s="1">
        <v>78.058999999999997</v>
      </c>
      <c r="V40" s="1">
        <v>21.181000000000001</v>
      </c>
      <c r="W40" s="1">
        <v>1.69</v>
      </c>
      <c r="X40" s="1">
        <v>4.3899999999999997</v>
      </c>
      <c r="Y40" s="1">
        <v>25.571000000000002</v>
      </c>
      <c r="Z40" s="1">
        <v>7.0999999999999994E-2</v>
      </c>
      <c r="AA40" s="1">
        <v>2.2000000000000002</v>
      </c>
      <c r="AB40" s="1">
        <v>-1.2</v>
      </c>
      <c r="AC40" s="1">
        <v>-1.2</v>
      </c>
      <c r="AD40" s="1">
        <v>4.3899999999999997</v>
      </c>
      <c r="AE40" s="1">
        <v>6.3E-2</v>
      </c>
      <c r="AF40" s="1">
        <v>0.27700000000000002</v>
      </c>
      <c r="AG40" s="1">
        <v>2.2000000000000002</v>
      </c>
      <c r="AI40" s="1">
        <v>0</v>
      </c>
      <c r="AJ40" s="1">
        <v>0</v>
      </c>
      <c r="AK40" s="1">
        <v>0</v>
      </c>
      <c r="AL40" s="1">
        <v>1</v>
      </c>
      <c r="AM40" s="1">
        <v>77974</v>
      </c>
      <c r="AN40" s="1">
        <v>48819</v>
      </c>
      <c r="AO40" s="1">
        <v>29155</v>
      </c>
      <c r="AP40" s="1">
        <v>48803</v>
      </c>
      <c r="AQ40" s="1">
        <v>15.472366591781739</v>
      </c>
    </row>
    <row r="41" spans="1:43" x14ac:dyDescent="0.45">
      <c r="A41" s="1">
        <v>118</v>
      </c>
      <c r="B41" s="1">
        <v>128</v>
      </c>
      <c r="C41" s="1">
        <v>88</v>
      </c>
      <c r="D41" s="1" t="s">
        <v>115</v>
      </c>
      <c r="E41" s="1" t="s">
        <v>116</v>
      </c>
      <c r="F41" s="1" t="s">
        <v>117</v>
      </c>
      <c r="G41" s="1" t="s">
        <v>54</v>
      </c>
      <c r="H41" s="1" t="s">
        <v>47</v>
      </c>
      <c r="I41" s="1">
        <v>830</v>
      </c>
      <c r="J41" s="1">
        <v>39746</v>
      </c>
      <c r="K41" s="1">
        <v>1</v>
      </c>
      <c r="L41" s="1">
        <v>87</v>
      </c>
      <c r="M41" s="1">
        <v>2287</v>
      </c>
      <c r="N41" s="1" t="s">
        <v>48</v>
      </c>
      <c r="O41" s="1">
        <v>195160</v>
      </c>
      <c r="P41" s="1">
        <v>95</v>
      </c>
      <c r="Q41" s="1" t="s">
        <v>127</v>
      </c>
      <c r="R41" s="1" t="s">
        <v>50</v>
      </c>
      <c r="S41" s="1">
        <v>0</v>
      </c>
      <c r="T41" s="1">
        <v>0</v>
      </c>
      <c r="U41" s="1">
        <v>96.495000000000005</v>
      </c>
      <c r="V41" s="1">
        <v>21.187000000000001</v>
      </c>
      <c r="W41" s="1">
        <v>1.68</v>
      </c>
      <c r="X41" s="1">
        <v>4.3860000000000001</v>
      </c>
      <c r="Y41" s="1">
        <v>25.571999999999999</v>
      </c>
      <c r="Z41" s="1">
        <v>0.16400000000000001</v>
      </c>
      <c r="AA41" s="1">
        <v>0.2</v>
      </c>
      <c r="AB41" s="1">
        <v>-2.8</v>
      </c>
      <c r="AC41" s="1">
        <v>-3</v>
      </c>
      <c r="AD41" s="1">
        <v>4.383</v>
      </c>
      <c r="AE41" s="1">
        <v>3.4000000000000002E-2</v>
      </c>
      <c r="AF41" s="1">
        <v>0.156</v>
      </c>
      <c r="AG41" s="1">
        <v>0.2</v>
      </c>
      <c r="AI41" s="1">
        <v>0</v>
      </c>
      <c r="AJ41" s="1">
        <v>0</v>
      </c>
      <c r="AK41" s="1">
        <v>0</v>
      </c>
      <c r="AL41" s="1">
        <v>1</v>
      </c>
      <c r="AM41" s="1">
        <v>77752</v>
      </c>
      <c r="AN41" s="1">
        <v>45154</v>
      </c>
      <c r="AO41" s="1">
        <v>32598</v>
      </c>
      <c r="AP41" s="1">
        <v>49303</v>
      </c>
      <c r="AQ41" s="1">
        <v>2.064071779436039</v>
      </c>
    </row>
    <row r="42" spans="1:43" x14ac:dyDescent="0.45">
      <c r="A42" s="1">
        <v>143</v>
      </c>
      <c r="B42" s="1">
        <v>128</v>
      </c>
      <c r="C42" s="1">
        <v>88</v>
      </c>
      <c r="D42" s="1" t="s">
        <v>115</v>
      </c>
      <c r="E42" s="1" t="s">
        <v>116</v>
      </c>
      <c r="F42" s="1" t="s">
        <v>117</v>
      </c>
      <c r="G42" s="1" t="s">
        <v>54</v>
      </c>
      <c r="H42" s="1" t="s">
        <v>47</v>
      </c>
      <c r="I42" s="1">
        <v>830</v>
      </c>
      <c r="J42" s="1">
        <v>39746</v>
      </c>
      <c r="K42" s="1">
        <v>1</v>
      </c>
      <c r="L42" s="1">
        <v>87</v>
      </c>
      <c r="M42" s="1">
        <v>2350</v>
      </c>
      <c r="N42" s="1" t="s">
        <v>48</v>
      </c>
      <c r="O42" s="1">
        <v>195308</v>
      </c>
      <c r="P42" s="1">
        <v>95</v>
      </c>
      <c r="Q42" s="1" t="s">
        <v>127</v>
      </c>
      <c r="R42" s="1" t="s">
        <v>50</v>
      </c>
      <c r="S42" s="1">
        <v>0</v>
      </c>
      <c r="T42" s="1">
        <v>0</v>
      </c>
      <c r="U42" s="1">
        <v>95.602999999999994</v>
      </c>
      <c r="V42" s="1">
        <v>21.193000000000001</v>
      </c>
      <c r="W42" s="1">
        <v>1.69</v>
      </c>
      <c r="X42" s="1">
        <v>4.3769999999999998</v>
      </c>
      <c r="Y42" s="1">
        <v>25.57</v>
      </c>
      <c r="Z42" s="1">
        <v>0.10100000000000001</v>
      </c>
      <c r="AA42" s="1">
        <v>2</v>
      </c>
      <c r="AB42" s="1">
        <v>-1.2</v>
      </c>
      <c r="AC42" s="1">
        <v>-1.2</v>
      </c>
      <c r="AD42" s="1">
        <v>4.3769999999999998</v>
      </c>
      <c r="AE42" s="1">
        <v>5.6000000000000001E-2</v>
      </c>
      <c r="AF42" s="1">
        <v>0.24399999999999999</v>
      </c>
      <c r="AG42" s="1">
        <v>2</v>
      </c>
      <c r="AI42" s="1">
        <v>0</v>
      </c>
      <c r="AJ42" s="1">
        <v>0</v>
      </c>
      <c r="AK42" s="1">
        <v>0</v>
      </c>
      <c r="AL42" s="1">
        <v>1</v>
      </c>
      <c r="AM42" s="1">
        <v>77934</v>
      </c>
      <c r="AN42" s="1">
        <v>48540</v>
      </c>
      <c r="AO42" s="1">
        <v>29394</v>
      </c>
      <c r="AP42" s="1">
        <v>48808</v>
      </c>
      <c r="AQ42" s="1">
        <v>23.159593782099659</v>
      </c>
    </row>
    <row r="43" spans="1:43" x14ac:dyDescent="0.45">
      <c r="A43" s="1">
        <v>124</v>
      </c>
      <c r="B43" s="1">
        <v>128</v>
      </c>
      <c r="C43" s="1">
        <v>88</v>
      </c>
      <c r="D43" s="1" t="s">
        <v>115</v>
      </c>
      <c r="E43" s="1" t="s">
        <v>116</v>
      </c>
      <c r="F43" s="1" t="s">
        <v>117</v>
      </c>
      <c r="G43" s="1" t="s">
        <v>54</v>
      </c>
      <c r="H43" s="1" t="s">
        <v>47</v>
      </c>
      <c r="I43" s="1">
        <v>830</v>
      </c>
      <c r="J43" s="1">
        <v>39746</v>
      </c>
      <c r="K43" s="1">
        <v>1</v>
      </c>
      <c r="L43" s="1">
        <v>87</v>
      </c>
      <c r="M43" s="1">
        <v>2304</v>
      </c>
      <c r="N43" s="1" t="s">
        <v>48</v>
      </c>
      <c r="O43" s="1">
        <v>195188</v>
      </c>
      <c r="P43" s="1">
        <v>95</v>
      </c>
      <c r="Q43" s="1" t="s">
        <v>127</v>
      </c>
      <c r="R43" s="1" t="s">
        <v>50</v>
      </c>
      <c r="S43" s="1">
        <v>0</v>
      </c>
      <c r="T43" s="1">
        <v>0</v>
      </c>
      <c r="U43" s="1">
        <v>759.12900000000002</v>
      </c>
      <c r="V43" s="1">
        <v>21.216000000000001</v>
      </c>
      <c r="W43" s="1">
        <v>1.67</v>
      </c>
      <c r="X43" s="1">
        <v>4.3559999999999999</v>
      </c>
      <c r="Y43" s="1">
        <v>25.571000000000002</v>
      </c>
      <c r="Z43" s="1">
        <v>0.309</v>
      </c>
      <c r="AA43" s="1">
        <v>-2.9</v>
      </c>
      <c r="AB43" s="1">
        <v>-2.6</v>
      </c>
      <c r="AC43" s="1">
        <v>-2.6</v>
      </c>
      <c r="AD43" s="1">
        <v>4.3540000000000001</v>
      </c>
      <c r="AE43" s="1">
        <v>2.8000000000000001E-2</v>
      </c>
      <c r="AF43" s="1">
        <v>0.17100000000000001</v>
      </c>
      <c r="AG43" s="1">
        <v>-2.9</v>
      </c>
      <c r="AI43" s="1">
        <v>0</v>
      </c>
      <c r="AJ43" s="1">
        <v>0</v>
      </c>
      <c r="AK43" s="1">
        <v>0</v>
      </c>
      <c r="AL43" s="1">
        <v>1</v>
      </c>
      <c r="AM43" s="1">
        <v>86400</v>
      </c>
      <c r="AN43" s="1">
        <v>81714</v>
      </c>
      <c r="AO43" s="1">
        <v>4686</v>
      </c>
      <c r="AP43" s="1">
        <v>49307</v>
      </c>
      <c r="AQ43" s="1">
        <v>2.840576342070904</v>
      </c>
    </row>
    <row r="44" spans="1:43" x14ac:dyDescent="0.45">
      <c r="A44" s="1">
        <v>142</v>
      </c>
      <c r="B44" s="1">
        <v>128</v>
      </c>
      <c r="C44" s="1">
        <v>88</v>
      </c>
      <c r="D44" s="1" t="s">
        <v>115</v>
      </c>
      <c r="E44" s="1" t="s">
        <v>116</v>
      </c>
      <c r="F44" s="1" t="s">
        <v>117</v>
      </c>
      <c r="G44" s="1" t="s">
        <v>54</v>
      </c>
      <c r="H44" s="1" t="s">
        <v>47</v>
      </c>
      <c r="I44" s="1">
        <v>830</v>
      </c>
      <c r="J44" s="1">
        <v>39746</v>
      </c>
      <c r="K44" s="1">
        <v>1</v>
      </c>
      <c r="L44" s="1">
        <v>87</v>
      </c>
      <c r="M44" s="1">
        <v>2349</v>
      </c>
      <c r="N44" s="1" t="s">
        <v>48</v>
      </c>
      <c r="O44" s="1">
        <v>195304</v>
      </c>
      <c r="P44" s="1">
        <v>95</v>
      </c>
      <c r="Q44" s="1" t="s">
        <v>127</v>
      </c>
      <c r="R44" s="1" t="s">
        <v>50</v>
      </c>
      <c r="S44" s="1">
        <v>0</v>
      </c>
      <c r="T44" s="1">
        <v>0</v>
      </c>
      <c r="U44" s="1">
        <v>185.06</v>
      </c>
      <c r="V44" s="1">
        <v>21.213999999999999</v>
      </c>
      <c r="W44" s="1">
        <v>1.69</v>
      </c>
      <c r="X44" s="1">
        <v>4.3559999999999999</v>
      </c>
      <c r="Y44" s="1">
        <v>25.57</v>
      </c>
      <c r="Z44" s="1">
        <v>0.122</v>
      </c>
      <c r="AA44" s="1">
        <v>2.2000000000000002</v>
      </c>
      <c r="AB44" s="1">
        <v>-1.2</v>
      </c>
      <c r="AC44" s="1">
        <v>-1.2</v>
      </c>
      <c r="AD44" s="1">
        <v>4.3559999999999999</v>
      </c>
      <c r="AE44" s="1">
        <v>0.06</v>
      </c>
      <c r="AF44" s="1">
        <v>0.26200000000000001</v>
      </c>
      <c r="AG44" s="1">
        <v>2.2000000000000002</v>
      </c>
      <c r="AI44" s="1">
        <v>0</v>
      </c>
      <c r="AJ44" s="1">
        <v>0</v>
      </c>
      <c r="AK44" s="1">
        <v>0</v>
      </c>
      <c r="AL44" s="1">
        <v>1</v>
      </c>
      <c r="AM44" s="1">
        <v>77744</v>
      </c>
      <c r="AN44" s="1">
        <v>44953</v>
      </c>
      <c r="AO44" s="1">
        <v>32791</v>
      </c>
      <c r="AP44" s="1">
        <v>48981</v>
      </c>
      <c r="AQ44" s="1">
        <v>25.54400995282375</v>
      </c>
    </row>
    <row r="45" spans="1:43" x14ac:dyDescent="0.45">
      <c r="A45" s="1">
        <v>68</v>
      </c>
      <c r="B45" s="1">
        <v>91</v>
      </c>
      <c r="C45" s="1">
        <v>117</v>
      </c>
      <c r="D45" s="1" t="s">
        <v>112</v>
      </c>
      <c r="E45" s="1" t="s">
        <v>113</v>
      </c>
      <c r="F45" s="1" t="s">
        <v>114</v>
      </c>
      <c r="G45" s="1" t="s">
        <v>54</v>
      </c>
      <c r="H45" s="1" t="s">
        <v>47</v>
      </c>
      <c r="I45" s="1">
        <v>948</v>
      </c>
      <c r="J45" s="1">
        <v>50781</v>
      </c>
      <c r="K45" s="1">
        <v>1</v>
      </c>
      <c r="L45" s="1">
        <v>116</v>
      </c>
      <c r="M45" s="1">
        <v>2338</v>
      </c>
      <c r="N45" s="1" t="s">
        <v>48</v>
      </c>
      <c r="O45" s="1">
        <v>195291</v>
      </c>
      <c r="P45" s="1">
        <v>95</v>
      </c>
      <c r="Q45" s="1" t="s">
        <v>127</v>
      </c>
      <c r="R45" s="1" t="s">
        <v>50</v>
      </c>
      <c r="S45" s="1">
        <v>0</v>
      </c>
      <c r="T45" s="1">
        <v>0</v>
      </c>
      <c r="U45" s="1">
        <v>58.805</v>
      </c>
      <c r="V45" s="1">
        <v>21.222000000000001</v>
      </c>
      <c r="W45" s="1">
        <v>1.68</v>
      </c>
      <c r="X45" s="1">
        <v>4.3479999999999999</v>
      </c>
      <c r="Y45" s="1">
        <v>25.57</v>
      </c>
      <c r="Z45" s="1">
        <v>0.30099999999999999</v>
      </c>
      <c r="AA45" s="1">
        <v>1.5</v>
      </c>
      <c r="AB45" s="1">
        <v>-1.4</v>
      </c>
      <c r="AC45" s="1">
        <v>-1.4</v>
      </c>
      <c r="AD45" s="1">
        <v>4.3479999999999999</v>
      </c>
      <c r="AE45" s="1">
        <v>4.9000000000000002E-2</v>
      </c>
      <c r="AF45" s="1">
        <v>0.21299999999999999</v>
      </c>
      <c r="AG45" s="1">
        <v>1.5</v>
      </c>
      <c r="AI45" s="1">
        <v>0</v>
      </c>
      <c r="AJ45" s="1">
        <v>0</v>
      </c>
      <c r="AK45" s="1">
        <v>0</v>
      </c>
      <c r="AL45" s="1">
        <v>1</v>
      </c>
      <c r="AM45" s="1">
        <v>86400</v>
      </c>
      <c r="AN45" s="1">
        <v>82183</v>
      </c>
      <c r="AO45" s="1">
        <v>4217</v>
      </c>
      <c r="AP45" s="1">
        <v>48764</v>
      </c>
      <c r="AQ45" s="1">
        <v>8.8604916255296011</v>
      </c>
    </row>
    <row r="46" spans="1:43" x14ac:dyDescent="0.45">
      <c r="A46" s="1">
        <v>71</v>
      </c>
      <c r="B46" s="1">
        <v>91</v>
      </c>
      <c r="C46" s="1">
        <v>117</v>
      </c>
      <c r="D46" s="1" t="s">
        <v>112</v>
      </c>
      <c r="E46" s="1" t="s">
        <v>113</v>
      </c>
      <c r="F46" s="1" t="s">
        <v>114</v>
      </c>
      <c r="G46" s="1" t="s">
        <v>54</v>
      </c>
      <c r="H46" s="1" t="s">
        <v>47</v>
      </c>
      <c r="I46" s="1">
        <v>948</v>
      </c>
      <c r="J46" s="1">
        <v>50781</v>
      </c>
      <c r="K46" s="1">
        <v>1</v>
      </c>
      <c r="L46" s="1">
        <v>116</v>
      </c>
      <c r="M46" s="1">
        <v>2346</v>
      </c>
      <c r="N46" s="1" t="s">
        <v>48</v>
      </c>
      <c r="O46" s="1">
        <v>195301</v>
      </c>
      <c r="P46" s="1">
        <v>95</v>
      </c>
      <c r="Q46" s="1" t="s">
        <v>127</v>
      </c>
      <c r="R46" s="1" t="s">
        <v>50</v>
      </c>
      <c r="S46" s="1">
        <v>0</v>
      </c>
      <c r="T46" s="1">
        <v>0</v>
      </c>
      <c r="U46" s="1">
        <v>52.036000000000001</v>
      </c>
      <c r="V46" s="1">
        <v>21.234999999999999</v>
      </c>
      <c r="W46" s="1">
        <v>1.68</v>
      </c>
      <c r="X46" s="1">
        <v>4.335</v>
      </c>
      <c r="Y46" s="1">
        <v>25.57</v>
      </c>
      <c r="Z46" s="1">
        <v>0.28899999999999998</v>
      </c>
      <c r="AA46" s="1">
        <v>1.5</v>
      </c>
      <c r="AB46" s="1">
        <v>-1.2</v>
      </c>
      <c r="AC46" s="1">
        <v>-1.2</v>
      </c>
      <c r="AD46" s="1">
        <v>4.335</v>
      </c>
      <c r="AE46" s="1">
        <v>5.1999999999999998E-2</v>
      </c>
      <c r="AF46" s="1">
        <v>0.22700000000000001</v>
      </c>
      <c r="AI46" s="1">
        <v>0</v>
      </c>
      <c r="AJ46" s="1">
        <v>0</v>
      </c>
      <c r="AK46" s="1">
        <v>0</v>
      </c>
      <c r="AL46" s="1">
        <v>1</v>
      </c>
      <c r="AM46" s="1">
        <v>77571</v>
      </c>
      <c r="AN46" s="1">
        <v>44275</v>
      </c>
      <c r="AO46" s="1">
        <v>33296</v>
      </c>
      <c r="AP46" s="1">
        <v>48707</v>
      </c>
      <c r="AQ46" s="1">
        <v>0.4894987964643811</v>
      </c>
    </row>
    <row r="47" spans="1:43" x14ac:dyDescent="0.45">
      <c r="A47" s="1">
        <v>82</v>
      </c>
      <c r="B47" s="1">
        <v>95</v>
      </c>
      <c r="C47" s="1">
        <v>117</v>
      </c>
      <c r="D47" s="1" t="s">
        <v>112</v>
      </c>
      <c r="E47" s="1" t="s">
        <v>113</v>
      </c>
      <c r="F47" s="1" t="s">
        <v>114</v>
      </c>
      <c r="G47" s="1" t="s">
        <v>54</v>
      </c>
      <c r="H47" s="1" t="s">
        <v>47</v>
      </c>
      <c r="I47" s="1">
        <v>948</v>
      </c>
      <c r="J47" s="1">
        <v>50781</v>
      </c>
      <c r="K47" s="1">
        <v>1</v>
      </c>
      <c r="L47" s="1">
        <v>116</v>
      </c>
      <c r="M47" s="1">
        <v>2346</v>
      </c>
      <c r="N47" s="1" t="s">
        <v>48</v>
      </c>
      <c r="O47" s="1">
        <v>195301</v>
      </c>
      <c r="P47" s="1">
        <v>95</v>
      </c>
      <c r="Q47" s="1" t="s">
        <v>127</v>
      </c>
      <c r="R47" s="1" t="s">
        <v>50</v>
      </c>
      <c r="S47" s="1">
        <v>0</v>
      </c>
      <c r="T47" s="1">
        <v>0</v>
      </c>
      <c r="U47" s="1">
        <v>52.036000000000001</v>
      </c>
      <c r="V47" s="1">
        <v>21.234999999999999</v>
      </c>
      <c r="W47" s="1">
        <v>1.68</v>
      </c>
      <c r="X47" s="1">
        <v>4.335</v>
      </c>
      <c r="Y47" s="1">
        <v>25.57</v>
      </c>
      <c r="Z47" s="1">
        <v>0.28899999999999998</v>
      </c>
      <c r="AA47" s="1">
        <v>1.5</v>
      </c>
      <c r="AB47" s="1">
        <v>-1.2</v>
      </c>
      <c r="AC47" s="1">
        <v>-1.2</v>
      </c>
      <c r="AD47" s="1">
        <v>4.335</v>
      </c>
      <c r="AE47" s="1">
        <v>5.1999999999999998E-2</v>
      </c>
      <c r="AF47" s="1">
        <v>0.22700000000000001</v>
      </c>
      <c r="AI47" s="1">
        <v>0</v>
      </c>
      <c r="AJ47" s="1">
        <v>0</v>
      </c>
      <c r="AK47" s="1">
        <v>0</v>
      </c>
      <c r="AL47" s="1">
        <v>1</v>
      </c>
      <c r="AM47" s="1">
        <v>77571</v>
      </c>
      <c r="AN47" s="1">
        <v>44275</v>
      </c>
      <c r="AO47" s="1">
        <v>33296</v>
      </c>
      <c r="AP47" s="1">
        <v>48707</v>
      </c>
      <c r="AQ47" s="1">
        <v>6.8629454633243956</v>
      </c>
    </row>
    <row r="48" spans="1:43" x14ac:dyDescent="0.45">
      <c r="A48" s="1">
        <v>145</v>
      </c>
      <c r="B48" s="1">
        <v>128</v>
      </c>
      <c r="C48" s="1">
        <v>88</v>
      </c>
      <c r="D48" s="1" t="s">
        <v>115</v>
      </c>
      <c r="E48" s="1" t="s">
        <v>116</v>
      </c>
      <c r="F48" s="1" t="s">
        <v>117</v>
      </c>
      <c r="G48" s="1" t="s">
        <v>54</v>
      </c>
      <c r="H48" s="1" t="s">
        <v>47</v>
      </c>
      <c r="I48" s="1">
        <v>830</v>
      </c>
      <c r="J48" s="1">
        <v>39746</v>
      </c>
      <c r="K48" s="1">
        <v>1</v>
      </c>
      <c r="L48" s="1">
        <v>87</v>
      </c>
      <c r="M48" s="1">
        <v>2356</v>
      </c>
      <c r="N48" s="1" t="s">
        <v>48</v>
      </c>
      <c r="O48" s="1">
        <v>195314</v>
      </c>
      <c r="P48" s="1">
        <v>95</v>
      </c>
      <c r="Q48" s="1" t="s">
        <v>127</v>
      </c>
      <c r="R48" s="1" t="s">
        <v>50</v>
      </c>
      <c r="S48" s="1">
        <v>0</v>
      </c>
      <c r="T48" s="1">
        <v>0</v>
      </c>
      <c r="U48" s="1">
        <v>54.076000000000001</v>
      </c>
      <c r="V48" s="1">
        <v>21.242999999999999</v>
      </c>
      <c r="W48" s="1">
        <v>1.75</v>
      </c>
      <c r="X48" s="1">
        <v>4.3319999999999999</v>
      </c>
      <c r="Y48" s="1">
        <v>25.574999999999999</v>
      </c>
      <c r="Z48" s="1">
        <v>0.222</v>
      </c>
      <c r="AA48" s="1">
        <v>-0.9</v>
      </c>
      <c r="AB48" s="1">
        <v>-0.9</v>
      </c>
      <c r="AC48" s="1">
        <v>-0.9</v>
      </c>
      <c r="AD48" s="1">
        <v>4.3319999999999999</v>
      </c>
      <c r="AE48" s="1">
        <v>0.222</v>
      </c>
      <c r="AF48" s="1">
        <v>0.96099999999999997</v>
      </c>
      <c r="AG48" s="1">
        <v>-0.9</v>
      </c>
      <c r="AI48" s="1">
        <v>0</v>
      </c>
      <c r="AJ48" s="1">
        <v>0</v>
      </c>
      <c r="AK48" s="1">
        <v>0</v>
      </c>
      <c r="AL48" s="1">
        <v>1</v>
      </c>
      <c r="AM48" s="1">
        <v>77516</v>
      </c>
      <c r="AN48" s="1">
        <v>43876</v>
      </c>
      <c r="AO48" s="1">
        <v>33640</v>
      </c>
      <c r="AP48" s="1">
        <v>48706</v>
      </c>
      <c r="AQ48" s="1">
        <v>2.475593700290871</v>
      </c>
    </row>
    <row r="49" spans="1:43" x14ac:dyDescent="0.45">
      <c r="A49" s="1">
        <v>69</v>
      </c>
      <c r="B49" s="1">
        <v>91</v>
      </c>
      <c r="C49" s="1">
        <v>117</v>
      </c>
      <c r="D49" s="1" t="s">
        <v>112</v>
      </c>
      <c r="E49" s="1" t="s">
        <v>113</v>
      </c>
      <c r="F49" s="1" t="s">
        <v>114</v>
      </c>
      <c r="G49" s="1" t="s">
        <v>54</v>
      </c>
      <c r="H49" s="1" t="s">
        <v>47</v>
      </c>
      <c r="I49" s="1">
        <v>948</v>
      </c>
      <c r="J49" s="1">
        <v>50781</v>
      </c>
      <c r="K49" s="1">
        <v>1</v>
      </c>
      <c r="L49" s="1">
        <v>116</v>
      </c>
      <c r="M49" s="1">
        <v>2340</v>
      </c>
      <c r="N49" s="1" t="s">
        <v>48</v>
      </c>
      <c r="O49" s="1">
        <v>195293</v>
      </c>
      <c r="P49" s="1">
        <v>95</v>
      </c>
      <c r="Q49" s="1" t="s">
        <v>127</v>
      </c>
      <c r="R49" s="1" t="s">
        <v>50</v>
      </c>
      <c r="S49" s="1">
        <v>0</v>
      </c>
      <c r="T49" s="1">
        <v>0</v>
      </c>
      <c r="U49" s="1">
        <v>52.792000000000002</v>
      </c>
      <c r="V49" s="1">
        <v>21.277999999999999</v>
      </c>
      <c r="W49" s="1">
        <v>1.67</v>
      </c>
      <c r="X49" s="1">
        <v>4.2919999999999998</v>
      </c>
      <c r="Y49" s="1">
        <v>25.57</v>
      </c>
      <c r="Z49" s="1">
        <v>0.32100000000000001</v>
      </c>
      <c r="AA49" s="1">
        <v>1.6</v>
      </c>
      <c r="AB49" s="1">
        <v>-1.4</v>
      </c>
      <c r="AC49" s="1">
        <v>-1.4</v>
      </c>
      <c r="AD49" s="1">
        <v>4.2919999999999998</v>
      </c>
      <c r="AE49" s="1">
        <v>0.05</v>
      </c>
      <c r="AF49" s="1">
        <v>0.216</v>
      </c>
      <c r="AI49" s="1">
        <v>0</v>
      </c>
      <c r="AJ49" s="1">
        <v>0</v>
      </c>
      <c r="AK49" s="1">
        <v>0</v>
      </c>
      <c r="AL49" s="1">
        <v>1</v>
      </c>
      <c r="AM49" s="1">
        <v>77243</v>
      </c>
      <c r="AN49" s="1">
        <v>40862</v>
      </c>
      <c r="AO49" s="1">
        <v>36381</v>
      </c>
      <c r="AP49" s="1">
        <v>48808</v>
      </c>
      <c r="AQ49" s="1">
        <v>7.79116191982129</v>
      </c>
    </row>
    <row r="50" spans="1:43" x14ac:dyDescent="0.45">
      <c r="A50" s="1">
        <v>70</v>
      </c>
      <c r="B50" s="1">
        <v>91</v>
      </c>
      <c r="C50" s="1">
        <v>117</v>
      </c>
      <c r="D50" s="1" t="s">
        <v>112</v>
      </c>
      <c r="E50" s="1" t="s">
        <v>113</v>
      </c>
      <c r="F50" s="1" t="s">
        <v>114</v>
      </c>
      <c r="G50" s="1" t="s">
        <v>54</v>
      </c>
      <c r="H50" s="1" t="s">
        <v>47</v>
      </c>
      <c r="I50" s="1">
        <v>948</v>
      </c>
      <c r="J50" s="1">
        <v>50781</v>
      </c>
      <c r="K50" s="1">
        <v>1</v>
      </c>
      <c r="L50" s="1">
        <v>116</v>
      </c>
      <c r="M50" s="1">
        <v>2341</v>
      </c>
      <c r="N50" s="1" t="s">
        <v>48</v>
      </c>
      <c r="O50" s="1">
        <v>195295</v>
      </c>
      <c r="P50" s="1">
        <v>95</v>
      </c>
      <c r="Q50" s="1" t="s">
        <v>127</v>
      </c>
      <c r="R50" s="1" t="s">
        <v>50</v>
      </c>
      <c r="S50" s="1">
        <v>0</v>
      </c>
      <c r="T50" s="1">
        <v>0</v>
      </c>
      <c r="U50" s="1">
        <v>87.602000000000004</v>
      </c>
      <c r="V50" s="1">
        <v>21.277999999999999</v>
      </c>
      <c r="W50" s="1">
        <v>1.67</v>
      </c>
      <c r="X50" s="1">
        <v>4.2919999999999998</v>
      </c>
      <c r="Y50" s="1">
        <v>25.57</v>
      </c>
      <c r="Z50" s="1">
        <v>0.28899999999999998</v>
      </c>
      <c r="AA50" s="1">
        <v>1.4</v>
      </c>
      <c r="AB50" s="1">
        <v>-1.3</v>
      </c>
      <c r="AC50" s="1">
        <v>-1.3</v>
      </c>
      <c r="AD50" s="1">
        <v>4.2919999999999998</v>
      </c>
      <c r="AE50" s="1">
        <v>5.0999999999999997E-2</v>
      </c>
      <c r="AF50" s="1">
        <v>0.217</v>
      </c>
      <c r="AI50" s="1">
        <v>0</v>
      </c>
      <c r="AJ50" s="1">
        <v>0</v>
      </c>
      <c r="AK50" s="1">
        <v>0</v>
      </c>
      <c r="AL50" s="1">
        <v>1</v>
      </c>
      <c r="AM50" s="1">
        <v>77232</v>
      </c>
      <c r="AN50" s="1">
        <v>40693</v>
      </c>
      <c r="AO50" s="1">
        <v>36540</v>
      </c>
      <c r="AP50" s="1">
        <v>48708</v>
      </c>
      <c r="AQ50" s="1">
        <v>8.1048937517525221</v>
      </c>
    </row>
    <row r="51" spans="1:43" x14ac:dyDescent="0.45">
      <c r="A51" s="1">
        <v>78</v>
      </c>
      <c r="B51" s="1">
        <v>91</v>
      </c>
      <c r="C51" s="1">
        <v>117</v>
      </c>
      <c r="D51" s="1" t="s">
        <v>112</v>
      </c>
      <c r="E51" s="1" t="s">
        <v>113</v>
      </c>
      <c r="F51" s="1" t="s">
        <v>114</v>
      </c>
      <c r="G51" s="1" t="s">
        <v>54</v>
      </c>
      <c r="H51" s="1" t="s">
        <v>47</v>
      </c>
      <c r="I51" s="1">
        <v>948</v>
      </c>
      <c r="J51" s="1">
        <v>50781</v>
      </c>
      <c r="K51" s="1">
        <v>1</v>
      </c>
      <c r="L51" s="1">
        <v>116</v>
      </c>
      <c r="M51" s="1">
        <v>2373</v>
      </c>
      <c r="N51" s="1" t="s">
        <v>48</v>
      </c>
      <c r="O51" s="1">
        <v>195333</v>
      </c>
      <c r="P51" s="1">
        <v>95</v>
      </c>
      <c r="Q51" s="1" t="s">
        <v>127</v>
      </c>
      <c r="R51" s="1" t="s">
        <v>50</v>
      </c>
      <c r="S51" s="1">
        <v>0</v>
      </c>
      <c r="T51" s="1">
        <v>0</v>
      </c>
      <c r="U51" s="1">
        <v>65.066999999999993</v>
      </c>
      <c r="V51" s="1">
        <v>21.277999999999999</v>
      </c>
      <c r="W51" s="1">
        <v>1.67</v>
      </c>
      <c r="X51" s="1">
        <v>4.2919999999999998</v>
      </c>
      <c r="Y51" s="1">
        <v>25.57</v>
      </c>
      <c r="Z51" s="1">
        <v>0.223</v>
      </c>
      <c r="AA51" s="1">
        <v>1.9</v>
      </c>
      <c r="AB51" s="1">
        <v>-0.8</v>
      </c>
      <c r="AC51" s="1">
        <v>-0.8</v>
      </c>
      <c r="AD51" s="1">
        <v>4.2919999999999998</v>
      </c>
      <c r="AE51" s="1">
        <v>0.05</v>
      </c>
      <c r="AF51" s="1">
        <v>0.21299999999999999</v>
      </c>
      <c r="AG51" s="1">
        <v>1.9</v>
      </c>
      <c r="AI51" s="1">
        <v>0</v>
      </c>
      <c r="AJ51" s="1">
        <v>0</v>
      </c>
      <c r="AK51" s="1">
        <v>0</v>
      </c>
      <c r="AL51" s="1">
        <v>1</v>
      </c>
      <c r="AM51" s="1">
        <v>77291</v>
      </c>
      <c r="AN51" s="1">
        <v>48076</v>
      </c>
      <c r="AO51" s="1">
        <v>29214</v>
      </c>
      <c r="AP51" s="1">
        <v>48810</v>
      </c>
      <c r="AQ51" s="1">
        <v>15.157086163197469</v>
      </c>
    </row>
    <row r="52" spans="1:43" x14ac:dyDescent="0.45">
      <c r="A52" s="1">
        <v>73</v>
      </c>
      <c r="B52" s="1">
        <v>91</v>
      </c>
      <c r="C52" s="1">
        <v>117</v>
      </c>
      <c r="D52" s="1" t="s">
        <v>112</v>
      </c>
      <c r="E52" s="1" t="s">
        <v>113</v>
      </c>
      <c r="F52" s="1" t="s">
        <v>114</v>
      </c>
      <c r="G52" s="1" t="s">
        <v>54</v>
      </c>
      <c r="H52" s="1" t="s">
        <v>47</v>
      </c>
      <c r="I52" s="1">
        <v>948</v>
      </c>
      <c r="J52" s="1">
        <v>50781</v>
      </c>
      <c r="K52" s="1">
        <v>1</v>
      </c>
      <c r="L52" s="1">
        <v>116</v>
      </c>
      <c r="M52" s="1">
        <v>2363</v>
      </c>
      <c r="N52" s="1" t="s">
        <v>48</v>
      </c>
      <c r="O52" s="1">
        <v>195321</v>
      </c>
      <c r="P52" s="1">
        <v>95</v>
      </c>
      <c r="Q52" s="1" t="s">
        <v>127</v>
      </c>
      <c r="R52" s="1" t="s">
        <v>50</v>
      </c>
      <c r="S52" s="1">
        <v>0</v>
      </c>
      <c r="T52" s="1">
        <v>0</v>
      </c>
      <c r="U52" s="1">
        <v>94.41</v>
      </c>
      <c r="V52" s="1">
        <v>21.33</v>
      </c>
      <c r="W52" s="1">
        <v>1.66</v>
      </c>
      <c r="X52" s="1">
        <v>4.2409999999999997</v>
      </c>
      <c r="Y52" s="1">
        <v>25.57</v>
      </c>
      <c r="Z52" s="1">
        <v>0.32400000000000001</v>
      </c>
      <c r="AA52" s="1">
        <v>2.2000000000000002</v>
      </c>
      <c r="AB52" s="1">
        <v>2.1</v>
      </c>
      <c r="AC52" s="1">
        <v>2.1</v>
      </c>
      <c r="AD52" s="1">
        <v>4.2329999999999997</v>
      </c>
      <c r="AE52" s="1">
        <v>3.2000000000000001E-2</v>
      </c>
      <c r="AF52" s="1">
        <v>0.13600000000000001</v>
      </c>
      <c r="AG52" s="1">
        <v>2.2000000000000002</v>
      </c>
      <c r="AI52" s="1">
        <v>0</v>
      </c>
      <c r="AJ52" s="1">
        <v>0</v>
      </c>
      <c r="AK52" s="1">
        <v>0</v>
      </c>
      <c r="AL52" s="1">
        <v>1</v>
      </c>
      <c r="AM52" s="1">
        <v>86400</v>
      </c>
      <c r="AN52" s="1">
        <v>82104</v>
      </c>
      <c r="AO52" s="1">
        <v>4296</v>
      </c>
      <c r="AP52" s="1">
        <v>49550</v>
      </c>
      <c r="AQ52" s="1">
        <v>15.476362366948131</v>
      </c>
    </row>
    <row r="53" spans="1:43" x14ac:dyDescent="0.45">
      <c r="A53" s="1">
        <v>117</v>
      </c>
      <c r="B53" s="1">
        <v>128</v>
      </c>
      <c r="C53" s="1">
        <v>88</v>
      </c>
      <c r="D53" s="1" t="s">
        <v>115</v>
      </c>
      <c r="E53" s="1" t="s">
        <v>116</v>
      </c>
      <c r="F53" s="1" t="s">
        <v>117</v>
      </c>
      <c r="G53" s="1" t="s">
        <v>54</v>
      </c>
      <c r="H53" s="1" t="s">
        <v>47</v>
      </c>
      <c r="I53" s="1">
        <v>830</v>
      </c>
      <c r="J53" s="1">
        <v>39746</v>
      </c>
      <c r="K53" s="1">
        <v>1</v>
      </c>
      <c r="L53" s="1">
        <v>87</v>
      </c>
      <c r="M53" s="1">
        <v>2286</v>
      </c>
      <c r="N53" s="1" t="s">
        <v>48</v>
      </c>
      <c r="O53" s="1">
        <v>195159</v>
      </c>
      <c r="P53" s="1">
        <v>95</v>
      </c>
      <c r="Q53" s="1" t="s">
        <v>127</v>
      </c>
      <c r="R53" s="1" t="s">
        <v>50</v>
      </c>
      <c r="S53" s="1">
        <v>0</v>
      </c>
      <c r="T53" s="1">
        <v>0</v>
      </c>
      <c r="U53" s="1">
        <v>73.049000000000007</v>
      </c>
      <c r="V53" s="1">
        <v>21.353999999999999</v>
      </c>
      <c r="W53" s="1">
        <v>1.65</v>
      </c>
      <c r="X53" s="1">
        <v>4.2190000000000003</v>
      </c>
      <c r="Y53" s="1">
        <v>25.573</v>
      </c>
      <c r="Z53" s="1">
        <v>0.16700000000000001</v>
      </c>
      <c r="AA53" s="1">
        <v>0.7</v>
      </c>
      <c r="AB53" s="1">
        <v>-2.8</v>
      </c>
      <c r="AC53" s="1">
        <v>-2.8</v>
      </c>
      <c r="AD53" s="1">
        <v>4.218</v>
      </c>
      <c r="AE53" s="1">
        <v>2.8000000000000001E-2</v>
      </c>
      <c r="AF53" s="1">
        <v>0.11799999999999999</v>
      </c>
      <c r="AI53" s="1">
        <v>0</v>
      </c>
      <c r="AJ53" s="1">
        <v>0</v>
      </c>
      <c r="AK53" s="1">
        <v>0</v>
      </c>
      <c r="AL53" s="1">
        <v>1</v>
      </c>
      <c r="AM53" s="1">
        <v>76462</v>
      </c>
      <c r="AN53" s="1">
        <v>38773</v>
      </c>
      <c r="AO53" s="1">
        <v>37688</v>
      </c>
      <c r="AP53" s="1">
        <v>48976</v>
      </c>
      <c r="AQ53" s="1">
        <v>7.3345719801515834</v>
      </c>
    </row>
    <row r="54" spans="1:43" x14ac:dyDescent="0.45">
      <c r="A54" s="1">
        <v>120</v>
      </c>
      <c r="B54" s="1">
        <v>128</v>
      </c>
      <c r="C54" s="1">
        <v>88</v>
      </c>
      <c r="D54" s="1" t="s">
        <v>115</v>
      </c>
      <c r="E54" s="1" t="s">
        <v>116</v>
      </c>
      <c r="F54" s="1" t="s">
        <v>117</v>
      </c>
      <c r="G54" s="1" t="s">
        <v>54</v>
      </c>
      <c r="H54" s="1" t="s">
        <v>47</v>
      </c>
      <c r="I54" s="1">
        <v>830</v>
      </c>
      <c r="J54" s="1">
        <v>39746</v>
      </c>
      <c r="K54" s="1">
        <v>1</v>
      </c>
      <c r="L54" s="1">
        <v>87</v>
      </c>
      <c r="M54" s="1">
        <v>2300</v>
      </c>
      <c r="N54" s="1" t="s">
        <v>48</v>
      </c>
      <c r="O54" s="1">
        <v>195175</v>
      </c>
      <c r="P54" s="1">
        <v>95</v>
      </c>
      <c r="Q54" s="1" t="s">
        <v>127</v>
      </c>
      <c r="R54" s="1" t="s">
        <v>50</v>
      </c>
      <c r="S54" s="1">
        <v>0</v>
      </c>
      <c r="T54" s="1">
        <v>0</v>
      </c>
      <c r="U54" s="1">
        <v>387.74799999999999</v>
      </c>
      <c r="V54" s="1">
        <v>21.367999999999999</v>
      </c>
      <c r="W54" s="1">
        <v>1.66</v>
      </c>
      <c r="X54" s="1">
        <v>4.2030000000000003</v>
      </c>
      <c r="Y54" s="1">
        <v>25.571999999999999</v>
      </c>
      <c r="Z54" s="1">
        <v>0.38500000000000001</v>
      </c>
      <c r="AA54" s="1">
        <v>-3</v>
      </c>
      <c r="AB54" s="1">
        <v>2.9</v>
      </c>
      <c r="AC54" s="1">
        <v>2.9</v>
      </c>
      <c r="AD54" s="1">
        <v>4.2009999999999996</v>
      </c>
      <c r="AE54" s="1">
        <v>4.8000000000000001E-2</v>
      </c>
      <c r="AF54" s="1">
        <v>0.20100000000000001</v>
      </c>
      <c r="AG54" s="1">
        <v>-3</v>
      </c>
      <c r="AI54" s="1">
        <v>0</v>
      </c>
      <c r="AJ54" s="1">
        <v>0</v>
      </c>
      <c r="AK54" s="1">
        <v>0</v>
      </c>
      <c r="AL54" s="1">
        <v>1</v>
      </c>
      <c r="AM54" s="1">
        <v>76415</v>
      </c>
      <c r="AN54" s="1">
        <v>43624</v>
      </c>
      <c r="AO54" s="1">
        <v>32791</v>
      </c>
      <c r="AP54" s="1">
        <v>48779</v>
      </c>
      <c r="AQ54" s="1">
        <v>3.0715079833882188</v>
      </c>
    </row>
    <row r="55" spans="1:43" x14ac:dyDescent="0.45">
      <c r="A55" s="1">
        <v>72</v>
      </c>
      <c r="B55" s="1">
        <v>91</v>
      </c>
      <c r="C55" s="1">
        <v>117</v>
      </c>
      <c r="D55" s="1" t="s">
        <v>112</v>
      </c>
      <c r="E55" s="1" t="s">
        <v>113</v>
      </c>
      <c r="F55" s="1" t="s">
        <v>114</v>
      </c>
      <c r="G55" s="1" t="s">
        <v>54</v>
      </c>
      <c r="H55" s="1" t="s">
        <v>47</v>
      </c>
      <c r="I55" s="1">
        <v>948</v>
      </c>
      <c r="J55" s="1">
        <v>50781</v>
      </c>
      <c r="K55" s="1">
        <v>1</v>
      </c>
      <c r="L55" s="1">
        <v>116</v>
      </c>
      <c r="M55" s="1">
        <v>2361</v>
      </c>
      <c r="N55" s="1" t="s">
        <v>48</v>
      </c>
      <c r="O55" s="1">
        <v>195319</v>
      </c>
      <c r="P55" s="1">
        <v>95</v>
      </c>
      <c r="Q55" s="1" t="s">
        <v>127</v>
      </c>
      <c r="R55" s="1" t="s">
        <v>50</v>
      </c>
      <c r="S55" s="1">
        <v>0</v>
      </c>
      <c r="T55" s="1">
        <v>0</v>
      </c>
      <c r="U55" s="1">
        <v>111.16200000000001</v>
      </c>
      <c r="V55" s="1">
        <v>21.387</v>
      </c>
      <c r="W55" s="1">
        <v>1.65</v>
      </c>
      <c r="X55" s="1">
        <v>4.1829999999999998</v>
      </c>
      <c r="Y55" s="1">
        <v>25.57</v>
      </c>
      <c r="Z55" s="1">
        <v>0.29899999999999999</v>
      </c>
      <c r="AA55" s="1">
        <v>1.9</v>
      </c>
      <c r="AB55" s="1">
        <v>0.7</v>
      </c>
      <c r="AC55" s="1">
        <v>1</v>
      </c>
      <c r="AD55" s="1">
        <v>4.1760000000000002</v>
      </c>
      <c r="AE55" s="1">
        <v>3.6999999999999998E-2</v>
      </c>
      <c r="AF55" s="1">
        <v>0.155</v>
      </c>
      <c r="AI55" s="1">
        <v>0</v>
      </c>
      <c r="AJ55" s="1">
        <v>0</v>
      </c>
      <c r="AK55" s="1">
        <v>0</v>
      </c>
      <c r="AL55" s="1">
        <v>1</v>
      </c>
      <c r="AM55" s="1">
        <v>76202</v>
      </c>
      <c r="AN55" s="1">
        <v>38210</v>
      </c>
      <c r="AO55" s="1">
        <v>37992</v>
      </c>
      <c r="AP55" s="1">
        <v>48954</v>
      </c>
      <c r="AQ55" s="1">
        <v>1.21542409500468</v>
      </c>
    </row>
    <row r="56" spans="1:43" x14ac:dyDescent="0.45">
      <c r="A56" s="1">
        <v>129</v>
      </c>
      <c r="B56" s="1">
        <v>128</v>
      </c>
      <c r="C56" s="1">
        <v>88</v>
      </c>
      <c r="D56" s="1" t="s">
        <v>115</v>
      </c>
      <c r="E56" s="1" t="s">
        <v>116</v>
      </c>
      <c r="F56" s="1" t="s">
        <v>117</v>
      </c>
      <c r="G56" s="1" t="s">
        <v>54</v>
      </c>
      <c r="H56" s="1" t="s">
        <v>47</v>
      </c>
      <c r="I56" s="1">
        <v>830</v>
      </c>
      <c r="J56" s="1">
        <v>39746</v>
      </c>
      <c r="K56" s="1">
        <v>1</v>
      </c>
      <c r="L56" s="1">
        <v>87</v>
      </c>
      <c r="M56" s="1">
        <v>2316</v>
      </c>
      <c r="N56" s="1" t="s">
        <v>48</v>
      </c>
      <c r="O56" s="1">
        <v>195204</v>
      </c>
      <c r="P56" s="1">
        <v>95</v>
      </c>
      <c r="Q56" s="1" t="s">
        <v>127</v>
      </c>
      <c r="R56" s="1" t="s">
        <v>50</v>
      </c>
      <c r="S56" s="1">
        <v>0</v>
      </c>
      <c r="T56" s="1">
        <v>0</v>
      </c>
      <c r="U56" s="1">
        <v>154.404</v>
      </c>
      <c r="V56" s="1">
        <v>21.431999999999999</v>
      </c>
      <c r="W56" s="1">
        <v>1.65</v>
      </c>
      <c r="X56" s="1">
        <v>4.1399999999999997</v>
      </c>
      <c r="Y56" s="1">
        <v>25.571000000000002</v>
      </c>
      <c r="Z56" s="1">
        <v>5.5E-2</v>
      </c>
      <c r="AA56" s="1">
        <v>2.1</v>
      </c>
      <c r="AB56" s="1">
        <v>-2.8</v>
      </c>
      <c r="AC56" s="1">
        <v>-2.7</v>
      </c>
      <c r="AD56" s="1">
        <v>4.1289999999999996</v>
      </c>
      <c r="AE56" s="1">
        <v>4.5999999999999999E-2</v>
      </c>
      <c r="AF56" s="1">
        <v>0.19</v>
      </c>
      <c r="AI56" s="1">
        <v>0</v>
      </c>
      <c r="AJ56" s="1">
        <v>0</v>
      </c>
      <c r="AK56" s="1">
        <v>0</v>
      </c>
      <c r="AL56" s="1">
        <v>1</v>
      </c>
      <c r="AM56" s="1">
        <v>86400</v>
      </c>
      <c r="AN56" s="1">
        <v>80808</v>
      </c>
      <c r="AO56" s="1">
        <v>5592</v>
      </c>
      <c r="AP56" s="1">
        <v>49101</v>
      </c>
      <c r="AQ56" s="1">
        <v>3.810868070110133</v>
      </c>
    </row>
    <row r="57" spans="1:43" x14ac:dyDescent="0.45">
      <c r="A57" s="1">
        <v>126</v>
      </c>
      <c r="B57" s="1">
        <v>128</v>
      </c>
      <c r="C57" s="1">
        <v>88</v>
      </c>
      <c r="D57" s="1" t="s">
        <v>115</v>
      </c>
      <c r="E57" s="1" t="s">
        <v>116</v>
      </c>
      <c r="F57" s="1" t="s">
        <v>117</v>
      </c>
      <c r="G57" s="1" t="s">
        <v>54</v>
      </c>
      <c r="H57" s="1" t="s">
        <v>47</v>
      </c>
      <c r="I57" s="1">
        <v>830</v>
      </c>
      <c r="J57" s="1">
        <v>39746</v>
      </c>
      <c r="K57" s="1">
        <v>1</v>
      </c>
      <c r="L57" s="1">
        <v>87</v>
      </c>
      <c r="M57" s="1">
        <v>2306</v>
      </c>
      <c r="N57" s="1" t="s">
        <v>48</v>
      </c>
      <c r="O57" s="1">
        <v>195190</v>
      </c>
      <c r="P57" s="1">
        <v>95</v>
      </c>
      <c r="Q57" s="1" t="s">
        <v>127</v>
      </c>
      <c r="R57" s="1" t="s">
        <v>50</v>
      </c>
      <c r="S57" s="1">
        <v>0</v>
      </c>
      <c r="T57" s="1">
        <v>0</v>
      </c>
      <c r="U57" s="1">
        <v>162.02699999999999</v>
      </c>
      <c r="V57" s="1">
        <v>21.437000000000001</v>
      </c>
      <c r="W57" s="1">
        <v>1.65</v>
      </c>
      <c r="X57" s="1">
        <v>4.1340000000000003</v>
      </c>
      <c r="Y57" s="1">
        <v>25.571000000000002</v>
      </c>
      <c r="Z57" s="1">
        <v>0.26</v>
      </c>
      <c r="AA57" s="1">
        <v>2.9</v>
      </c>
      <c r="AB57" s="1">
        <v>-2.8</v>
      </c>
      <c r="AC57" s="1">
        <v>-2.7</v>
      </c>
      <c r="AD57" s="1">
        <v>4.12</v>
      </c>
      <c r="AE57" s="1">
        <v>6.3E-2</v>
      </c>
      <c r="AF57" s="1">
        <v>0.26100000000000001</v>
      </c>
      <c r="AG57" s="1">
        <v>2.9</v>
      </c>
      <c r="AI57" s="1">
        <v>0</v>
      </c>
      <c r="AJ57" s="1">
        <v>0</v>
      </c>
      <c r="AK57" s="1">
        <v>0</v>
      </c>
      <c r="AL57" s="1">
        <v>1</v>
      </c>
      <c r="AM57" s="1">
        <v>86400</v>
      </c>
      <c r="AN57" s="1">
        <v>80717</v>
      </c>
      <c r="AO57" s="1">
        <v>5683</v>
      </c>
      <c r="AP57" s="1">
        <v>48734</v>
      </c>
      <c r="AQ57" s="1">
        <v>1.181862772484338</v>
      </c>
    </row>
    <row r="58" spans="1:43" x14ac:dyDescent="0.45">
      <c r="A58" s="1">
        <v>128</v>
      </c>
      <c r="B58" s="1">
        <v>128</v>
      </c>
      <c r="C58" s="1">
        <v>88</v>
      </c>
      <c r="D58" s="1" t="s">
        <v>115</v>
      </c>
      <c r="E58" s="1" t="s">
        <v>116</v>
      </c>
      <c r="F58" s="1" t="s">
        <v>117</v>
      </c>
      <c r="G58" s="1" t="s">
        <v>54</v>
      </c>
      <c r="H58" s="1" t="s">
        <v>47</v>
      </c>
      <c r="I58" s="1">
        <v>830</v>
      </c>
      <c r="J58" s="1">
        <v>39746</v>
      </c>
      <c r="K58" s="1">
        <v>1</v>
      </c>
      <c r="L58" s="1">
        <v>87</v>
      </c>
      <c r="M58" s="1">
        <v>2315</v>
      </c>
      <c r="N58" s="1" t="s">
        <v>48</v>
      </c>
      <c r="O58" s="1">
        <v>195203</v>
      </c>
      <c r="P58" s="1">
        <v>95</v>
      </c>
      <c r="Q58" s="1" t="s">
        <v>127</v>
      </c>
      <c r="R58" s="1" t="s">
        <v>50</v>
      </c>
      <c r="S58" s="1">
        <v>0</v>
      </c>
      <c r="T58" s="1">
        <v>0</v>
      </c>
      <c r="U58" s="1">
        <v>91.207999999999998</v>
      </c>
      <c r="V58" s="1">
        <v>21.504000000000001</v>
      </c>
      <c r="W58" s="1">
        <v>1.63</v>
      </c>
      <c r="X58" s="1">
        <v>4.0670000000000002</v>
      </c>
      <c r="Y58" s="1">
        <v>25.571000000000002</v>
      </c>
      <c r="Z58" s="1">
        <v>4.9000000000000002E-2</v>
      </c>
      <c r="AA58" s="1">
        <v>2.6</v>
      </c>
      <c r="AB58" s="1">
        <v>-2.9</v>
      </c>
      <c r="AC58" s="1">
        <v>-2.8</v>
      </c>
      <c r="AD58" s="1">
        <v>4.056</v>
      </c>
      <c r="AE58" s="1">
        <v>3.6999999999999998E-2</v>
      </c>
      <c r="AF58" s="1">
        <v>0.15</v>
      </c>
      <c r="AI58" s="1">
        <v>0</v>
      </c>
      <c r="AJ58" s="1">
        <v>0</v>
      </c>
      <c r="AK58" s="1">
        <v>0</v>
      </c>
      <c r="AL58" s="1">
        <v>1</v>
      </c>
      <c r="AM58" s="1">
        <v>86400</v>
      </c>
      <c r="AN58" s="1">
        <v>79601</v>
      </c>
      <c r="AO58" s="1">
        <v>6799</v>
      </c>
      <c r="AP58" s="1">
        <v>49349</v>
      </c>
      <c r="AQ58" s="1">
        <v>13.665509821742679</v>
      </c>
    </row>
    <row r="59" spans="1:43" x14ac:dyDescent="0.45">
      <c r="A59" s="1">
        <v>127</v>
      </c>
      <c r="B59" s="1">
        <v>128</v>
      </c>
      <c r="C59" s="1">
        <v>88</v>
      </c>
      <c r="D59" s="1" t="s">
        <v>115</v>
      </c>
      <c r="E59" s="1" t="s">
        <v>116</v>
      </c>
      <c r="F59" s="1" t="s">
        <v>117</v>
      </c>
      <c r="G59" s="1" t="s">
        <v>54</v>
      </c>
      <c r="H59" s="1" t="s">
        <v>47</v>
      </c>
      <c r="I59" s="1">
        <v>830</v>
      </c>
      <c r="J59" s="1">
        <v>39746</v>
      </c>
      <c r="K59" s="1">
        <v>1</v>
      </c>
      <c r="L59" s="1">
        <v>87</v>
      </c>
      <c r="M59" s="1">
        <v>2313</v>
      </c>
      <c r="N59" s="1" t="s">
        <v>48</v>
      </c>
      <c r="O59" s="1">
        <v>195201</v>
      </c>
      <c r="P59" s="1">
        <v>95</v>
      </c>
      <c r="Q59" s="1" t="s">
        <v>127</v>
      </c>
      <c r="R59" s="1" t="s">
        <v>50</v>
      </c>
      <c r="S59" s="1">
        <v>0</v>
      </c>
      <c r="T59" s="1">
        <v>0</v>
      </c>
      <c r="U59" s="1">
        <v>137.08600000000001</v>
      </c>
      <c r="V59" s="1">
        <v>21.556000000000001</v>
      </c>
      <c r="W59" s="1">
        <v>1.62</v>
      </c>
      <c r="X59" s="1">
        <v>4.0149999999999997</v>
      </c>
      <c r="Y59" s="1">
        <v>25.571000000000002</v>
      </c>
      <c r="Z59" s="1">
        <v>3.5999999999999997E-2</v>
      </c>
      <c r="AA59" s="1">
        <v>-2.7</v>
      </c>
      <c r="AB59" s="1">
        <v>-2.5</v>
      </c>
      <c r="AC59" s="1">
        <v>-2.7</v>
      </c>
      <c r="AD59" s="1">
        <v>4.0049999999999999</v>
      </c>
      <c r="AE59" s="1">
        <v>3.5999999999999997E-2</v>
      </c>
      <c r="AF59" s="1">
        <v>0.14299999999999999</v>
      </c>
      <c r="AG59" s="1">
        <v>-2.7</v>
      </c>
      <c r="AI59" s="1">
        <v>0</v>
      </c>
      <c r="AJ59" s="1">
        <v>0</v>
      </c>
      <c r="AK59" s="1">
        <v>0</v>
      </c>
      <c r="AL59" s="1">
        <v>1</v>
      </c>
      <c r="AM59" s="1">
        <v>86400</v>
      </c>
      <c r="AN59" s="1">
        <v>78796</v>
      </c>
      <c r="AO59" s="1">
        <v>7604</v>
      </c>
      <c r="AP59" s="1">
        <v>48981</v>
      </c>
      <c r="AQ59" s="1">
        <v>4.4034149939720413</v>
      </c>
    </row>
    <row r="60" spans="1:43" x14ac:dyDescent="0.45">
      <c r="A60" s="1">
        <v>74</v>
      </c>
      <c r="B60" s="1">
        <v>91</v>
      </c>
      <c r="C60" s="1">
        <v>117</v>
      </c>
      <c r="D60" s="1" t="s">
        <v>112</v>
      </c>
      <c r="E60" s="1" t="s">
        <v>113</v>
      </c>
      <c r="F60" s="1" t="s">
        <v>114</v>
      </c>
      <c r="G60" s="1" t="s">
        <v>54</v>
      </c>
      <c r="H60" s="1" t="s">
        <v>47</v>
      </c>
      <c r="I60" s="1">
        <v>948</v>
      </c>
      <c r="J60" s="1">
        <v>50781</v>
      </c>
      <c r="K60" s="1">
        <v>1</v>
      </c>
      <c r="L60" s="1">
        <v>116</v>
      </c>
      <c r="M60" s="1">
        <v>2364</v>
      </c>
      <c r="N60" s="1" t="s">
        <v>48</v>
      </c>
      <c r="O60" s="1">
        <v>195322</v>
      </c>
      <c r="P60" s="1">
        <v>95</v>
      </c>
      <c r="Q60" s="1" t="s">
        <v>127</v>
      </c>
      <c r="R60" s="1" t="s">
        <v>50</v>
      </c>
      <c r="S60" s="1">
        <v>0</v>
      </c>
      <c r="T60" s="1">
        <v>0</v>
      </c>
      <c r="U60" s="1">
        <v>85.018000000000001</v>
      </c>
      <c r="V60" s="1">
        <v>21.689</v>
      </c>
      <c r="W60" s="1">
        <v>1.64</v>
      </c>
      <c r="X60" s="1">
        <v>3.8849999999999998</v>
      </c>
      <c r="Y60" s="1">
        <v>25.574000000000002</v>
      </c>
      <c r="Z60" s="1">
        <v>0.78600000000000003</v>
      </c>
      <c r="AA60" s="1">
        <v>1.4</v>
      </c>
      <c r="AB60" s="1">
        <v>-1.9</v>
      </c>
      <c r="AC60" s="1">
        <v>-1.9</v>
      </c>
      <c r="AD60" s="1">
        <v>3.8849999999999998</v>
      </c>
      <c r="AE60" s="1">
        <v>0.13300000000000001</v>
      </c>
      <c r="AF60" s="1">
        <v>0.81799999999999995</v>
      </c>
      <c r="AG60" s="1">
        <v>1.4</v>
      </c>
      <c r="AI60" s="1">
        <v>0</v>
      </c>
      <c r="AJ60" s="1">
        <v>0</v>
      </c>
      <c r="AK60" s="1">
        <v>0</v>
      </c>
      <c r="AL60" s="1">
        <v>1</v>
      </c>
      <c r="AM60" s="1">
        <v>72288</v>
      </c>
      <c r="AN60" s="1">
        <v>31642</v>
      </c>
      <c r="AO60" s="1">
        <v>40646</v>
      </c>
      <c r="AP60" s="1">
        <v>48745</v>
      </c>
      <c r="AQ60" s="1">
        <v>0.97205040505480533</v>
      </c>
    </row>
    <row r="61" spans="1:43" x14ac:dyDescent="0.45">
      <c r="A61" s="1">
        <v>125</v>
      </c>
      <c r="B61" s="1">
        <v>128</v>
      </c>
      <c r="C61" s="1">
        <v>88</v>
      </c>
      <c r="D61" s="1" t="s">
        <v>115</v>
      </c>
      <c r="E61" s="1" t="s">
        <v>116</v>
      </c>
      <c r="F61" s="1" t="s">
        <v>117</v>
      </c>
      <c r="G61" s="1" t="s">
        <v>54</v>
      </c>
      <c r="H61" s="1" t="s">
        <v>47</v>
      </c>
      <c r="I61" s="1">
        <v>830</v>
      </c>
      <c r="J61" s="1">
        <v>39746</v>
      </c>
      <c r="K61" s="1">
        <v>1</v>
      </c>
      <c r="L61" s="1">
        <v>87</v>
      </c>
      <c r="M61" s="1">
        <v>2305</v>
      </c>
      <c r="N61" s="1" t="s">
        <v>48</v>
      </c>
      <c r="O61" s="1">
        <v>195189</v>
      </c>
      <c r="P61" s="1">
        <v>95</v>
      </c>
      <c r="Q61" s="1" t="s">
        <v>127</v>
      </c>
      <c r="R61" s="1" t="s">
        <v>50</v>
      </c>
      <c r="S61" s="1">
        <v>0</v>
      </c>
      <c r="T61" s="1">
        <v>0</v>
      </c>
      <c r="U61" s="1">
        <v>648.024</v>
      </c>
      <c r="V61" s="1">
        <v>21.824000000000002</v>
      </c>
      <c r="W61" s="1">
        <v>1.59</v>
      </c>
      <c r="X61" s="1">
        <v>3.7480000000000002</v>
      </c>
      <c r="Y61" s="1">
        <v>25.571000000000002</v>
      </c>
      <c r="Z61" s="1">
        <v>0.32</v>
      </c>
      <c r="AA61" s="1">
        <v>-3.1</v>
      </c>
      <c r="AB61" s="1">
        <v>-2.9</v>
      </c>
      <c r="AC61" s="1">
        <v>-1.9</v>
      </c>
      <c r="AD61" s="1">
        <v>3.7429999999999999</v>
      </c>
      <c r="AE61" s="1">
        <v>5.1999999999999998E-2</v>
      </c>
      <c r="AF61" s="1">
        <v>0.19700000000000001</v>
      </c>
      <c r="AI61" s="1">
        <v>0</v>
      </c>
      <c r="AJ61" s="1">
        <v>0</v>
      </c>
      <c r="AK61" s="1">
        <v>0</v>
      </c>
      <c r="AL61" s="1">
        <v>1</v>
      </c>
      <c r="AM61" s="1">
        <v>70328</v>
      </c>
      <c r="AN61" s="1">
        <v>29042</v>
      </c>
      <c r="AO61" s="1">
        <v>41286</v>
      </c>
      <c r="AP61" s="1">
        <v>48656</v>
      </c>
      <c r="AQ61" s="1">
        <v>34.814007380376417</v>
      </c>
    </row>
    <row r="62" spans="1:43" x14ac:dyDescent="0.45">
      <c r="A62" s="1">
        <v>130</v>
      </c>
      <c r="B62" s="1">
        <v>128</v>
      </c>
      <c r="C62" s="1">
        <v>88</v>
      </c>
      <c r="D62" s="1" t="s">
        <v>115</v>
      </c>
      <c r="E62" s="1" t="s">
        <v>116</v>
      </c>
      <c r="F62" s="1" t="s">
        <v>117</v>
      </c>
      <c r="G62" s="1" t="s">
        <v>54</v>
      </c>
      <c r="H62" s="1" t="s">
        <v>47</v>
      </c>
      <c r="I62" s="1">
        <v>830</v>
      </c>
      <c r="J62" s="1">
        <v>39746</v>
      </c>
      <c r="K62" s="1">
        <v>1</v>
      </c>
      <c r="L62" s="1">
        <v>87</v>
      </c>
      <c r="M62" s="1">
        <v>2317</v>
      </c>
      <c r="N62" s="1" t="s">
        <v>48</v>
      </c>
      <c r="O62" s="1">
        <v>195205</v>
      </c>
      <c r="P62" s="1">
        <v>95</v>
      </c>
      <c r="Q62" s="1" t="s">
        <v>127</v>
      </c>
      <c r="R62" s="1" t="s">
        <v>50</v>
      </c>
      <c r="S62" s="1">
        <v>0</v>
      </c>
      <c r="T62" s="1">
        <v>0</v>
      </c>
      <c r="U62" s="1">
        <v>130.07499999999999</v>
      </c>
      <c r="V62" s="1">
        <v>21.893000000000001</v>
      </c>
      <c r="W62" s="1">
        <v>1.58</v>
      </c>
      <c r="X62" s="1">
        <v>3.6779999999999999</v>
      </c>
      <c r="Y62" s="1">
        <v>25.571000000000002</v>
      </c>
      <c r="Z62" s="1">
        <v>0.107</v>
      </c>
      <c r="AA62" s="1">
        <v>2.2999999999999998</v>
      </c>
      <c r="AB62" s="1">
        <v>-2.9</v>
      </c>
      <c r="AC62" s="1">
        <v>-2.9</v>
      </c>
      <c r="AD62" s="1">
        <v>3.665</v>
      </c>
      <c r="AE62" s="1">
        <v>5.6000000000000001E-2</v>
      </c>
      <c r="AF62" s="1">
        <v>0.20599999999999999</v>
      </c>
      <c r="AI62" s="1">
        <v>0</v>
      </c>
      <c r="AJ62" s="1">
        <v>0</v>
      </c>
      <c r="AK62" s="1">
        <v>0</v>
      </c>
      <c r="AL62" s="1">
        <v>1</v>
      </c>
      <c r="AM62" s="1">
        <v>69157</v>
      </c>
      <c r="AN62" s="1">
        <v>27341</v>
      </c>
      <c r="AO62" s="1">
        <v>41815</v>
      </c>
      <c r="AP62" s="1">
        <v>48830</v>
      </c>
      <c r="AQ62" s="1">
        <v>12.478949660479341</v>
      </c>
    </row>
    <row r="63" spans="1:43" x14ac:dyDescent="0.45">
      <c r="A63" s="1">
        <v>122</v>
      </c>
      <c r="B63" s="1">
        <v>128</v>
      </c>
      <c r="C63" s="1">
        <v>88</v>
      </c>
      <c r="D63" s="1" t="s">
        <v>115</v>
      </c>
      <c r="E63" s="1" t="s">
        <v>116</v>
      </c>
      <c r="F63" s="1" t="s">
        <v>117</v>
      </c>
      <c r="G63" s="1" t="s">
        <v>54</v>
      </c>
      <c r="H63" s="1" t="s">
        <v>47</v>
      </c>
      <c r="I63" s="1">
        <v>830</v>
      </c>
      <c r="J63" s="1">
        <v>39746</v>
      </c>
      <c r="K63" s="1">
        <v>1</v>
      </c>
      <c r="L63" s="1">
        <v>87</v>
      </c>
      <c r="M63" s="1">
        <v>2302</v>
      </c>
      <c r="N63" s="1" t="s">
        <v>48</v>
      </c>
      <c r="O63" s="1">
        <v>195178</v>
      </c>
      <c r="P63" s="1">
        <v>95</v>
      </c>
      <c r="Q63" s="1" t="s">
        <v>127</v>
      </c>
      <c r="R63" s="1" t="s">
        <v>50</v>
      </c>
      <c r="S63" s="1">
        <v>0</v>
      </c>
      <c r="T63" s="1">
        <v>0</v>
      </c>
      <c r="U63" s="1">
        <v>164.86</v>
      </c>
      <c r="V63" s="1">
        <v>21.922999999999998</v>
      </c>
      <c r="W63" s="1">
        <v>1.57</v>
      </c>
      <c r="X63" s="1">
        <v>3.65</v>
      </c>
      <c r="Y63" s="1">
        <v>25.573</v>
      </c>
      <c r="Z63" s="1">
        <v>0.122</v>
      </c>
      <c r="AA63" s="1">
        <v>2.6</v>
      </c>
      <c r="AB63" s="1">
        <v>-2.7</v>
      </c>
      <c r="AC63" s="1">
        <v>-2.8</v>
      </c>
      <c r="AD63" s="1">
        <v>3.6459999999999999</v>
      </c>
      <c r="AE63" s="1">
        <v>4.2000000000000003E-2</v>
      </c>
      <c r="AF63" s="1">
        <v>0.158</v>
      </c>
      <c r="AI63" s="1">
        <v>0</v>
      </c>
      <c r="AJ63" s="1">
        <v>0</v>
      </c>
      <c r="AK63" s="1">
        <v>0</v>
      </c>
      <c r="AL63" s="1">
        <v>1</v>
      </c>
      <c r="AM63" s="1">
        <v>68689</v>
      </c>
      <c r="AN63" s="1">
        <v>26688</v>
      </c>
      <c r="AO63" s="1">
        <v>42001</v>
      </c>
      <c r="AP63" s="1">
        <v>48629</v>
      </c>
      <c r="AQ63" s="1">
        <v>2.7422035102508739</v>
      </c>
    </row>
    <row r="64" spans="1:43" x14ac:dyDescent="0.45">
      <c r="A64" s="1">
        <v>119</v>
      </c>
      <c r="B64" s="1">
        <v>128</v>
      </c>
      <c r="C64" s="1">
        <v>88</v>
      </c>
      <c r="D64" s="1" t="s">
        <v>115</v>
      </c>
      <c r="E64" s="1" t="s">
        <v>116</v>
      </c>
      <c r="F64" s="1" t="s">
        <v>117</v>
      </c>
      <c r="G64" s="1" t="s">
        <v>54</v>
      </c>
      <c r="H64" s="1" t="s">
        <v>47</v>
      </c>
      <c r="I64" s="1">
        <v>830</v>
      </c>
      <c r="J64" s="1">
        <v>39746</v>
      </c>
      <c r="K64" s="1">
        <v>1</v>
      </c>
      <c r="L64" s="1">
        <v>87</v>
      </c>
      <c r="M64" s="1">
        <v>2297</v>
      </c>
      <c r="N64" s="1" t="s">
        <v>48</v>
      </c>
      <c r="O64" s="1">
        <v>195172</v>
      </c>
      <c r="P64" s="1">
        <v>95</v>
      </c>
      <c r="Q64" s="1" t="s">
        <v>127</v>
      </c>
      <c r="R64" s="1" t="s">
        <v>50</v>
      </c>
      <c r="S64" s="1">
        <v>0</v>
      </c>
      <c r="T64" s="1">
        <v>0</v>
      </c>
      <c r="U64" s="1">
        <v>181.34700000000001</v>
      </c>
      <c r="V64" s="1">
        <v>21.968</v>
      </c>
      <c r="W64" s="1">
        <v>1.57</v>
      </c>
      <c r="X64" s="1">
        <v>3.605</v>
      </c>
      <c r="Y64" s="1">
        <v>25.573</v>
      </c>
      <c r="Z64" s="1">
        <v>8.7999999999999995E-2</v>
      </c>
      <c r="AA64" s="1">
        <v>2.8</v>
      </c>
      <c r="AB64" s="1">
        <v>-1.6</v>
      </c>
      <c r="AC64" s="1">
        <v>-1.6</v>
      </c>
      <c r="AD64" s="1">
        <v>3.605</v>
      </c>
      <c r="AE64" s="1">
        <v>0.05</v>
      </c>
      <c r="AF64" s="1">
        <v>0.185</v>
      </c>
      <c r="AI64" s="1">
        <v>0</v>
      </c>
      <c r="AJ64" s="1">
        <v>0</v>
      </c>
      <c r="AK64" s="1">
        <v>0</v>
      </c>
      <c r="AL64" s="1">
        <v>1</v>
      </c>
      <c r="AM64" s="1">
        <v>67870</v>
      </c>
      <c r="AN64" s="1">
        <v>25547</v>
      </c>
      <c r="AO64" s="1">
        <v>42323</v>
      </c>
      <c r="AP64" s="1">
        <v>49064</v>
      </c>
      <c r="AQ64" s="1">
        <v>2.1957611314984709</v>
      </c>
    </row>
    <row r="65" spans="1:43" x14ac:dyDescent="0.45">
      <c r="A65" s="1">
        <v>123</v>
      </c>
      <c r="B65" s="1">
        <v>128</v>
      </c>
      <c r="C65" s="1">
        <v>88</v>
      </c>
      <c r="D65" s="1" t="s">
        <v>115</v>
      </c>
      <c r="E65" s="1" t="s">
        <v>116</v>
      </c>
      <c r="F65" s="1" t="s">
        <v>117</v>
      </c>
      <c r="G65" s="1" t="s">
        <v>54</v>
      </c>
      <c r="H65" s="1" t="s">
        <v>47</v>
      </c>
      <c r="I65" s="1">
        <v>830</v>
      </c>
      <c r="J65" s="1">
        <v>39746</v>
      </c>
      <c r="K65" s="1">
        <v>1</v>
      </c>
      <c r="L65" s="1">
        <v>87</v>
      </c>
      <c r="M65" s="1">
        <v>2303</v>
      </c>
      <c r="N65" s="1" t="s">
        <v>48</v>
      </c>
      <c r="O65" s="1">
        <v>195179</v>
      </c>
      <c r="P65" s="1">
        <v>95</v>
      </c>
      <c r="Q65" s="1" t="s">
        <v>127</v>
      </c>
      <c r="R65" s="1" t="s">
        <v>50</v>
      </c>
      <c r="S65" s="1">
        <v>0</v>
      </c>
      <c r="T65" s="1">
        <v>0</v>
      </c>
      <c r="U65" s="1">
        <v>155.964</v>
      </c>
      <c r="V65" s="1">
        <v>22.390999999999998</v>
      </c>
      <c r="W65" s="1">
        <v>1.5</v>
      </c>
      <c r="X65" s="1">
        <v>3.1819999999999999</v>
      </c>
      <c r="Y65" s="1">
        <v>25.573</v>
      </c>
      <c r="Z65" s="1">
        <v>0.24299999999999999</v>
      </c>
      <c r="AA65" s="1">
        <v>2.1</v>
      </c>
      <c r="AB65" s="1">
        <v>-2.7</v>
      </c>
      <c r="AC65" s="1">
        <v>-2.7</v>
      </c>
      <c r="AD65" s="1">
        <v>3.1819999999999999</v>
      </c>
      <c r="AE65" s="1">
        <v>3.9E-2</v>
      </c>
      <c r="AF65" s="1">
        <v>0.128</v>
      </c>
      <c r="AI65" s="1">
        <v>0</v>
      </c>
      <c r="AJ65" s="1">
        <v>0</v>
      </c>
      <c r="AK65" s="1">
        <v>0</v>
      </c>
      <c r="AL65" s="1">
        <v>1</v>
      </c>
      <c r="AM65" s="1">
        <v>65211</v>
      </c>
      <c r="AN65" s="1">
        <v>21619</v>
      </c>
      <c r="AO65" s="1">
        <v>43591</v>
      </c>
      <c r="AP65" s="1">
        <v>48849</v>
      </c>
      <c r="AQ65" s="1">
        <v>21.291210193614429</v>
      </c>
    </row>
    <row r="66" spans="1:43" x14ac:dyDescent="0.45">
      <c r="A66" s="1">
        <v>132</v>
      </c>
      <c r="B66" s="1">
        <v>128</v>
      </c>
      <c r="C66" s="1">
        <v>88</v>
      </c>
      <c r="D66" s="1" t="s">
        <v>115</v>
      </c>
      <c r="E66" s="1" t="s">
        <v>116</v>
      </c>
      <c r="F66" s="1" t="s">
        <v>117</v>
      </c>
      <c r="G66" s="1" t="s">
        <v>54</v>
      </c>
      <c r="H66" s="1" t="s">
        <v>47</v>
      </c>
      <c r="I66" s="1">
        <v>830</v>
      </c>
      <c r="J66" s="1">
        <v>39746</v>
      </c>
      <c r="K66" s="1">
        <v>1</v>
      </c>
      <c r="L66" s="1">
        <v>87</v>
      </c>
      <c r="M66" s="1">
        <v>2319</v>
      </c>
      <c r="N66" s="1" t="s">
        <v>48</v>
      </c>
      <c r="O66" s="1">
        <v>195209</v>
      </c>
      <c r="P66" s="1">
        <v>95</v>
      </c>
      <c r="Q66" s="1" t="s">
        <v>127</v>
      </c>
      <c r="R66" s="1" t="s">
        <v>50</v>
      </c>
      <c r="S66" s="1">
        <v>0</v>
      </c>
      <c r="T66" s="1">
        <v>0</v>
      </c>
      <c r="U66" s="1">
        <v>245.447</v>
      </c>
      <c r="V66" s="1">
        <v>22.640999999999998</v>
      </c>
      <c r="W66" s="1">
        <v>1.45</v>
      </c>
      <c r="X66" s="1">
        <v>2.931</v>
      </c>
      <c r="Y66" s="1">
        <v>25.571000000000002</v>
      </c>
      <c r="Z66" s="1">
        <v>0.307</v>
      </c>
      <c r="AA66" s="1">
        <v>2.2999999999999998</v>
      </c>
      <c r="AB66" s="1">
        <v>2.5</v>
      </c>
      <c r="AC66" s="1">
        <v>-3.1</v>
      </c>
      <c r="AD66" s="1">
        <v>2.9220000000000002</v>
      </c>
      <c r="AE66" s="1">
        <v>1.0999999999999999E-2</v>
      </c>
      <c r="AF66" s="1">
        <v>4.7E-2</v>
      </c>
      <c r="AG66" s="1">
        <v>2.2999999999999998</v>
      </c>
      <c r="AI66" s="1">
        <v>0</v>
      </c>
      <c r="AJ66" s="1">
        <v>0</v>
      </c>
      <c r="AK66" s="1">
        <v>0</v>
      </c>
      <c r="AL66" s="1">
        <v>1</v>
      </c>
      <c r="AM66" s="1">
        <v>63999</v>
      </c>
      <c r="AN66" s="1">
        <v>20536</v>
      </c>
      <c r="AO66" s="1">
        <v>43463</v>
      </c>
      <c r="AP66" s="1">
        <v>48707</v>
      </c>
      <c r="AQ66" s="1">
        <v>2.9340896201097939</v>
      </c>
    </row>
    <row r="67" spans="1:43" x14ac:dyDescent="0.45">
      <c r="A67" s="1">
        <v>147</v>
      </c>
      <c r="B67" s="1">
        <v>128</v>
      </c>
      <c r="C67" s="1">
        <v>88</v>
      </c>
      <c r="D67" s="1" t="s">
        <v>115</v>
      </c>
      <c r="E67" s="1" t="s">
        <v>116</v>
      </c>
      <c r="F67" s="1" t="s">
        <v>117</v>
      </c>
      <c r="G67" s="1" t="s">
        <v>54</v>
      </c>
      <c r="H67" s="1" t="s">
        <v>47</v>
      </c>
      <c r="I67" s="1">
        <v>830</v>
      </c>
      <c r="J67" s="1">
        <v>39746</v>
      </c>
      <c r="K67" s="1">
        <v>1</v>
      </c>
      <c r="L67" s="1">
        <v>87</v>
      </c>
      <c r="M67" s="1">
        <v>2358</v>
      </c>
      <c r="N67" s="1" t="s">
        <v>48</v>
      </c>
      <c r="O67" s="1">
        <v>195316</v>
      </c>
      <c r="P67" s="1">
        <v>95</v>
      </c>
      <c r="Q67" s="1" t="s">
        <v>127</v>
      </c>
      <c r="R67" s="1" t="s">
        <v>50</v>
      </c>
      <c r="S67" s="1">
        <v>0</v>
      </c>
      <c r="T67" s="1">
        <v>0</v>
      </c>
      <c r="U67" s="1">
        <v>75.606999999999999</v>
      </c>
      <c r="V67" s="1">
        <v>22.675999999999998</v>
      </c>
      <c r="W67" s="1">
        <v>1.52</v>
      </c>
      <c r="X67" s="1">
        <v>2.8940000000000001</v>
      </c>
      <c r="Y67" s="1">
        <v>25.57</v>
      </c>
      <c r="Z67" s="1">
        <v>0.39900000000000002</v>
      </c>
      <c r="AA67" s="1">
        <v>2.7</v>
      </c>
      <c r="AB67" s="1">
        <v>-1.4</v>
      </c>
      <c r="AC67" s="1">
        <v>-1.4</v>
      </c>
      <c r="AD67" s="1">
        <v>2.8940000000000001</v>
      </c>
      <c r="AE67" s="1">
        <v>0.29099999999999998</v>
      </c>
      <c r="AF67" s="1">
        <v>0.84199999999999997</v>
      </c>
      <c r="AG67" s="1">
        <v>2.7</v>
      </c>
      <c r="AI67" s="1">
        <v>0</v>
      </c>
      <c r="AJ67" s="1">
        <v>0</v>
      </c>
      <c r="AK67" s="1">
        <v>0</v>
      </c>
      <c r="AL67" s="1">
        <v>1</v>
      </c>
      <c r="AM67" s="1">
        <v>63828</v>
      </c>
      <c r="AN67" s="1">
        <v>20204</v>
      </c>
      <c r="AO67" s="1">
        <v>43624</v>
      </c>
      <c r="AP67" s="1">
        <v>48811</v>
      </c>
      <c r="AQ67" s="1">
        <v>10.23284716234854</v>
      </c>
    </row>
    <row r="68" spans="1:43" x14ac:dyDescent="0.45">
      <c r="A68" s="1">
        <v>131</v>
      </c>
      <c r="B68" s="1">
        <v>128</v>
      </c>
      <c r="C68" s="1">
        <v>88</v>
      </c>
      <c r="D68" s="1" t="s">
        <v>115</v>
      </c>
      <c r="E68" s="1" t="s">
        <v>116</v>
      </c>
      <c r="F68" s="1" t="s">
        <v>117</v>
      </c>
      <c r="G68" s="1" t="s">
        <v>54</v>
      </c>
      <c r="H68" s="1" t="s">
        <v>47</v>
      </c>
      <c r="I68" s="1">
        <v>830</v>
      </c>
      <c r="J68" s="1">
        <v>39746</v>
      </c>
      <c r="K68" s="1">
        <v>1</v>
      </c>
      <c r="L68" s="1">
        <v>87</v>
      </c>
      <c r="M68" s="1">
        <v>2318</v>
      </c>
      <c r="N68" s="1" t="s">
        <v>48</v>
      </c>
      <c r="O68" s="1">
        <v>195208</v>
      </c>
      <c r="P68" s="1">
        <v>95</v>
      </c>
      <c r="Q68" s="1" t="s">
        <v>127</v>
      </c>
      <c r="R68" s="1" t="s">
        <v>50</v>
      </c>
      <c r="S68" s="1">
        <v>0</v>
      </c>
      <c r="T68" s="1">
        <v>0</v>
      </c>
      <c r="U68" s="1">
        <v>264.02999999999997</v>
      </c>
      <c r="V68" s="1">
        <v>22.882999999999999</v>
      </c>
      <c r="W68" s="1">
        <v>1.41</v>
      </c>
      <c r="X68" s="1">
        <v>2.6880000000000002</v>
      </c>
      <c r="Y68" s="1">
        <v>25.571000000000002</v>
      </c>
      <c r="Z68" s="1">
        <v>0.315</v>
      </c>
      <c r="AA68" s="1">
        <v>2</v>
      </c>
      <c r="AB68" s="1">
        <v>2.6</v>
      </c>
      <c r="AC68" s="1">
        <v>3</v>
      </c>
      <c r="AD68" s="1">
        <v>2.6789999999999998</v>
      </c>
      <c r="AE68" s="1">
        <v>2.1000000000000001E-2</v>
      </c>
      <c r="AF68" s="1">
        <v>5.8000000000000003E-2</v>
      </c>
      <c r="AI68" s="1">
        <v>0</v>
      </c>
      <c r="AJ68" s="1">
        <v>0</v>
      </c>
      <c r="AK68" s="1">
        <v>0</v>
      </c>
      <c r="AL68" s="1">
        <v>1</v>
      </c>
      <c r="AM68" s="1">
        <v>62862</v>
      </c>
      <c r="AN68" s="1">
        <v>18741</v>
      </c>
      <c r="AO68" s="1">
        <v>44121</v>
      </c>
      <c r="AP68" s="1">
        <v>48586</v>
      </c>
      <c r="AQ68" s="1">
        <v>31.230541444332388</v>
      </c>
    </row>
    <row r="69" spans="1:43" x14ac:dyDescent="0.45">
      <c r="A69" s="1">
        <v>121</v>
      </c>
      <c r="B69" s="1">
        <v>128</v>
      </c>
      <c r="C69" s="1">
        <v>88</v>
      </c>
      <c r="D69" s="1" t="s">
        <v>115</v>
      </c>
      <c r="E69" s="1" t="s">
        <v>116</v>
      </c>
      <c r="F69" s="1" t="s">
        <v>117</v>
      </c>
      <c r="G69" s="1" t="s">
        <v>54</v>
      </c>
      <c r="H69" s="1" t="s">
        <v>47</v>
      </c>
      <c r="I69" s="1">
        <v>830</v>
      </c>
      <c r="J69" s="1">
        <v>39746</v>
      </c>
      <c r="K69" s="1">
        <v>1</v>
      </c>
      <c r="L69" s="1">
        <v>87</v>
      </c>
      <c r="M69" s="1">
        <v>2301</v>
      </c>
      <c r="N69" s="1" t="s">
        <v>48</v>
      </c>
      <c r="O69" s="1">
        <v>195176</v>
      </c>
      <c r="P69" s="1">
        <v>95</v>
      </c>
      <c r="Q69" s="1" t="s">
        <v>127</v>
      </c>
      <c r="R69" s="1" t="s">
        <v>50</v>
      </c>
      <c r="S69" s="1">
        <v>0</v>
      </c>
      <c r="T69" s="1">
        <v>0</v>
      </c>
      <c r="U69" s="1">
        <v>305.37299999999999</v>
      </c>
      <c r="V69" s="1">
        <v>22.896999999999998</v>
      </c>
      <c r="W69" s="1">
        <v>1.41</v>
      </c>
      <c r="X69" s="1">
        <v>2.6760000000000002</v>
      </c>
      <c r="Y69" s="1">
        <v>25.573</v>
      </c>
      <c r="Z69" s="1">
        <v>0.28100000000000003</v>
      </c>
      <c r="AA69" s="1">
        <v>2.1</v>
      </c>
      <c r="AB69" s="1">
        <v>0.8</v>
      </c>
      <c r="AC69" s="1">
        <v>0.5</v>
      </c>
      <c r="AD69" s="1">
        <v>2.6640000000000001</v>
      </c>
      <c r="AE69" s="1">
        <v>0.03</v>
      </c>
      <c r="AF69" s="1">
        <v>8.2000000000000003E-2</v>
      </c>
      <c r="AI69" s="1">
        <v>0</v>
      </c>
      <c r="AJ69" s="1">
        <v>0</v>
      </c>
      <c r="AK69" s="1">
        <v>0</v>
      </c>
      <c r="AL69" s="1">
        <v>1</v>
      </c>
      <c r="AM69" s="1">
        <v>62801</v>
      </c>
      <c r="AN69" s="1">
        <v>18666</v>
      </c>
      <c r="AO69" s="1">
        <v>44136</v>
      </c>
      <c r="AP69" s="1">
        <v>49552</v>
      </c>
      <c r="AQ69" s="1">
        <v>32.115410528628978</v>
      </c>
    </row>
    <row r="70" spans="1:43" x14ac:dyDescent="0.45">
      <c r="A70" s="1">
        <v>19</v>
      </c>
      <c r="B70" s="1">
        <v>26</v>
      </c>
      <c r="C70" s="1">
        <v>126</v>
      </c>
      <c r="D70" s="1" t="s">
        <v>51</v>
      </c>
      <c r="E70" s="1" t="s">
        <v>52</v>
      </c>
      <c r="F70" s="1" t="s">
        <v>53</v>
      </c>
      <c r="G70" s="1" t="s">
        <v>54</v>
      </c>
      <c r="H70" s="1" t="s">
        <v>47</v>
      </c>
      <c r="I70" s="1">
        <v>1113</v>
      </c>
      <c r="J70" s="1">
        <v>60690</v>
      </c>
      <c r="K70" s="1">
        <v>1</v>
      </c>
      <c r="L70" s="1">
        <v>125</v>
      </c>
      <c r="M70" s="1">
        <v>964</v>
      </c>
      <c r="N70" s="1" t="s">
        <v>48</v>
      </c>
      <c r="O70" s="1">
        <v>13983</v>
      </c>
      <c r="P70" s="1">
        <v>95</v>
      </c>
      <c r="Q70" s="1" t="s">
        <v>127</v>
      </c>
      <c r="R70" s="1" t="s">
        <v>50</v>
      </c>
      <c r="S70" s="1">
        <v>0</v>
      </c>
      <c r="T70" s="1">
        <v>0</v>
      </c>
      <c r="U70" s="1">
        <v>120.179</v>
      </c>
      <c r="V70" s="1">
        <v>26.143000000000001</v>
      </c>
      <c r="W70" s="1">
        <v>1.29</v>
      </c>
      <c r="X70" s="1">
        <v>1.831</v>
      </c>
      <c r="Y70" s="1">
        <v>27.974</v>
      </c>
      <c r="Z70" s="1">
        <v>4.1000000000000002E-2</v>
      </c>
      <c r="AA70" s="1">
        <v>0.4</v>
      </c>
      <c r="AB70" s="1">
        <v>0.4</v>
      </c>
      <c r="AC70" s="1">
        <v>0.4</v>
      </c>
      <c r="AD70" s="1">
        <v>1.831</v>
      </c>
      <c r="AE70" s="1">
        <v>4.1000000000000002E-2</v>
      </c>
      <c r="AF70" s="1">
        <v>7.4999999999999997E-2</v>
      </c>
      <c r="AG70" s="1">
        <v>0.4</v>
      </c>
      <c r="AI70" s="1">
        <v>0</v>
      </c>
      <c r="AJ70" s="1">
        <v>0</v>
      </c>
      <c r="AK70" s="1">
        <v>0</v>
      </c>
      <c r="AL70" s="1">
        <v>1</v>
      </c>
      <c r="AM70" s="1">
        <v>86400</v>
      </c>
      <c r="AN70" s="1">
        <v>82140</v>
      </c>
      <c r="AO70" s="1">
        <v>4260</v>
      </c>
      <c r="AP70" s="1">
        <v>46880</v>
      </c>
      <c r="AQ70" s="1">
        <v>18.214009098420071</v>
      </c>
    </row>
    <row r="71" spans="1:43" x14ac:dyDescent="0.45">
      <c r="A71" s="1">
        <v>235</v>
      </c>
      <c r="B71" s="1">
        <v>332</v>
      </c>
      <c r="C71" s="1">
        <v>25</v>
      </c>
      <c r="D71" s="1" t="s">
        <v>70</v>
      </c>
      <c r="E71" s="1" t="s">
        <v>71</v>
      </c>
      <c r="F71" s="1" t="s">
        <v>72</v>
      </c>
      <c r="G71" s="1" t="s">
        <v>46</v>
      </c>
      <c r="H71" s="1" t="s">
        <v>47</v>
      </c>
      <c r="I71" s="1">
        <v>664</v>
      </c>
      <c r="J71" s="1">
        <v>19970</v>
      </c>
      <c r="K71" s="1">
        <v>1</v>
      </c>
      <c r="L71" s="1">
        <v>24</v>
      </c>
      <c r="M71" s="1">
        <v>2066</v>
      </c>
      <c r="N71" s="1" t="s">
        <v>48</v>
      </c>
      <c r="O71" s="1">
        <v>183770</v>
      </c>
      <c r="P71" s="1">
        <v>95</v>
      </c>
      <c r="Q71" s="1" t="s">
        <v>127</v>
      </c>
      <c r="R71" s="1" t="s">
        <v>50</v>
      </c>
      <c r="S71" s="1">
        <v>0</v>
      </c>
      <c r="T71" s="1">
        <v>0</v>
      </c>
      <c r="U71" s="1">
        <v>134.53299999999999</v>
      </c>
      <c r="V71" s="1">
        <v>25.527000000000001</v>
      </c>
      <c r="W71" s="1">
        <v>1.3</v>
      </c>
      <c r="X71" s="1">
        <v>1.8149999999999999</v>
      </c>
      <c r="Y71" s="1">
        <v>27.341999999999999</v>
      </c>
      <c r="Z71" s="1">
        <v>0.13800000000000001</v>
      </c>
      <c r="AA71" s="1">
        <v>2.7</v>
      </c>
      <c r="AB71" s="1">
        <v>2.7</v>
      </c>
      <c r="AC71" s="1">
        <v>2.7</v>
      </c>
      <c r="AD71" s="1">
        <v>1.8129999999999999</v>
      </c>
      <c r="AE71" s="1">
        <v>0.124</v>
      </c>
      <c r="AF71" s="1">
        <v>0.24199999999999999</v>
      </c>
      <c r="AG71" s="1">
        <v>2.7</v>
      </c>
      <c r="AI71" s="1">
        <v>0</v>
      </c>
      <c r="AJ71" s="1">
        <v>0</v>
      </c>
      <c r="AK71" s="1">
        <v>0</v>
      </c>
      <c r="AL71" s="1">
        <v>1</v>
      </c>
      <c r="AM71" s="1">
        <v>86400</v>
      </c>
      <c r="AN71" s="1">
        <v>81536</v>
      </c>
      <c r="AO71" s="1">
        <v>4864</v>
      </c>
      <c r="AP71" s="1">
        <v>47067</v>
      </c>
      <c r="AQ71" s="1">
        <v>14.97557869686381</v>
      </c>
    </row>
    <row r="72" spans="1:43" x14ac:dyDescent="0.45">
      <c r="A72" s="1">
        <v>237</v>
      </c>
      <c r="B72" s="1">
        <v>333</v>
      </c>
      <c r="C72" s="1">
        <v>24</v>
      </c>
      <c r="D72" s="1" t="s">
        <v>73</v>
      </c>
      <c r="E72" s="1" t="s">
        <v>74</v>
      </c>
      <c r="F72" s="1" t="s">
        <v>75</v>
      </c>
      <c r="G72" s="1" t="s">
        <v>46</v>
      </c>
      <c r="H72" s="1" t="s">
        <v>47</v>
      </c>
      <c r="I72" s="1">
        <v>586</v>
      </c>
      <c r="J72" s="1">
        <v>18129</v>
      </c>
      <c r="K72" s="1">
        <v>1</v>
      </c>
      <c r="L72" s="1">
        <v>23</v>
      </c>
      <c r="M72" s="1">
        <v>2066</v>
      </c>
      <c r="N72" s="1" t="s">
        <v>48</v>
      </c>
      <c r="O72" s="1">
        <v>183770</v>
      </c>
      <c r="P72" s="1">
        <v>95</v>
      </c>
      <c r="Q72" s="1" t="s">
        <v>127</v>
      </c>
      <c r="R72" s="1" t="s">
        <v>50</v>
      </c>
      <c r="S72" s="1">
        <v>0</v>
      </c>
      <c r="T72" s="1">
        <v>0</v>
      </c>
      <c r="U72" s="1">
        <v>134.53299999999999</v>
      </c>
      <c r="V72" s="1">
        <v>25.527000000000001</v>
      </c>
      <c r="W72" s="1">
        <v>1.3</v>
      </c>
      <c r="X72" s="1">
        <v>1.8149999999999999</v>
      </c>
      <c r="Y72" s="1">
        <v>27.341999999999999</v>
      </c>
      <c r="Z72" s="1">
        <v>0.13800000000000001</v>
      </c>
      <c r="AA72" s="1">
        <v>2.7</v>
      </c>
      <c r="AB72" s="1">
        <v>2.7</v>
      </c>
      <c r="AC72" s="1">
        <v>2.7</v>
      </c>
      <c r="AD72" s="1">
        <v>1.8129999999999999</v>
      </c>
      <c r="AE72" s="1">
        <v>0.124</v>
      </c>
      <c r="AF72" s="1">
        <v>0.24199999999999999</v>
      </c>
      <c r="AG72" s="1">
        <v>2.7</v>
      </c>
      <c r="AI72" s="1">
        <v>0</v>
      </c>
      <c r="AJ72" s="1">
        <v>0</v>
      </c>
      <c r="AK72" s="1">
        <v>0</v>
      </c>
      <c r="AL72" s="1">
        <v>1</v>
      </c>
      <c r="AM72" s="1">
        <v>86400</v>
      </c>
      <c r="AN72" s="1">
        <v>81536</v>
      </c>
      <c r="AO72" s="1">
        <v>4864</v>
      </c>
      <c r="AP72" s="1">
        <v>47067</v>
      </c>
      <c r="AQ72" s="1">
        <v>1.107249760698368</v>
      </c>
    </row>
    <row r="73" spans="1:43" x14ac:dyDescent="0.45">
      <c r="A73" s="1">
        <v>238</v>
      </c>
      <c r="B73" s="1">
        <v>334</v>
      </c>
      <c r="C73" s="1">
        <v>25</v>
      </c>
      <c r="D73" s="1" t="s">
        <v>70</v>
      </c>
      <c r="E73" s="1" t="s">
        <v>71</v>
      </c>
      <c r="F73" s="1" t="s">
        <v>72</v>
      </c>
      <c r="G73" s="1" t="s">
        <v>46</v>
      </c>
      <c r="H73" s="1" t="s">
        <v>47</v>
      </c>
      <c r="I73" s="1">
        <v>664</v>
      </c>
      <c r="J73" s="1">
        <v>19970</v>
      </c>
      <c r="K73" s="1">
        <v>1</v>
      </c>
      <c r="L73" s="1">
        <v>24</v>
      </c>
      <c r="M73" s="1">
        <v>2066</v>
      </c>
      <c r="N73" s="1" t="s">
        <v>48</v>
      </c>
      <c r="O73" s="1">
        <v>183770</v>
      </c>
      <c r="P73" s="1">
        <v>95</v>
      </c>
      <c r="Q73" s="1" t="s">
        <v>127</v>
      </c>
      <c r="R73" s="1" t="s">
        <v>50</v>
      </c>
      <c r="S73" s="1">
        <v>0</v>
      </c>
      <c r="T73" s="1">
        <v>0</v>
      </c>
      <c r="U73" s="1">
        <v>134.53299999999999</v>
      </c>
      <c r="V73" s="1">
        <v>25.527000000000001</v>
      </c>
      <c r="W73" s="1">
        <v>1.3</v>
      </c>
      <c r="X73" s="1">
        <v>1.8149999999999999</v>
      </c>
      <c r="Y73" s="1">
        <v>27.341999999999999</v>
      </c>
      <c r="Z73" s="1">
        <v>0.13800000000000001</v>
      </c>
      <c r="AA73" s="1">
        <v>2.7</v>
      </c>
      <c r="AB73" s="1">
        <v>2.7</v>
      </c>
      <c r="AC73" s="1">
        <v>2.7</v>
      </c>
      <c r="AD73" s="1">
        <v>1.8129999999999999</v>
      </c>
      <c r="AE73" s="1">
        <v>0.124</v>
      </c>
      <c r="AF73" s="1">
        <v>0.24199999999999999</v>
      </c>
      <c r="AG73" s="1">
        <v>2.7</v>
      </c>
      <c r="AI73" s="1">
        <v>0</v>
      </c>
      <c r="AJ73" s="1">
        <v>0</v>
      </c>
      <c r="AK73" s="1">
        <v>0</v>
      </c>
      <c r="AL73" s="1">
        <v>1</v>
      </c>
      <c r="AM73" s="1">
        <v>86400</v>
      </c>
      <c r="AN73" s="1">
        <v>81536</v>
      </c>
      <c r="AO73" s="1">
        <v>4864</v>
      </c>
      <c r="AP73" s="1">
        <v>47067</v>
      </c>
      <c r="AQ73" s="1">
        <v>1.092180301669939</v>
      </c>
    </row>
    <row r="74" spans="1:43" x14ac:dyDescent="0.45">
      <c r="A74" s="1">
        <v>250</v>
      </c>
      <c r="B74" s="1">
        <v>425</v>
      </c>
      <c r="C74" s="1">
        <v>24</v>
      </c>
      <c r="D74" s="1" t="s">
        <v>73</v>
      </c>
      <c r="E74" s="1" t="s">
        <v>74</v>
      </c>
      <c r="F74" s="1" t="s">
        <v>75</v>
      </c>
      <c r="G74" s="1" t="s">
        <v>46</v>
      </c>
      <c r="H74" s="1" t="s">
        <v>47</v>
      </c>
      <c r="I74" s="1">
        <v>586</v>
      </c>
      <c r="J74" s="1">
        <v>18129</v>
      </c>
      <c r="K74" s="1">
        <v>1</v>
      </c>
      <c r="L74" s="1">
        <v>23</v>
      </c>
      <c r="M74" s="1">
        <v>2066</v>
      </c>
      <c r="N74" s="1" t="s">
        <v>48</v>
      </c>
      <c r="O74" s="1">
        <v>183770</v>
      </c>
      <c r="P74" s="1">
        <v>95</v>
      </c>
      <c r="Q74" s="1" t="s">
        <v>127</v>
      </c>
      <c r="R74" s="1" t="s">
        <v>50</v>
      </c>
      <c r="S74" s="1">
        <v>0</v>
      </c>
      <c r="T74" s="1">
        <v>0</v>
      </c>
      <c r="U74" s="1">
        <v>134.53299999999999</v>
      </c>
      <c r="V74" s="1">
        <v>25.527000000000001</v>
      </c>
      <c r="W74" s="1">
        <v>1.3</v>
      </c>
      <c r="X74" s="1">
        <v>1.8149999999999999</v>
      </c>
      <c r="Y74" s="1">
        <v>27.341999999999999</v>
      </c>
      <c r="Z74" s="1">
        <v>0.13800000000000001</v>
      </c>
      <c r="AA74" s="1">
        <v>2.7</v>
      </c>
      <c r="AB74" s="1">
        <v>2.7</v>
      </c>
      <c r="AC74" s="1">
        <v>2.7</v>
      </c>
      <c r="AD74" s="1">
        <v>1.8129999999999999</v>
      </c>
      <c r="AE74" s="1">
        <v>0.124</v>
      </c>
      <c r="AF74" s="1">
        <v>0.24199999999999999</v>
      </c>
      <c r="AG74" s="1">
        <v>2.7</v>
      </c>
      <c r="AI74" s="1">
        <v>0</v>
      </c>
      <c r="AJ74" s="1">
        <v>0</v>
      </c>
      <c r="AK74" s="1">
        <v>0</v>
      </c>
      <c r="AL74" s="1">
        <v>1</v>
      </c>
      <c r="AM74" s="1">
        <v>86400</v>
      </c>
      <c r="AN74" s="1">
        <v>81536</v>
      </c>
      <c r="AO74" s="1">
        <v>4864</v>
      </c>
      <c r="AP74" s="1">
        <v>47067</v>
      </c>
      <c r="AQ74" s="1">
        <v>15.60055264735368</v>
      </c>
    </row>
    <row r="75" spans="1:43" x14ac:dyDescent="0.45">
      <c r="A75" s="1">
        <v>146</v>
      </c>
      <c r="B75" s="1">
        <v>128</v>
      </c>
      <c r="C75" s="1">
        <v>88</v>
      </c>
      <c r="D75" s="1" t="s">
        <v>115</v>
      </c>
      <c r="E75" s="1" t="s">
        <v>116</v>
      </c>
      <c r="F75" s="1" t="s">
        <v>117</v>
      </c>
      <c r="G75" s="1" t="s">
        <v>54</v>
      </c>
      <c r="H75" s="1" t="s">
        <v>47</v>
      </c>
      <c r="I75" s="1">
        <v>830</v>
      </c>
      <c r="J75" s="1">
        <v>39746</v>
      </c>
      <c r="K75" s="1">
        <v>1</v>
      </c>
      <c r="L75" s="1">
        <v>87</v>
      </c>
      <c r="M75" s="1">
        <v>2357</v>
      </c>
      <c r="N75" s="1" t="s">
        <v>48</v>
      </c>
      <c r="O75" s="1">
        <v>195315</v>
      </c>
      <c r="P75" s="1">
        <v>95</v>
      </c>
      <c r="Q75" s="1" t="s">
        <v>127</v>
      </c>
      <c r="R75" s="1" t="s">
        <v>50</v>
      </c>
      <c r="S75" s="1">
        <v>0</v>
      </c>
      <c r="T75" s="1">
        <v>0</v>
      </c>
      <c r="U75" s="1">
        <v>96.864000000000004</v>
      </c>
      <c r="V75" s="1">
        <v>23.88</v>
      </c>
      <c r="W75" s="1">
        <v>1.32</v>
      </c>
      <c r="X75" s="1">
        <v>1.6870000000000001</v>
      </c>
      <c r="Y75" s="1">
        <v>25.567</v>
      </c>
      <c r="Z75" s="1">
        <v>0.41299999999999998</v>
      </c>
      <c r="AA75" s="1">
        <v>-1.6</v>
      </c>
      <c r="AB75" s="1">
        <v>-1.6</v>
      </c>
      <c r="AC75" s="1">
        <v>-1.6</v>
      </c>
      <c r="AD75" s="1">
        <v>1.6870000000000001</v>
      </c>
      <c r="AE75" s="1">
        <v>0.41299999999999998</v>
      </c>
      <c r="AF75" s="1">
        <v>0.69699999999999995</v>
      </c>
      <c r="AG75" s="1">
        <v>-1.6</v>
      </c>
      <c r="AI75" s="1">
        <v>0</v>
      </c>
      <c r="AJ75" s="1">
        <v>0</v>
      </c>
      <c r="AK75" s="1">
        <v>0</v>
      </c>
      <c r="AL75" s="1">
        <v>1</v>
      </c>
      <c r="AM75" s="1">
        <v>58603</v>
      </c>
      <c r="AN75" s="1">
        <v>14918</v>
      </c>
      <c r="AO75" s="1">
        <v>43685</v>
      </c>
      <c r="AP75" s="1">
        <v>48772</v>
      </c>
      <c r="AQ75" s="1">
        <v>12.865381977203279</v>
      </c>
    </row>
    <row r="76" spans="1:43" x14ac:dyDescent="0.45">
      <c r="A76" s="1">
        <v>20</v>
      </c>
      <c r="B76" s="1">
        <v>26</v>
      </c>
      <c r="C76" s="1">
        <v>126</v>
      </c>
      <c r="D76" s="1" t="s">
        <v>51</v>
      </c>
      <c r="E76" s="1" t="s">
        <v>52</v>
      </c>
      <c r="F76" s="1" t="s">
        <v>53</v>
      </c>
      <c r="G76" s="1" t="s">
        <v>54</v>
      </c>
      <c r="H76" s="1" t="s">
        <v>47</v>
      </c>
      <c r="I76" s="1">
        <v>1113</v>
      </c>
      <c r="J76" s="1">
        <v>60690</v>
      </c>
      <c r="K76" s="1">
        <v>1</v>
      </c>
      <c r="L76" s="1">
        <v>125</v>
      </c>
      <c r="M76" s="1">
        <v>965</v>
      </c>
      <c r="N76" s="1" t="s">
        <v>48</v>
      </c>
      <c r="O76" s="1">
        <v>13984</v>
      </c>
      <c r="P76" s="1">
        <v>95</v>
      </c>
      <c r="Q76" s="1" t="s">
        <v>127</v>
      </c>
      <c r="R76" s="1" t="s">
        <v>50</v>
      </c>
      <c r="S76" s="1">
        <v>0</v>
      </c>
      <c r="T76" s="1">
        <v>0</v>
      </c>
      <c r="U76" s="1">
        <v>56.768999999999998</v>
      </c>
      <c r="V76" s="1">
        <v>26.436</v>
      </c>
      <c r="W76" s="1">
        <v>1.26</v>
      </c>
      <c r="X76" s="1">
        <v>1.538</v>
      </c>
      <c r="Y76" s="1">
        <v>27.975000000000001</v>
      </c>
      <c r="Z76" s="1">
        <v>0.16300000000000001</v>
      </c>
      <c r="AA76" s="1">
        <v>2</v>
      </c>
      <c r="AB76" s="1">
        <v>2</v>
      </c>
      <c r="AC76" s="1">
        <v>2</v>
      </c>
      <c r="AD76" s="1">
        <v>1.538</v>
      </c>
      <c r="AE76" s="1">
        <v>0.16300000000000001</v>
      </c>
      <c r="AF76" s="1">
        <v>0.25</v>
      </c>
      <c r="AG76" s="1">
        <v>2</v>
      </c>
      <c r="AI76" s="1">
        <v>0</v>
      </c>
      <c r="AJ76" s="1">
        <v>0</v>
      </c>
      <c r="AK76" s="1">
        <v>0</v>
      </c>
      <c r="AL76" s="1">
        <v>1</v>
      </c>
      <c r="AM76" s="1">
        <v>86400</v>
      </c>
      <c r="AN76" s="1">
        <v>80994</v>
      </c>
      <c r="AO76" s="1">
        <v>5406</v>
      </c>
      <c r="AP76" s="1">
        <v>46933</v>
      </c>
      <c r="AQ76" s="1">
        <v>8.1239243294216497</v>
      </c>
    </row>
    <row r="77" spans="1:43" x14ac:dyDescent="0.45">
      <c r="A77" s="1">
        <v>77</v>
      </c>
      <c r="B77" s="1">
        <v>91</v>
      </c>
      <c r="C77" s="1">
        <v>117</v>
      </c>
      <c r="D77" s="1" t="s">
        <v>112</v>
      </c>
      <c r="E77" s="1" t="s">
        <v>113</v>
      </c>
      <c r="F77" s="1" t="s">
        <v>114</v>
      </c>
      <c r="G77" s="1" t="s">
        <v>54</v>
      </c>
      <c r="H77" s="1" t="s">
        <v>47</v>
      </c>
      <c r="I77" s="1">
        <v>948</v>
      </c>
      <c r="J77" s="1">
        <v>50781</v>
      </c>
      <c r="K77" s="1">
        <v>1</v>
      </c>
      <c r="L77" s="1">
        <v>116</v>
      </c>
      <c r="M77" s="1">
        <v>2372</v>
      </c>
      <c r="N77" s="1" t="s">
        <v>48</v>
      </c>
      <c r="O77" s="1">
        <v>195331</v>
      </c>
      <c r="P77" s="1">
        <v>95</v>
      </c>
      <c r="Q77" s="1" t="s">
        <v>127</v>
      </c>
      <c r="R77" s="1" t="s">
        <v>50</v>
      </c>
      <c r="S77" s="1">
        <v>0</v>
      </c>
      <c r="T77" s="1">
        <v>0</v>
      </c>
      <c r="U77" s="1">
        <v>65.272999999999996</v>
      </c>
      <c r="V77" s="1">
        <v>24.233000000000001</v>
      </c>
      <c r="W77" s="1">
        <v>1.26</v>
      </c>
      <c r="X77" s="1">
        <v>1.329</v>
      </c>
      <c r="Y77" s="1">
        <v>25.562000000000001</v>
      </c>
      <c r="Z77" s="1">
        <v>0.76800000000000002</v>
      </c>
      <c r="AA77" s="1">
        <v>2.2000000000000002</v>
      </c>
      <c r="AB77" s="1">
        <v>-0.6</v>
      </c>
      <c r="AC77" s="1">
        <v>-0.6</v>
      </c>
      <c r="AD77" s="1">
        <v>1.329</v>
      </c>
      <c r="AE77" s="1">
        <v>0.45800000000000002</v>
      </c>
      <c r="AF77" s="1">
        <v>0.60899999999999999</v>
      </c>
      <c r="AG77" s="1">
        <v>2.2000000000000002</v>
      </c>
      <c r="AI77" s="1">
        <v>0</v>
      </c>
      <c r="AJ77" s="1">
        <v>0</v>
      </c>
      <c r="AK77" s="1">
        <v>0</v>
      </c>
      <c r="AL77" s="1">
        <v>1</v>
      </c>
      <c r="AM77" s="1">
        <v>57189</v>
      </c>
      <c r="AN77" s="1">
        <v>13960</v>
      </c>
      <c r="AO77" s="1">
        <v>43228</v>
      </c>
      <c r="AP77" s="1">
        <v>48768</v>
      </c>
      <c r="AQ77" s="1">
        <v>16.500972932043261</v>
      </c>
    </row>
    <row r="78" spans="1:43" x14ac:dyDescent="0.45">
      <c r="A78" s="1">
        <v>17</v>
      </c>
      <c r="B78" s="1">
        <v>26</v>
      </c>
      <c r="C78" s="1">
        <v>126</v>
      </c>
      <c r="D78" s="1" t="s">
        <v>51</v>
      </c>
      <c r="E78" s="1" t="s">
        <v>52</v>
      </c>
      <c r="F78" s="1" t="s">
        <v>53</v>
      </c>
      <c r="G78" s="1" t="s">
        <v>54</v>
      </c>
      <c r="H78" s="1" t="s">
        <v>47</v>
      </c>
      <c r="I78" s="1">
        <v>1113</v>
      </c>
      <c r="J78" s="1">
        <v>60690</v>
      </c>
      <c r="K78" s="1">
        <v>1</v>
      </c>
      <c r="L78" s="1">
        <v>125</v>
      </c>
      <c r="M78" s="1">
        <v>962</v>
      </c>
      <c r="N78" s="1" t="s">
        <v>48</v>
      </c>
      <c r="O78" s="1">
        <v>13980</v>
      </c>
      <c r="P78" s="1">
        <v>95</v>
      </c>
      <c r="Q78" s="1" t="s">
        <v>127</v>
      </c>
      <c r="R78" s="1" t="s">
        <v>50</v>
      </c>
      <c r="S78" s="1">
        <v>0</v>
      </c>
      <c r="T78" s="1">
        <v>0</v>
      </c>
      <c r="U78" s="1">
        <v>129.672</v>
      </c>
      <c r="V78" s="1">
        <v>26.687000000000001</v>
      </c>
      <c r="W78" s="1">
        <v>1.26</v>
      </c>
      <c r="X78" s="1">
        <v>1.2869999999999999</v>
      </c>
      <c r="Y78" s="1">
        <v>27.974</v>
      </c>
      <c r="Z78" s="1">
        <v>0.56299999999999994</v>
      </c>
      <c r="AA78" s="1">
        <v>1.6</v>
      </c>
      <c r="AB78" s="1">
        <v>1.6</v>
      </c>
      <c r="AC78" s="1">
        <v>1.6</v>
      </c>
      <c r="AD78" s="1">
        <v>1.2869999999999999</v>
      </c>
      <c r="AE78" s="1">
        <v>0.56299999999999994</v>
      </c>
      <c r="AF78" s="1">
        <v>0.72499999999999998</v>
      </c>
      <c r="AG78" s="1">
        <v>1.6</v>
      </c>
      <c r="AI78" s="1">
        <v>0</v>
      </c>
      <c r="AJ78" s="1">
        <v>0</v>
      </c>
      <c r="AK78" s="1">
        <v>0</v>
      </c>
      <c r="AL78" s="1">
        <v>1</v>
      </c>
      <c r="AM78" s="1">
        <v>86400</v>
      </c>
      <c r="AN78" s="1">
        <v>82056</v>
      </c>
      <c r="AO78" s="1">
        <v>4344</v>
      </c>
      <c r="AP78" s="1">
        <v>46862</v>
      </c>
      <c r="AQ78" s="1">
        <v>16.446085103472111</v>
      </c>
    </row>
    <row r="79" spans="1:43" x14ac:dyDescent="0.45">
      <c r="A79" s="1">
        <v>21</v>
      </c>
      <c r="B79" s="1">
        <v>26</v>
      </c>
      <c r="C79" s="1">
        <v>126</v>
      </c>
      <c r="D79" s="1" t="s">
        <v>51</v>
      </c>
      <c r="E79" s="1" t="s">
        <v>52</v>
      </c>
      <c r="F79" s="1" t="s">
        <v>53</v>
      </c>
      <c r="G79" s="1" t="s">
        <v>54</v>
      </c>
      <c r="H79" s="1" t="s">
        <v>47</v>
      </c>
      <c r="I79" s="1">
        <v>1113</v>
      </c>
      <c r="J79" s="1">
        <v>60690</v>
      </c>
      <c r="K79" s="1">
        <v>1</v>
      </c>
      <c r="L79" s="1">
        <v>125</v>
      </c>
      <c r="M79" s="1">
        <v>966</v>
      </c>
      <c r="N79" s="1" t="s">
        <v>48</v>
      </c>
      <c r="O79" s="1">
        <v>13985</v>
      </c>
      <c r="P79" s="1">
        <v>95</v>
      </c>
      <c r="Q79" s="1" t="s">
        <v>127</v>
      </c>
      <c r="R79" s="1" t="s">
        <v>50</v>
      </c>
      <c r="S79" s="1">
        <v>0</v>
      </c>
      <c r="T79" s="1">
        <v>0</v>
      </c>
      <c r="U79" s="1">
        <v>123.34399999999999</v>
      </c>
      <c r="V79" s="1">
        <v>26.719000000000001</v>
      </c>
      <c r="W79" s="1">
        <v>1.22</v>
      </c>
      <c r="X79" s="1">
        <v>1.256</v>
      </c>
      <c r="Y79" s="1">
        <v>27.975000000000001</v>
      </c>
      <c r="Z79" s="1">
        <v>0.27600000000000002</v>
      </c>
      <c r="AA79" s="1">
        <v>1</v>
      </c>
      <c r="AB79" s="1">
        <v>0.9</v>
      </c>
      <c r="AC79" s="1">
        <v>0.9</v>
      </c>
      <c r="AD79" s="1">
        <v>1.256</v>
      </c>
      <c r="AE79" s="1">
        <v>0.26500000000000001</v>
      </c>
      <c r="AF79" s="1">
        <v>0.33500000000000002</v>
      </c>
      <c r="AG79" s="1">
        <v>1</v>
      </c>
      <c r="AI79" s="1">
        <v>0</v>
      </c>
      <c r="AJ79" s="1">
        <v>0</v>
      </c>
      <c r="AK79" s="1">
        <v>0</v>
      </c>
      <c r="AL79" s="1">
        <v>1</v>
      </c>
      <c r="AM79" s="1">
        <v>86400</v>
      </c>
      <c r="AN79" s="1">
        <v>79504</v>
      </c>
      <c r="AO79" s="1">
        <v>6896</v>
      </c>
      <c r="AP79" s="1">
        <v>47024</v>
      </c>
      <c r="AQ79" s="1">
        <v>19.124216548558131</v>
      </c>
    </row>
    <row r="80" spans="1:43" x14ac:dyDescent="0.45">
      <c r="A80" s="1">
        <v>29</v>
      </c>
      <c r="B80" s="1">
        <v>26</v>
      </c>
      <c r="C80" s="1">
        <v>126</v>
      </c>
      <c r="D80" s="1" t="s">
        <v>51</v>
      </c>
      <c r="E80" s="1" t="s">
        <v>52</v>
      </c>
      <c r="F80" s="1" t="s">
        <v>53</v>
      </c>
      <c r="G80" s="1" t="s">
        <v>54</v>
      </c>
      <c r="H80" s="1" t="s">
        <v>47</v>
      </c>
      <c r="I80" s="1">
        <v>1113</v>
      </c>
      <c r="J80" s="1">
        <v>60690</v>
      </c>
      <c r="K80" s="1">
        <v>1</v>
      </c>
      <c r="L80" s="1">
        <v>125</v>
      </c>
      <c r="M80" s="1">
        <v>981</v>
      </c>
      <c r="N80" s="1" t="s">
        <v>48</v>
      </c>
      <c r="O80" s="1">
        <v>14029</v>
      </c>
      <c r="P80" s="1">
        <v>95</v>
      </c>
      <c r="Q80" s="1" t="s">
        <v>127</v>
      </c>
      <c r="R80" s="1" t="s">
        <v>50</v>
      </c>
      <c r="S80" s="1">
        <v>0</v>
      </c>
      <c r="T80" s="1">
        <v>0</v>
      </c>
      <c r="U80" s="1">
        <v>87.582999999999998</v>
      </c>
      <c r="V80" s="1">
        <v>26.785</v>
      </c>
      <c r="W80" s="1">
        <v>1.18</v>
      </c>
      <c r="X80" s="1">
        <v>1.069</v>
      </c>
      <c r="Y80" s="1">
        <v>27.853000000000002</v>
      </c>
      <c r="Z80" s="1">
        <v>0.14699999999999999</v>
      </c>
      <c r="AA80" s="1">
        <v>2.2000000000000002</v>
      </c>
      <c r="AB80" s="1">
        <v>2.2000000000000002</v>
      </c>
      <c r="AC80" s="1">
        <v>2.2000000000000002</v>
      </c>
      <c r="AD80" s="1">
        <v>1.069</v>
      </c>
      <c r="AE80" s="1">
        <v>0.14699999999999999</v>
      </c>
      <c r="AF80" s="1">
        <v>0.157</v>
      </c>
      <c r="AG80" s="1">
        <v>2.2000000000000002</v>
      </c>
      <c r="AI80" s="1">
        <v>0</v>
      </c>
      <c r="AJ80" s="1">
        <v>0</v>
      </c>
      <c r="AK80" s="1">
        <v>0</v>
      </c>
      <c r="AL80" s="1">
        <v>1</v>
      </c>
      <c r="AM80" s="1">
        <v>86400</v>
      </c>
      <c r="AN80" s="1">
        <v>82057</v>
      </c>
      <c r="AO80" s="1">
        <v>4343</v>
      </c>
      <c r="AP80" s="1">
        <v>47121</v>
      </c>
      <c r="AQ80" s="1">
        <v>5.2917711164931864</v>
      </c>
    </row>
    <row r="81" spans="1:43" x14ac:dyDescent="0.45">
      <c r="A81" s="1">
        <v>11</v>
      </c>
      <c r="B81" s="1">
        <v>26</v>
      </c>
      <c r="C81" s="1">
        <v>126</v>
      </c>
      <c r="D81" s="1" t="s">
        <v>51</v>
      </c>
      <c r="E81" s="1" t="s">
        <v>52</v>
      </c>
      <c r="F81" s="1" t="s">
        <v>53</v>
      </c>
      <c r="G81" s="1" t="s">
        <v>54</v>
      </c>
      <c r="H81" s="1" t="s">
        <v>47</v>
      </c>
      <c r="I81" s="1">
        <v>1113</v>
      </c>
      <c r="J81" s="1">
        <v>60690</v>
      </c>
      <c r="K81" s="1">
        <v>1</v>
      </c>
      <c r="L81" s="1">
        <v>125</v>
      </c>
      <c r="M81" s="1">
        <v>955</v>
      </c>
      <c r="N81" s="1" t="s">
        <v>48</v>
      </c>
      <c r="O81" s="1">
        <v>13937</v>
      </c>
      <c r="P81" s="1">
        <v>95</v>
      </c>
      <c r="Q81" s="1" t="s">
        <v>127</v>
      </c>
      <c r="R81" s="1" t="s">
        <v>50</v>
      </c>
      <c r="S81" s="1">
        <v>0</v>
      </c>
      <c r="T81" s="1">
        <v>0</v>
      </c>
      <c r="U81" s="1">
        <v>96.623000000000005</v>
      </c>
      <c r="V81" s="1">
        <v>25.923999999999999</v>
      </c>
      <c r="W81" s="1">
        <v>1.29</v>
      </c>
      <c r="X81" s="1">
        <v>1.048</v>
      </c>
      <c r="Y81" s="1">
        <v>26.972000000000001</v>
      </c>
      <c r="Z81" s="1">
        <v>1.3320000000000001</v>
      </c>
      <c r="AA81" s="1">
        <v>0.5</v>
      </c>
      <c r="AB81" s="1">
        <v>0.5</v>
      </c>
      <c r="AC81" s="1">
        <v>0.5</v>
      </c>
      <c r="AD81" s="1">
        <v>1.048</v>
      </c>
      <c r="AE81" s="1">
        <v>1.331</v>
      </c>
      <c r="AF81" s="1">
        <v>1.395</v>
      </c>
      <c r="AG81" s="1">
        <v>0.5</v>
      </c>
      <c r="AI81" s="1">
        <v>0</v>
      </c>
      <c r="AJ81" s="1">
        <v>0</v>
      </c>
      <c r="AK81" s="1">
        <v>0</v>
      </c>
      <c r="AL81" s="1">
        <v>1</v>
      </c>
      <c r="AM81" s="1">
        <v>86400</v>
      </c>
      <c r="AN81" s="1">
        <v>82045</v>
      </c>
      <c r="AO81" s="1">
        <v>4355</v>
      </c>
      <c r="AP81" s="1">
        <v>46860</v>
      </c>
      <c r="AQ81" s="1">
        <v>13.826346560234111</v>
      </c>
    </row>
    <row r="82" spans="1:43" x14ac:dyDescent="0.45">
      <c r="A82" s="1">
        <v>28</v>
      </c>
      <c r="B82" s="1">
        <v>26</v>
      </c>
      <c r="C82" s="1">
        <v>126</v>
      </c>
      <c r="D82" s="1" t="s">
        <v>51</v>
      </c>
      <c r="E82" s="1" t="s">
        <v>52</v>
      </c>
      <c r="F82" s="1" t="s">
        <v>53</v>
      </c>
      <c r="G82" s="1" t="s">
        <v>54</v>
      </c>
      <c r="H82" s="1" t="s">
        <v>47</v>
      </c>
      <c r="I82" s="1">
        <v>1113</v>
      </c>
      <c r="J82" s="1">
        <v>60690</v>
      </c>
      <c r="K82" s="1">
        <v>1</v>
      </c>
      <c r="L82" s="1">
        <v>125</v>
      </c>
      <c r="M82" s="1">
        <v>980</v>
      </c>
      <c r="N82" s="1" t="s">
        <v>48</v>
      </c>
      <c r="O82" s="1">
        <v>14028</v>
      </c>
      <c r="P82" s="1">
        <v>95</v>
      </c>
      <c r="Q82" s="1" t="s">
        <v>127</v>
      </c>
      <c r="R82" s="1" t="s">
        <v>50</v>
      </c>
      <c r="S82" s="1">
        <v>0</v>
      </c>
      <c r="T82" s="1">
        <v>0</v>
      </c>
      <c r="U82" s="1">
        <v>53.363999999999997</v>
      </c>
      <c r="V82" s="1">
        <v>26.815000000000001</v>
      </c>
      <c r="W82" s="1">
        <v>1.17</v>
      </c>
      <c r="X82" s="1">
        <v>1.0429999999999999</v>
      </c>
      <c r="Y82" s="1">
        <v>27.858000000000001</v>
      </c>
      <c r="Z82" s="1">
        <v>0.153</v>
      </c>
      <c r="AA82" s="1">
        <v>-0.7</v>
      </c>
      <c r="AB82" s="1">
        <v>-0.4</v>
      </c>
      <c r="AC82" s="1">
        <v>-0.4</v>
      </c>
      <c r="AD82" s="1">
        <v>1.0429999999999999</v>
      </c>
      <c r="AE82" s="1">
        <v>8.5000000000000006E-2</v>
      </c>
      <c r="AF82" s="1">
        <v>0.14399999999999999</v>
      </c>
      <c r="AG82" s="1">
        <v>-0.7</v>
      </c>
      <c r="AI82" s="1">
        <v>0</v>
      </c>
      <c r="AJ82" s="1">
        <v>0</v>
      </c>
      <c r="AK82" s="1">
        <v>0</v>
      </c>
      <c r="AL82" s="1">
        <v>1</v>
      </c>
      <c r="AM82" s="1">
        <v>86400</v>
      </c>
      <c r="AN82" s="1">
        <v>81632</v>
      </c>
      <c r="AO82" s="1">
        <v>4768</v>
      </c>
      <c r="AP82" s="1">
        <v>47011</v>
      </c>
      <c r="AQ82" s="1">
        <v>8.9482359510857084</v>
      </c>
    </row>
    <row r="83" spans="1:43" x14ac:dyDescent="0.45">
      <c r="A83" s="1">
        <v>285</v>
      </c>
      <c r="B83" s="1">
        <v>494</v>
      </c>
      <c r="C83" s="1">
        <v>67</v>
      </c>
      <c r="D83" s="1" t="s">
        <v>92</v>
      </c>
      <c r="E83" s="1" t="s">
        <v>93</v>
      </c>
      <c r="F83" s="1" t="s">
        <v>94</v>
      </c>
      <c r="G83" s="1" t="s">
        <v>46</v>
      </c>
      <c r="H83" s="1" t="s">
        <v>47</v>
      </c>
      <c r="I83" s="1">
        <v>1579</v>
      </c>
      <c r="J83" s="1">
        <v>67764</v>
      </c>
      <c r="K83" s="1">
        <v>1</v>
      </c>
      <c r="L83" s="1">
        <v>66</v>
      </c>
      <c r="M83" s="1">
        <v>1923</v>
      </c>
      <c r="N83" s="1" t="s">
        <v>48</v>
      </c>
      <c r="O83" s="1">
        <v>131020</v>
      </c>
      <c r="P83" s="1">
        <v>95</v>
      </c>
      <c r="Q83" s="1" t="s">
        <v>127</v>
      </c>
      <c r="R83" s="1" t="s">
        <v>50</v>
      </c>
      <c r="S83" s="1">
        <v>0</v>
      </c>
      <c r="T83" s="1">
        <v>0</v>
      </c>
      <c r="U83" s="1">
        <v>94.191999999999993</v>
      </c>
      <c r="V83" s="1">
        <v>25.324000000000002</v>
      </c>
      <c r="W83" s="1">
        <v>1.1499999999999999</v>
      </c>
      <c r="X83" s="1">
        <v>0.90900000000000003</v>
      </c>
      <c r="Y83" s="1">
        <v>26.233000000000001</v>
      </c>
      <c r="Z83" s="1">
        <v>0.11700000000000001</v>
      </c>
      <c r="AA83" s="1">
        <v>0.9</v>
      </c>
      <c r="AB83" s="1">
        <v>0.9</v>
      </c>
      <c r="AC83" s="1">
        <v>0.9</v>
      </c>
      <c r="AD83" s="1">
        <v>0.90900000000000003</v>
      </c>
      <c r="AE83" s="1">
        <v>0.11600000000000001</v>
      </c>
      <c r="AF83" s="1">
        <v>0.106</v>
      </c>
      <c r="AG83" s="1">
        <v>0.9</v>
      </c>
      <c r="AI83" s="1">
        <v>0</v>
      </c>
      <c r="AJ83" s="1">
        <v>0</v>
      </c>
      <c r="AK83" s="1">
        <v>0</v>
      </c>
      <c r="AL83" s="1">
        <v>1</v>
      </c>
      <c r="AM83" s="1">
        <v>86400</v>
      </c>
      <c r="AN83" s="1">
        <v>81995</v>
      </c>
      <c r="AO83" s="1">
        <v>4405</v>
      </c>
      <c r="AP83" s="1">
        <v>46849</v>
      </c>
      <c r="AQ83" s="1">
        <v>22.945877289242109</v>
      </c>
    </row>
    <row r="84" spans="1:43" x14ac:dyDescent="0.45">
      <c r="A84" s="1">
        <v>92</v>
      </c>
      <c r="B84" s="1">
        <v>101</v>
      </c>
      <c r="C84" s="1">
        <v>74</v>
      </c>
      <c r="D84" s="1" t="s">
        <v>61</v>
      </c>
      <c r="E84" s="1" t="s">
        <v>62</v>
      </c>
      <c r="F84" s="1" t="s">
        <v>63</v>
      </c>
      <c r="G84" s="1" t="s">
        <v>46</v>
      </c>
      <c r="H84" s="1" t="s">
        <v>47</v>
      </c>
      <c r="I84" s="1">
        <v>1175</v>
      </c>
      <c r="J84" s="1">
        <v>30642</v>
      </c>
      <c r="K84" s="1">
        <v>1</v>
      </c>
      <c r="L84" s="1">
        <v>73</v>
      </c>
      <c r="M84" s="1">
        <v>2521</v>
      </c>
      <c r="N84" s="1" t="s">
        <v>48</v>
      </c>
      <c r="O84" s="1">
        <v>198461</v>
      </c>
      <c r="P84" s="1">
        <v>95</v>
      </c>
      <c r="Q84" s="1" t="s">
        <v>127</v>
      </c>
      <c r="R84" s="1" t="s">
        <v>50</v>
      </c>
      <c r="S84" s="1">
        <v>0</v>
      </c>
      <c r="T84" s="1">
        <v>0</v>
      </c>
      <c r="U84" s="1">
        <v>58.322000000000003</v>
      </c>
      <c r="V84" s="1">
        <v>24.956</v>
      </c>
      <c r="W84" s="1">
        <v>0.63</v>
      </c>
      <c r="X84" s="1">
        <v>0.81499999999999995</v>
      </c>
      <c r="Y84" s="1">
        <v>25.77</v>
      </c>
      <c r="Z84" s="1">
        <v>1.179</v>
      </c>
      <c r="AA84" s="1">
        <v>-2.2999999999999998</v>
      </c>
      <c r="AB84" s="1">
        <v>0.6</v>
      </c>
      <c r="AC84" s="1">
        <v>0.6</v>
      </c>
      <c r="AD84" s="1">
        <v>0.81399999999999995</v>
      </c>
      <c r="AE84" s="1">
        <v>0.13100000000000001</v>
      </c>
      <c r="AF84" s="1">
        <v>0.35899999999999999</v>
      </c>
      <c r="AG84" s="1">
        <v>-2.2999999999999998</v>
      </c>
      <c r="AI84" s="1">
        <v>0</v>
      </c>
      <c r="AJ84" s="1">
        <v>0</v>
      </c>
      <c r="AK84" s="1">
        <v>0</v>
      </c>
      <c r="AL84" s="1">
        <v>1</v>
      </c>
      <c r="AM84" s="1">
        <v>86400</v>
      </c>
      <c r="AN84" s="1">
        <v>82068</v>
      </c>
      <c r="AO84" s="1">
        <v>4332</v>
      </c>
      <c r="AP84" s="1">
        <v>49661</v>
      </c>
      <c r="AQ84" s="1">
        <v>9.2548474418251185</v>
      </c>
    </row>
    <row r="85" spans="1:43" x14ac:dyDescent="0.45">
      <c r="A85" s="1">
        <v>242</v>
      </c>
      <c r="B85" s="1">
        <v>351</v>
      </c>
      <c r="C85" s="1">
        <v>63</v>
      </c>
      <c r="D85" s="1" t="s">
        <v>76</v>
      </c>
      <c r="E85" s="1" t="s">
        <v>77</v>
      </c>
      <c r="F85" s="1" t="s">
        <v>78</v>
      </c>
      <c r="G85" s="1" t="s">
        <v>46</v>
      </c>
      <c r="H85" s="1" t="s">
        <v>47</v>
      </c>
      <c r="I85" s="1">
        <v>1247</v>
      </c>
      <c r="J85" s="1">
        <v>27398</v>
      </c>
      <c r="K85" s="1">
        <v>1</v>
      </c>
      <c r="L85" s="1">
        <v>62</v>
      </c>
      <c r="M85" s="1">
        <v>2058</v>
      </c>
      <c r="N85" s="1" t="s">
        <v>48</v>
      </c>
      <c r="O85" s="1">
        <v>181344</v>
      </c>
      <c r="P85" s="1">
        <v>95</v>
      </c>
      <c r="Q85" s="1" t="s">
        <v>127</v>
      </c>
      <c r="R85" s="1" t="s">
        <v>50</v>
      </c>
      <c r="S85" s="1">
        <v>0</v>
      </c>
      <c r="T85" s="1">
        <v>0</v>
      </c>
      <c r="U85" s="1">
        <v>509.673</v>
      </c>
      <c r="V85" s="1">
        <v>23.771999999999998</v>
      </c>
      <c r="W85" s="1">
        <v>0.63</v>
      </c>
      <c r="X85" s="1">
        <v>0.78600000000000003</v>
      </c>
      <c r="Y85" s="1">
        <v>24.558</v>
      </c>
      <c r="Z85" s="1">
        <v>0.20499999999999999</v>
      </c>
      <c r="AA85" s="1">
        <v>-3</v>
      </c>
      <c r="AB85" s="1">
        <v>-3</v>
      </c>
      <c r="AC85" s="1">
        <v>-3</v>
      </c>
      <c r="AD85" s="1">
        <v>0.78600000000000003</v>
      </c>
      <c r="AE85" s="1">
        <v>0.20499999999999999</v>
      </c>
      <c r="AF85" s="1">
        <v>0.161</v>
      </c>
      <c r="AG85" s="1">
        <v>-3</v>
      </c>
      <c r="AI85" s="1">
        <v>0</v>
      </c>
      <c r="AJ85" s="1">
        <v>0</v>
      </c>
      <c r="AK85" s="1">
        <v>0</v>
      </c>
      <c r="AL85" s="1">
        <v>1</v>
      </c>
      <c r="AM85" s="1">
        <v>86400</v>
      </c>
      <c r="AN85" s="1">
        <v>81322</v>
      </c>
      <c r="AO85" s="1">
        <v>5078</v>
      </c>
      <c r="AP85" s="1">
        <v>46907</v>
      </c>
      <c r="AQ85" s="1">
        <v>25.565098127340359</v>
      </c>
    </row>
    <row r="86" spans="1:43" x14ac:dyDescent="0.45">
      <c r="A86" s="1">
        <v>22</v>
      </c>
      <c r="B86" s="1">
        <v>26</v>
      </c>
      <c r="C86" s="1">
        <v>126</v>
      </c>
      <c r="D86" s="1" t="s">
        <v>51</v>
      </c>
      <c r="E86" s="1" t="s">
        <v>52</v>
      </c>
      <c r="F86" s="1" t="s">
        <v>53</v>
      </c>
      <c r="G86" s="1" t="s">
        <v>54</v>
      </c>
      <c r="H86" s="1" t="s">
        <v>47</v>
      </c>
      <c r="I86" s="1">
        <v>1113</v>
      </c>
      <c r="J86" s="1">
        <v>60690</v>
      </c>
      <c r="K86" s="1">
        <v>1</v>
      </c>
      <c r="L86" s="1">
        <v>125</v>
      </c>
      <c r="M86" s="1">
        <v>967</v>
      </c>
      <c r="N86" s="1" t="s">
        <v>48</v>
      </c>
      <c r="O86" s="1">
        <v>13991</v>
      </c>
      <c r="P86" s="1">
        <v>95</v>
      </c>
      <c r="Q86" s="1" t="s">
        <v>127</v>
      </c>
      <c r="R86" s="1" t="s">
        <v>50</v>
      </c>
      <c r="S86" s="1">
        <v>0</v>
      </c>
      <c r="T86" s="1">
        <v>0</v>
      </c>
      <c r="U86" s="1">
        <v>207.12200000000001</v>
      </c>
      <c r="V86" s="1">
        <v>27.35</v>
      </c>
      <c r="W86" s="1">
        <v>0.64</v>
      </c>
      <c r="X86" s="1">
        <v>0.76100000000000001</v>
      </c>
      <c r="Y86" s="1">
        <v>28.111000000000001</v>
      </c>
      <c r="Z86" s="1">
        <v>0.307</v>
      </c>
      <c r="AA86" s="1">
        <v>0.9</v>
      </c>
      <c r="AB86" s="1">
        <v>0.9</v>
      </c>
      <c r="AC86" s="1">
        <v>0.9</v>
      </c>
      <c r="AD86" s="1">
        <v>0.76100000000000001</v>
      </c>
      <c r="AE86" s="1">
        <v>0.307</v>
      </c>
      <c r="AF86" s="1">
        <v>0.23400000000000001</v>
      </c>
      <c r="AG86" s="1">
        <v>0.9</v>
      </c>
      <c r="AI86" s="1">
        <v>0</v>
      </c>
      <c r="AJ86" s="1">
        <v>0</v>
      </c>
      <c r="AK86" s="1">
        <v>0</v>
      </c>
      <c r="AL86" s="1">
        <v>1</v>
      </c>
      <c r="AM86" s="1">
        <v>86400</v>
      </c>
      <c r="AN86" s="1">
        <v>81705</v>
      </c>
      <c r="AO86" s="1">
        <v>4695</v>
      </c>
      <c r="AP86" s="1">
        <v>43634</v>
      </c>
      <c r="AQ86" s="1">
        <v>19.211231599200559</v>
      </c>
    </row>
    <row r="87" spans="1:43" x14ac:dyDescent="0.45">
      <c r="A87" s="1">
        <v>93</v>
      </c>
      <c r="B87" s="1">
        <v>101</v>
      </c>
      <c r="C87" s="1">
        <v>74</v>
      </c>
      <c r="D87" s="1" t="s">
        <v>61</v>
      </c>
      <c r="E87" s="1" t="s">
        <v>62</v>
      </c>
      <c r="F87" s="1" t="s">
        <v>63</v>
      </c>
      <c r="G87" s="1" t="s">
        <v>46</v>
      </c>
      <c r="H87" s="1" t="s">
        <v>47</v>
      </c>
      <c r="I87" s="1">
        <v>1175</v>
      </c>
      <c r="J87" s="1">
        <v>30642</v>
      </c>
      <c r="K87" s="1">
        <v>1</v>
      </c>
      <c r="L87" s="1">
        <v>73</v>
      </c>
      <c r="M87" s="1">
        <v>2522</v>
      </c>
      <c r="N87" s="1" t="s">
        <v>48</v>
      </c>
      <c r="O87" s="1">
        <v>198463</v>
      </c>
      <c r="P87" s="1">
        <v>95</v>
      </c>
      <c r="Q87" s="1" t="s">
        <v>127</v>
      </c>
      <c r="R87" s="1" t="s">
        <v>50</v>
      </c>
      <c r="S87" s="1">
        <v>0</v>
      </c>
      <c r="T87" s="1">
        <v>0</v>
      </c>
      <c r="U87" s="1">
        <v>67.843999999999994</v>
      </c>
      <c r="V87" s="1">
        <v>25.030999999999999</v>
      </c>
      <c r="W87" s="1">
        <v>0.62</v>
      </c>
      <c r="X87" s="1">
        <v>0.74199999999999999</v>
      </c>
      <c r="Y87" s="1">
        <v>25.773</v>
      </c>
      <c r="Z87" s="1">
        <v>0.71499999999999997</v>
      </c>
      <c r="AA87" s="1">
        <v>-2</v>
      </c>
      <c r="AB87" s="1">
        <v>1.6</v>
      </c>
      <c r="AC87" s="1">
        <v>1.6</v>
      </c>
      <c r="AD87" s="1">
        <v>0.74099999999999999</v>
      </c>
      <c r="AE87" s="1">
        <v>0.13</v>
      </c>
      <c r="AF87" s="1">
        <v>0.14899999999999999</v>
      </c>
      <c r="AG87" s="1">
        <v>-2</v>
      </c>
      <c r="AI87" s="1">
        <v>0</v>
      </c>
      <c r="AJ87" s="1">
        <v>0</v>
      </c>
      <c r="AK87" s="1">
        <v>0</v>
      </c>
      <c r="AL87" s="1">
        <v>1</v>
      </c>
      <c r="AM87" s="1">
        <v>86400</v>
      </c>
      <c r="AN87" s="1">
        <v>77503</v>
      </c>
      <c r="AO87" s="1">
        <v>8846</v>
      </c>
      <c r="AP87" s="1">
        <v>49834</v>
      </c>
      <c r="AQ87" s="1">
        <v>8.1449229246895669</v>
      </c>
    </row>
    <row r="88" spans="1:43" x14ac:dyDescent="0.45">
      <c r="A88" s="1">
        <v>85</v>
      </c>
      <c r="B88" s="1">
        <v>101</v>
      </c>
      <c r="C88" s="1">
        <v>74</v>
      </c>
      <c r="D88" s="1" t="s">
        <v>61</v>
      </c>
      <c r="E88" s="1" t="s">
        <v>62</v>
      </c>
      <c r="F88" s="1" t="s">
        <v>63</v>
      </c>
      <c r="G88" s="1" t="s">
        <v>46</v>
      </c>
      <c r="H88" s="1" t="s">
        <v>47</v>
      </c>
      <c r="I88" s="1">
        <v>1175</v>
      </c>
      <c r="J88" s="1">
        <v>30642</v>
      </c>
      <c r="K88" s="1">
        <v>1</v>
      </c>
      <c r="L88" s="1">
        <v>73</v>
      </c>
      <c r="M88" s="1">
        <v>2493</v>
      </c>
      <c r="N88" s="1" t="s">
        <v>48</v>
      </c>
      <c r="O88" s="1">
        <v>198410</v>
      </c>
      <c r="P88" s="1">
        <v>95</v>
      </c>
      <c r="Q88" s="1" t="s">
        <v>127</v>
      </c>
      <c r="R88" s="1" t="s">
        <v>50</v>
      </c>
      <c r="S88" s="1">
        <v>0</v>
      </c>
      <c r="T88" s="1">
        <v>0</v>
      </c>
      <c r="U88" s="1">
        <v>133.90799999999999</v>
      </c>
      <c r="V88" s="1">
        <v>25.021999999999998</v>
      </c>
      <c r="W88" s="1">
        <v>0.62</v>
      </c>
      <c r="X88" s="1">
        <v>0.74099999999999999</v>
      </c>
      <c r="Y88" s="1">
        <v>25.762</v>
      </c>
      <c r="Z88" s="1">
        <v>0.14599999999999999</v>
      </c>
      <c r="AA88" s="1">
        <v>2.9</v>
      </c>
      <c r="AB88" s="1">
        <v>2.9</v>
      </c>
      <c r="AC88" s="1">
        <v>2.9</v>
      </c>
      <c r="AD88" s="1">
        <v>0.74099999999999999</v>
      </c>
      <c r="AE88" s="1">
        <v>0.14599999999999999</v>
      </c>
      <c r="AF88" s="1">
        <v>0.108</v>
      </c>
      <c r="AG88" s="1">
        <v>2.9</v>
      </c>
      <c r="AI88" s="1">
        <v>0</v>
      </c>
      <c r="AJ88" s="1">
        <v>0</v>
      </c>
      <c r="AK88" s="1">
        <v>0</v>
      </c>
      <c r="AL88" s="1">
        <v>1</v>
      </c>
      <c r="AM88" s="1">
        <v>86400</v>
      </c>
      <c r="AN88" s="1">
        <v>81971</v>
      </c>
      <c r="AO88" s="1">
        <v>4429</v>
      </c>
      <c r="AP88" s="1">
        <v>50263</v>
      </c>
      <c r="AQ88" s="1">
        <v>11.8823424762514</v>
      </c>
    </row>
    <row r="89" spans="1:43" x14ac:dyDescent="0.45">
      <c r="A89" s="1">
        <v>168</v>
      </c>
      <c r="B89" s="1">
        <v>142</v>
      </c>
      <c r="C89" s="1">
        <v>78</v>
      </c>
      <c r="D89" s="1" t="s">
        <v>67</v>
      </c>
      <c r="E89" s="1" t="s">
        <v>68</v>
      </c>
      <c r="F89" s="1" t="s">
        <v>69</v>
      </c>
      <c r="G89" s="1" t="s">
        <v>46</v>
      </c>
      <c r="H89" s="1" t="s">
        <v>47</v>
      </c>
      <c r="I89" s="1">
        <v>1163</v>
      </c>
      <c r="J89" s="1">
        <v>33073</v>
      </c>
      <c r="K89" s="1">
        <v>1</v>
      </c>
      <c r="L89" s="1">
        <v>77</v>
      </c>
      <c r="M89" s="1">
        <v>2270</v>
      </c>
      <c r="N89" s="1" t="s">
        <v>48</v>
      </c>
      <c r="O89" s="1">
        <v>194546</v>
      </c>
      <c r="P89" s="1">
        <v>95</v>
      </c>
      <c r="Q89" s="1" t="s">
        <v>127</v>
      </c>
      <c r="R89" s="1" t="s">
        <v>50</v>
      </c>
      <c r="S89" s="1">
        <v>0</v>
      </c>
      <c r="T89" s="1">
        <v>0</v>
      </c>
      <c r="U89" s="1">
        <v>327.06</v>
      </c>
      <c r="V89" s="1">
        <v>24.867999999999999</v>
      </c>
      <c r="W89" s="1">
        <v>0.62</v>
      </c>
      <c r="X89" s="1">
        <v>0.72399999999999998</v>
      </c>
      <c r="Y89" s="1">
        <v>25.591000000000001</v>
      </c>
      <c r="Z89" s="1">
        <v>0.17</v>
      </c>
      <c r="AA89" s="1">
        <v>0.3</v>
      </c>
      <c r="AB89" s="1">
        <v>0.4</v>
      </c>
      <c r="AC89" s="1">
        <v>0.4</v>
      </c>
      <c r="AD89" s="1">
        <v>0.72399999999999998</v>
      </c>
      <c r="AE89" s="1">
        <v>9.7000000000000003E-2</v>
      </c>
      <c r="AF89" s="1">
        <v>7.0999999999999994E-2</v>
      </c>
      <c r="AG89" s="1">
        <v>0.3</v>
      </c>
      <c r="AI89" s="1">
        <v>0</v>
      </c>
      <c r="AJ89" s="1">
        <v>0</v>
      </c>
      <c r="AK89" s="1">
        <v>0</v>
      </c>
      <c r="AL89" s="1">
        <v>1</v>
      </c>
      <c r="AM89" s="1">
        <v>86400</v>
      </c>
      <c r="AN89" s="1">
        <v>81809</v>
      </c>
      <c r="AO89" s="1">
        <v>4591</v>
      </c>
      <c r="AP89" s="1">
        <v>48105</v>
      </c>
      <c r="AQ89" s="1">
        <v>0.62107041281627839</v>
      </c>
    </row>
    <row r="90" spans="1:43" x14ac:dyDescent="0.45">
      <c r="A90" s="1">
        <v>108</v>
      </c>
      <c r="B90" s="1">
        <v>101</v>
      </c>
      <c r="C90" s="1">
        <v>74</v>
      </c>
      <c r="D90" s="1" t="s">
        <v>61</v>
      </c>
      <c r="E90" s="1" t="s">
        <v>62</v>
      </c>
      <c r="F90" s="1" t="s">
        <v>63</v>
      </c>
      <c r="G90" s="1" t="s">
        <v>46</v>
      </c>
      <c r="H90" s="1" t="s">
        <v>47</v>
      </c>
      <c r="I90" s="1">
        <v>1175</v>
      </c>
      <c r="J90" s="1">
        <v>30642</v>
      </c>
      <c r="K90" s="1">
        <v>1</v>
      </c>
      <c r="L90" s="1">
        <v>73</v>
      </c>
      <c r="M90" s="1">
        <v>2553</v>
      </c>
      <c r="N90" s="1" t="s">
        <v>48</v>
      </c>
      <c r="O90" s="1">
        <v>198595</v>
      </c>
      <c r="P90" s="1">
        <v>95</v>
      </c>
      <c r="Q90" s="1" t="s">
        <v>127</v>
      </c>
      <c r="R90" s="1" t="s">
        <v>50</v>
      </c>
      <c r="S90" s="1">
        <v>0</v>
      </c>
      <c r="T90" s="1">
        <v>0</v>
      </c>
      <c r="U90" s="1">
        <v>356.9</v>
      </c>
      <c r="V90" s="1">
        <v>25.073</v>
      </c>
      <c r="W90" s="1">
        <v>0.61</v>
      </c>
      <c r="X90" s="1">
        <v>0.69699999999999995</v>
      </c>
      <c r="Y90" s="1">
        <v>25.77</v>
      </c>
      <c r="Z90" s="1">
        <v>7.0000000000000007E-2</v>
      </c>
      <c r="AA90" s="1">
        <v>-0.8</v>
      </c>
      <c r="AB90" s="1">
        <v>-0.8</v>
      </c>
      <c r="AC90" s="1">
        <v>-0.8</v>
      </c>
      <c r="AD90" s="1">
        <v>0.69699999999999995</v>
      </c>
      <c r="AE90" s="1">
        <v>7.0000000000000007E-2</v>
      </c>
      <c r="AF90" s="1">
        <v>4.9000000000000002E-2</v>
      </c>
      <c r="AG90" s="1">
        <v>-0.8</v>
      </c>
      <c r="AI90" s="1">
        <v>0</v>
      </c>
      <c r="AJ90" s="1">
        <v>0</v>
      </c>
      <c r="AK90" s="1">
        <v>0</v>
      </c>
      <c r="AL90" s="1">
        <v>1</v>
      </c>
      <c r="AM90" s="1">
        <v>86400</v>
      </c>
      <c r="AN90" s="1">
        <v>81372</v>
      </c>
      <c r="AO90" s="1">
        <v>5028</v>
      </c>
      <c r="AP90" s="1">
        <v>49590</v>
      </c>
      <c r="AQ90" s="1">
        <v>49.442101089761117</v>
      </c>
    </row>
    <row r="91" spans="1:43" x14ac:dyDescent="0.45">
      <c r="A91" s="1">
        <v>107</v>
      </c>
      <c r="B91" s="1">
        <v>101</v>
      </c>
      <c r="C91" s="1">
        <v>74</v>
      </c>
      <c r="D91" s="1" t="s">
        <v>61</v>
      </c>
      <c r="E91" s="1" t="s">
        <v>62</v>
      </c>
      <c r="F91" s="1" t="s">
        <v>63</v>
      </c>
      <c r="G91" s="1" t="s">
        <v>46</v>
      </c>
      <c r="H91" s="1" t="s">
        <v>47</v>
      </c>
      <c r="I91" s="1">
        <v>1175</v>
      </c>
      <c r="J91" s="1">
        <v>30642</v>
      </c>
      <c r="K91" s="1">
        <v>1</v>
      </c>
      <c r="L91" s="1">
        <v>73</v>
      </c>
      <c r="M91" s="1">
        <v>2552</v>
      </c>
      <c r="N91" s="1" t="s">
        <v>48</v>
      </c>
      <c r="O91" s="1">
        <v>198594</v>
      </c>
      <c r="P91" s="1">
        <v>95</v>
      </c>
      <c r="Q91" s="1" t="s">
        <v>127</v>
      </c>
      <c r="R91" s="1" t="s">
        <v>50</v>
      </c>
      <c r="S91" s="1">
        <v>0</v>
      </c>
      <c r="T91" s="1">
        <v>0</v>
      </c>
      <c r="U91" s="1">
        <v>600.88599999999997</v>
      </c>
      <c r="V91" s="1">
        <v>25.077999999999999</v>
      </c>
      <c r="W91" s="1">
        <v>0.61</v>
      </c>
      <c r="X91" s="1">
        <v>0.69199999999999995</v>
      </c>
      <c r="Y91" s="1">
        <v>25.77</v>
      </c>
      <c r="Z91" s="1">
        <v>0.08</v>
      </c>
      <c r="AA91" s="1">
        <v>-3</v>
      </c>
      <c r="AB91" s="1">
        <v>-2.9</v>
      </c>
      <c r="AC91" s="1">
        <v>-2.9</v>
      </c>
      <c r="AD91" s="1">
        <v>0.69199999999999995</v>
      </c>
      <c r="AE91" s="1">
        <v>5.3999999999999999E-2</v>
      </c>
      <c r="AF91" s="1">
        <v>3.6999999999999998E-2</v>
      </c>
      <c r="AG91" s="1">
        <v>-3</v>
      </c>
      <c r="AI91" s="1">
        <v>0</v>
      </c>
      <c r="AJ91" s="1">
        <v>0</v>
      </c>
      <c r="AK91" s="1">
        <v>0</v>
      </c>
      <c r="AL91" s="1">
        <v>1</v>
      </c>
      <c r="AM91" s="1">
        <v>86400</v>
      </c>
      <c r="AN91" s="1">
        <v>81257</v>
      </c>
      <c r="AO91" s="1">
        <v>5143</v>
      </c>
      <c r="AP91" s="1">
        <v>49850</v>
      </c>
      <c r="AQ91" s="1">
        <v>2.7249590740331948</v>
      </c>
    </row>
    <row r="92" spans="1:43" x14ac:dyDescent="0.45">
      <c r="A92" s="1">
        <v>100</v>
      </c>
      <c r="B92" s="1">
        <v>101</v>
      </c>
      <c r="C92" s="1">
        <v>74</v>
      </c>
      <c r="D92" s="1" t="s">
        <v>61</v>
      </c>
      <c r="E92" s="1" t="s">
        <v>62</v>
      </c>
      <c r="F92" s="1" t="s">
        <v>63</v>
      </c>
      <c r="G92" s="1" t="s">
        <v>46</v>
      </c>
      <c r="H92" s="1" t="s">
        <v>47</v>
      </c>
      <c r="I92" s="1">
        <v>1175</v>
      </c>
      <c r="J92" s="1">
        <v>30642</v>
      </c>
      <c r="K92" s="1">
        <v>1</v>
      </c>
      <c r="L92" s="1">
        <v>73</v>
      </c>
      <c r="M92" s="1">
        <v>2545</v>
      </c>
      <c r="N92" s="1" t="s">
        <v>48</v>
      </c>
      <c r="O92" s="1">
        <v>198487</v>
      </c>
      <c r="P92" s="1">
        <v>95</v>
      </c>
      <c r="Q92" s="1" t="s">
        <v>127</v>
      </c>
      <c r="R92" s="1" t="s">
        <v>50</v>
      </c>
      <c r="S92" s="1">
        <v>0</v>
      </c>
      <c r="T92" s="1">
        <v>0</v>
      </c>
      <c r="U92" s="1">
        <v>83.683999999999997</v>
      </c>
      <c r="V92" s="1">
        <v>25.073</v>
      </c>
      <c r="W92" s="1">
        <v>0.62</v>
      </c>
      <c r="X92" s="1">
        <v>0.68899999999999995</v>
      </c>
      <c r="Y92" s="1">
        <v>25.762</v>
      </c>
      <c r="Z92" s="1">
        <v>0.443</v>
      </c>
      <c r="AA92" s="1">
        <v>-2.7</v>
      </c>
      <c r="AB92" s="1">
        <v>-2.7</v>
      </c>
      <c r="AC92" s="1">
        <v>-2.7</v>
      </c>
      <c r="AD92" s="1">
        <v>0.68899999999999995</v>
      </c>
      <c r="AE92" s="1">
        <v>0.28000000000000003</v>
      </c>
      <c r="AF92" s="1">
        <v>0.20200000000000001</v>
      </c>
      <c r="AG92" s="1">
        <v>-2.7</v>
      </c>
      <c r="AI92" s="1">
        <v>0</v>
      </c>
      <c r="AJ92" s="1">
        <v>0</v>
      </c>
      <c r="AK92" s="1">
        <v>0</v>
      </c>
      <c r="AL92" s="1">
        <v>1</v>
      </c>
      <c r="AM92" s="1">
        <v>86400</v>
      </c>
      <c r="AN92" s="1">
        <v>81124</v>
      </c>
      <c r="AO92" s="1">
        <v>5276</v>
      </c>
      <c r="AP92" s="1">
        <v>49975</v>
      </c>
      <c r="AQ92" s="1">
        <v>15.59991816367738</v>
      </c>
    </row>
    <row r="93" spans="1:43" x14ac:dyDescent="0.45">
      <c r="A93" s="1">
        <v>88</v>
      </c>
      <c r="B93" s="1">
        <v>101</v>
      </c>
      <c r="C93" s="1">
        <v>74</v>
      </c>
      <c r="D93" s="1" t="s">
        <v>61</v>
      </c>
      <c r="E93" s="1" t="s">
        <v>62</v>
      </c>
      <c r="F93" s="1" t="s">
        <v>63</v>
      </c>
      <c r="G93" s="1" t="s">
        <v>46</v>
      </c>
      <c r="H93" s="1" t="s">
        <v>47</v>
      </c>
      <c r="I93" s="1">
        <v>1175</v>
      </c>
      <c r="J93" s="1">
        <v>30642</v>
      </c>
      <c r="K93" s="1">
        <v>1</v>
      </c>
      <c r="L93" s="1">
        <v>73</v>
      </c>
      <c r="M93" s="1">
        <v>2500</v>
      </c>
      <c r="N93" s="1" t="s">
        <v>48</v>
      </c>
      <c r="O93" s="1">
        <v>198432</v>
      </c>
      <c r="P93" s="1">
        <v>95</v>
      </c>
      <c r="Q93" s="1" t="s">
        <v>127</v>
      </c>
      <c r="R93" s="1" t="s">
        <v>50</v>
      </c>
      <c r="S93" s="1">
        <v>0</v>
      </c>
      <c r="T93" s="1">
        <v>0</v>
      </c>
      <c r="U93" s="1">
        <v>135.304</v>
      </c>
      <c r="V93" s="1">
        <v>25.076000000000001</v>
      </c>
      <c r="W93" s="1">
        <v>0.61</v>
      </c>
      <c r="X93" s="1">
        <v>0.68700000000000006</v>
      </c>
      <c r="Y93" s="1">
        <v>25.763000000000002</v>
      </c>
      <c r="Z93" s="1">
        <v>0.28199999999999997</v>
      </c>
      <c r="AA93" s="1">
        <v>2.1</v>
      </c>
      <c r="AB93" s="1">
        <v>2.9</v>
      </c>
      <c r="AC93" s="1">
        <v>2.8</v>
      </c>
      <c r="AD93" s="1">
        <v>0.68600000000000005</v>
      </c>
      <c r="AE93" s="1">
        <v>0.158</v>
      </c>
      <c r="AF93" s="1">
        <v>0.127</v>
      </c>
      <c r="AG93" s="1">
        <v>2.1</v>
      </c>
      <c r="AI93" s="1">
        <v>0</v>
      </c>
      <c r="AJ93" s="1">
        <v>0</v>
      </c>
      <c r="AK93" s="1">
        <v>0</v>
      </c>
      <c r="AL93" s="1">
        <v>1</v>
      </c>
      <c r="AM93" s="1">
        <v>86400</v>
      </c>
      <c r="AN93" s="1">
        <v>81070</v>
      </c>
      <c r="AO93" s="1">
        <v>5330</v>
      </c>
      <c r="AP93" s="1">
        <v>49766</v>
      </c>
      <c r="AQ93" s="1">
        <v>3.4734693212018222</v>
      </c>
    </row>
    <row r="94" spans="1:43" x14ac:dyDescent="0.45">
      <c r="A94" s="1">
        <v>167</v>
      </c>
      <c r="B94" s="1">
        <v>142</v>
      </c>
      <c r="C94" s="1">
        <v>78</v>
      </c>
      <c r="D94" s="1" t="s">
        <v>67</v>
      </c>
      <c r="E94" s="1" t="s">
        <v>68</v>
      </c>
      <c r="F94" s="1" t="s">
        <v>69</v>
      </c>
      <c r="G94" s="1" t="s">
        <v>46</v>
      </c>
      <c r="H94" s="1" t="s">
        <v>47</v>
      </c>
      <c r="I94" s="1">
        <v>1163</v>
      </c>
      <c r="J94" s="1">
        <v>33073</v>
      </c>
      <c r="K94" s="1">
        <v>1</v>
      </c>
      <c r="L94" s="1">
        <v>77</v>
      </c>
      <c r="M94" s="1">
        <v>2269</v>
      </c>
      <c r="N94" s="1" t="s">
        <v>48</v>
      </c>
      <c r="O94" s="1">
        <v>194545</v>
      </c>
      <c r="P94" s="1">
        <v>95</v>
      </c>
      <c r="Q94" s="1" t="s">
        <v>127</v>
      </c>
      <c r="R94" s="1" t="s">
        <v>50</v>
      </c>
      <c r="S94" s="1">
        <v>0</v>
      </c>
      <c r="T94" s="1">
        <v>0</v>
      </c>
      <c r="U94" s="1">
        <v>108.714</v>
      </c>
      <c r="V94" s="1">
        <v>24.908000000000001</v>
      </c>
      <c r="W94" s="1">
        <v>0.61</v>
      </c>
      <c r="X94" s="1">
        <v>0.68300000000000005</v>
      </c>
      <c r="Y94" s="1">
        <v>25.591000000000001</v>
      </c>
      <c r="Z94" s="1">
        <v>8.8999999999999996E-2</v>
      </c>
      <c r="AA94" s="1">
        <v>1</v>
      </c>
      <c r="AB94" s="1">
        <v>0.9</v>
      </c>
      <c r="AC94" s="1">
        <v>0.9</v>
      </c>
      <c r="AD94" s="1">
        <v>0.68300000000000005</v>
      </c>
      <c r="AE94" s="1">
        <v>3.2000000000000001E-2</v>
      </c>
      <c r="AF94" s="1">
        <v>3.2000000000000001E-2</v>
      </c>
      <c r="AG94" s="1">
        <v>1</v>
      </c>
      <c r="AI94" s="1">
        <v>0</v>
      </c>
      <c r="AJ94" s="1">
        <v>0</v>
      </c>
      <c r="AK94" s="1">
        <v>0</v>
      </c>
      <c r="AL94" s="1">
        <v>1</v>
      </c>
      <c r="AM94" s="1">
        <v>86400</v>
      </c>
      <c r="AN94" s="1">
        <v>81308</v>
      </c>
      <c r="AO94" s="1">
        <v>5092</v>
      </c>
      <c r="AP94" s="1">
        <v>47423</v>
      </c>
      <c r="AQ94" s="1">
        <v>1.6593705371570009</v>
      </c>
    </row>
    <row r="95" spans="1:43" x14ac:dyDescent="0.45">
      <c r="A95" s="1">
        <v>91</v>
      </c>
      <c r="B95" s="1">
        <v>101</v>
      </c>
      <c r="C95" s="1">
        <v>74</v>
      </c>
      <c r="D95" s="1" t="s">
        <v>61</v>
      </c>
      <c r="E95" s="1" t="s">
        <v>62</v>
      </c>
      <c r="F95" s="1" t="s">
        <v>63</v>
      </c>
      <c r="G95" s="1" t="s">
        <v>46</v>
      </c>
      <c r="H95" s="1" t="s">
        <v>47</v>
      </c>
      <c r="I95" s="1">
        <v>1175</v>
      </c>
      <c r="J95" s="1">
        <v>30642</v>
      </c>
      <c r="K95" s="1">
        <v>1</v>
      </c>
      <c r="L95" s="1">
        <v>73</v>
      </c>
      <c r="M95" s="1">
        <v>2520</v>
      </c>
      <c r="N95" s="1" t="s">
        <v>48</v>
      </c>
      <c r="O95" s="1">
        <v>198460</v>
      </c>
      <c r="P95" s="1">
        <v>95</v>
      </c>
      <c r="Q95" s="1" t="s">
        <v>127</v>
      </c>
      <c r="R95" s="1" t="s">
        <v>50</v>
      </c>
      <c r="S95" s="1">
        <v>0</v>
      </c>
      <c r="T95" s="1">
        <v>0</v>
      </c>
      <c r="U95" s="1">
        <v>100.82299999999999</v>
      </c>
      <c r="V95" s="1">
        <v>25.100999999999999</v>
      </c>
      <c r="W95" s="1">
        <v>0.61</v>
      </c>
      <c r="X95" s="1">
        <v>0.67700000000000005</v>
      </c>
      <c r="Y95" s="1">
        <v>25.777999999999999</v>
      </c>
      <c r="Z95" s="1">
        <v>0.80100000000000005</v>
      </c>
      <c r="AA95" s="1">
        <v>-2.4</v>
      </c>
      <c r="AB95" s="1">
        <v>1.1000000000000001</v>
      </c>
      <c r="AC95" s="1">
        <v>1.1000000000000001</v>
      </c>
      <c r="AD95" s="1">
        <v>0.67600000000000005</v>
      </c>
      <c r="AE95" s="1">
        <v>0.14199999999999999</v>
      </c>
      <c r="AF95" s="1">
        <v>0.11700000000000001</v>
      </c>
      <c r="AG95" s="1">
        <v>-2.4</v>
      </c>
      <c r="AI95" s="1">
        <v>0</v>
      </c>
      <c r="AJ95" s="1">
        <v>0</v>
      </c>
      <c r="AK95" s="1">
        <v>0</v>
      </c>
      <c r="AL95" s="1">
        <v>1</v>
      </c>
      <c r="AM95" s="1">
        <v>61215</v>
      </c>
      <c r="AN95" s="1">
        <v>25050</v>
      </c>
      <c r="AO95" s="1">
        <v>36084</v>
      </c>
      <c r="AP95" s="1">
        <v>49688</v>
      </c>
      <c r="AQ95" s="1">
        <v>5.4229062710019962</v>
      </c>
    </row>
    <row r="96" spans="1:43" x14ac:dyDescent="0.45">
      <c r="A96" s="1">
        <v>113</v>
      </c>
      <c r="B96" s="1">
        <v>101</v>
      </c>
      <c r="C96" s="1">
        <v>74</v>
      </c>
      <c r="D96" s="1" t="s">
        <v>61</v>
      </c>
      <c r="E96" s="1" t="s">
        <v>62</v>
      </c>
      <c r="F96" s="1" t="s">
        <v>63</v>
      </c>
      <c r="G96" s="1" t="s">
        <v>46</v>
      </c>
      <c r="H96" s="1" t="s">
        <v>47</v>
      </c>
      <c r="I96" s="1">
        <v>1175</v>
      </c>
      <c r="J96" s="1">
        <v>30642</v>
      </c>
      <c r="K96" s="1">
        <v>1</v>
      </c>
      <c r="L96" s="1">
        <v>73</v>
      </c>
      <c r="M96" s="1">
        <v>2560</v>
      </c>
      <c r="N96" s="1" t="s">
        <v>48</v>
      </c>
      <c r="O96" s="1">
        <v>198604</v>
      </c>
      <c r="P96" s="1">
        <v>95</v>
      </c>
      <c r="Q96" s="1" t="s">
        <v>127</v>
      </c>
      <c r="R96" s="1" t="s">
        <v>50</v>
      </c>
      <c r="S96" s="1">
        <v>0</v>
      </c>
      <c r="T96" s="1">
        <v>0</v>
      </c>
      <c r="U96" s="1">
        <v>319.57100000000003</v>
      </c>
      <c r="V96" s="1">
        <v>25.094999999999999</v>
      </c>
      <c r="W96" s="1">
        <v>0.61</v>
      </c>
      <c r="X96" s="1">
        <v>0.67400000000000004</v>
      </c>
      <c r="Y96" s="1">
        <v>25.768999999999998</v>
      </c>
      <c r="Z96" s="1">
        <v>0.14199999999999999</v>
      </c>
      <c r="AA96" s="1">
        <v>-2.6</v>
      </c>
      <c r="AB96" s="1">
        <v>-2.5</v>
      </c>
      <c r="AC96" s="1">
        <v>-2.5</v>
      </c>
      <c r="AD96" s="1">
        <v>0.67400000000000004</v>
      </c>
      <c r="AE96" s="1">
        <v>0.124</v>
      </c>
      <c r="AF96" s="1">
        <v>8.5000000000000006E-2</v>
      </c>
      <c r="AG96" s="1">
        <v>-2.6</v>
      </c>
      <c r="AI96" s="1">
        <v>0</v>
      </c>
      <c r="AJ96" s="1">
        <v>0</v>
      </c>
      <c r="AK96" s="1">
        <v>0</v>
      </c>
      <c r="AL96" s="1">
        <v>1</v>
      </c>
      <c r="AM96" s="1">
        <v>86400</v>
      </c>
      <c r="AN96" s="1">
        <v>81294</v>
      </c>
      <c r="AO96" s="1">
        <v>5106</v>
      </c>
      <c r="AP96" s="1">
        <v>50320</v>
      </c>
      <c r="AQ96" s="1">
        <v>25.644147779351979</v>
      </c>
    </row>
    <row r="97" spans="1:43" x14ac:dyDescent="0.45">
      <c r="A97" s="1">
        <v>40</v>
      </c>
      <c r="B97" s="1">
        <v>26</v>
      </c>
      <c r="C97" s="1">
        <v>126</v>
      </c>
      <c r="D97" s="1" t="s">
        <v>51</v>
      </c>
      <c r="E97" s="1" t="s">
        <v>52</v>
      </c>
      <c r="F97" s="1" t="s">
        <v>53</v>
      </c>
      <c r="G97" s="1" t="s">
        <v>54</v>
      </c>
      <c r="H97" s="1" t="s">
        <v>47</v>
      </c>
      <c r="I97" s="1">
        <v>1113</v>
      </c>
      <c r="J97" s="1">
        <v>60690</v>
      </c>
      <c r="K97" s="1">
        <v>1</v>
      </c>
      <c r="L97" s="1">
        <v>125</v>
      </c>
      <c r="M97" s="1">
        <v>1703</v>
      </c>
      <c r="N97" s="1" t="s">
        <v>48</v>
      </c>
      <c r="O97" s="1">
        <v>15219</v>
      </c>
      <c r="P97" s="1">
        <v>95</v>
      </c>
      <c r="Q97" s="1" t="s">
        <v>127</v>
      </c>
      <c r="R97" s="1" t="s">
        <v>50</v>
      </c>
      <c r="S97" s="1">
        <v>0</v>
      </c>
      <c r="T97" s="1">
        <v>0</v>
      </c>
      <c r="U97" s="1">
        <v>162.55099999999999</v>
      </c>
      <c r="V97" s="1">
        <v>27.558</v>
      </c>
      <c r="W97" s="1">
        <v>0.62</v>
      </c>
      <c r="X97" s="1">
        <v>0.66200000000000003</v>
      </c>
      <c r="Y97" s="1">
        <v>28.22</v>
      </c>
      <c r="Z97" s="1">
        <v>0.35</v>
      </c>
      <c r="AA97" s="1">
        <v>-3.1</v>
      </c>
      <c r="AB97" s="1">
        <v>-3.1</v>
      </c>
      <c r="AC97" s="1">
        <v>-3.1</v>
      </c>
      <c r="AD97" s="1">
        <v>0.66200000000000003</v>
      </c>
      <c r="AE97" s="1">
        <v>0.35</v>
      </c>
      <c r="AF97" s="1">
        <v>0.23100000000000001</v>
      </c>
      <c r="AG97" s="1">
        <v>-3.1</v>
      </c>
      <c r="AI97" s="1">
        <v>0</v>
      </c>
      <c r="AJ97" s="1">
        <v>0</v>
      </c>
      <c r="AK97" s="1">
        <v>0</v>
      </c>
      <c r="AL97" s="1">
        <v>1</v>
      </c>
      <c r="AM97" s="1">
        <v>86400</v>
      </c>
      <c r="AN97" s="1">
        <v>81870</v>
      </c>
      <c r="AO97" s="1">
        <v>4530</v>
      </c>
      <c r="AP97" s="1">
        <v>46854</v>
      </c>
      <c r="AQ97" s="1">
        <v>18.413686504200541</v>
      </c>
    </row>
    <row r="98" spans="1:43" x14ac:dyDescent="0.45">
      <c r="A98" s="1">
        <v>165</v>
      </c>
      <c r="B98" s="1">
        <v>142</v>
      </c>
      <c r="C98" s="1">
        <v>78</v>
      </c>
      <c r="D98" s="1" t="s">
        <v>67</v>
      </c>
      <c r="E98" s="1" t="s">
        <v>68</v>
      </c>
      <c r="F98" s="1" t="s">
        <v>69</v>
      </c>
      <c r="G98" s="1" t="s">
        <v>46</v>
      </c>
      <c r="H98" s="1" t="s">
        <v>47</v>
      </c>
      <c r="I98" s="1">
        <v>1163</v>
      </c>
      <c r="J98" s="1">
        <v>33073</v>
      </c>
      <c r="K98" s="1">
        <v>1</v>
      </c>
      <c r="L98" s="1">
        <v>77</v>
      </c>
      <c r="M98" s="1">
        <v>2267</v>
      </c>
      <c r="N98" s="1" t="s">
        <v>48</v>
      </c>
      <c r="O98" s="1">
        <v>194543</v>
      </c>
      <c r="P98" s="1">
        <v>95</v>
      </c>
      <c r="Q98" s="1" t="s">
        <v>127</v>
      </c>
      <c r="R98" s="1" t="s">
        <v>50</v>
      </c>
      <c r="S98" s="1">
        <v>0</v>
      </c>
      <c r="T98" s="1">
        <v>0</v>
      </c>
      <c r="U98" s="1">
        <v>99.31</v>
      </c>
      <c r="V98" s="1">
        <v>24.934000000000001</v>
      </c>
      <c r="W98" s="1">
        <v>0.6</v>
      </c>
      <c r="X98" s="1">
        <v>0.65700000000000003</v>
      </c>
      <c r="Y98" s="1">
        <v>25.591000000000001</v>
      </c>
      <c r="Z98" s="1">
        <v>0.14899999999999999</v>
      </c>
      <c r="AA98" s="1">
        <v>0.5</v>
      </c>
      <c r="AB98" s="1">
        <v>0.4</v>
      </c>
      <c r="AC98" s="1">
        <v>0.4</v>
      </c>
      <c r="AD98" s="1">
        <v>0.65700000000000003</v>
      </c>
      <c r="AE98" s="1">
        <v>0.06</v>
      </c>
      <c r="AF98" s="1">
        <v>4.9000000000000002E-2</v>
      </c>
      <c r="AG98" s="1">
        <v>0.5</v>
      </c>
      <c r="AI98" s="1">
        <v>0</v>
      </c>
      <c r="AJ98" s="1">
        <v>0</v>
      </c>
      <c r="AK98" s="1">
        <v>0</v>
      </c>
      <c r="AL98" s="1">
        <v>1</v>
      </c>
      <c r="AM98" s="1">
        <v>86400</v>
      </c>
      <c r="AN98" s="1">
        <v>80959</v>
      </c>
      <c r="AO98" s="1">
        <v>5441</v>
      </c>
      <c r="AP98" s="1">
        <v>47348</v>
      </c>
      <c r="AQ98" s="1">
        <v>9.402992152571759</v>
      </c>
    </row>
    <row r="99" spans="1:43" x14ac:dyDescent="0.45">
      <c r="A99" s="1">
        <v>75</v>
      </c>
      <c r="B99" s="1">
        <v>91</v>
      </c>
      <c r="C99" s="1">
        <v>117</v>
      </c>
      <c r="D99" s="1" t="s">
        <v>112</v>
      </c>
      <c r="E99" s="1" t="s">
        <v>113</v>
      </c>
      <c r="F99" s="1" t="s">
        <v>114</v>
      </c>
      <c r="G99" s="1" t="s">
        <v>54</v>
      </c>
      <c r="H99" s="1" t="s">
        <v>47</v>
      </c>
      <c r="I99" s="1">
        <v>948</v>
      </c>
      <c r="J99" s="1">
        <v>50781</v>
      </c>
      <c r="K99" s="1">
        <v>1</v>
      </c>
      <c r="L99" s="1">
        <v>116</v>
      </c>
      <c r="M99" s="1">
        <v>2369</v>
      </c>
      <c r="N99" s="1" t="s">
        <v>48</v>
      </c>
      <c r="O99" s="1">
        <v>195327</v>
      </c>
      <c r="P99" s="1">
        <v>95</v>
      </c>
      <c r="Q99" s="1" t="s">
        <v>127</v>
      </c>
      <c r="R99" s="1" t="s">
        <v>50</v>
      </c>
      <c r="S99" s="1">
        <v>0</v>
      </c>
      <c r="T99" s="1">
        <v>0</v>
      </c>
      <c r="U99" s="1">
        <v>91.350999999999999</v>
      </c>
      <c r="V99" s="1">
        <v>24.923999999999999</v>
      </c>
      <c r="W99" s="1">
        <v>0.64</v>
      </c>
      <c r="X99" s="1">
        <v>0.63600000000000001</v>
      </c>
      <c r="Y99" s="1">
        <v>25.561</v>
      </c>
      <c r="Z99" s="1">
        <v>0.68600000000000005</v>
      </c>
      <c r="AA99" s="1">
        <v>-0.9</v>
      </c>
      <c r="AB99" s="1">
        <v>-0.9</v>
      </c>
      <c r="AC99" s="1">
        <v>-0.9</v>
      </c>
      <c r="AD99" s="1">
        <v>0.63600000000000001</v>
      </c>
      <c r="AE99" s="1">
        <v>0.68600000000000005</v>
      </c>
      <c r="AF99" s="1">
        <v>0.436</v>
      </c>
      <c r="AG99" s="1">
        <v>-0.9</v>
      </c>
      <c r="AI99" s="1">
        <v>0</v>
      </c>
      <c r="AJ99" s="1">
        <v>0</v>
      </c>
      <c r="AK99" s="1">
        <v>0</v>
      </c>
      <c r="AL99" s="1">
        <v>1</v>
      </c>
      <c r="AM99" s="1">
        <v>54198</v>
      </c>
      <c r="AN99" s="1">
        <v>10951</v>
      </c>
      <c r="AO99" s="1">
        <v>43246</v>
      </c>
      <c r="AP99" s="1">
        <v>48922</v>
      </c>
      <c r="AQ99" s="1">
        <v>0.64219417956968827</v>
      </c>
    </row>
    <row r="100" spans="1:43" x14ac:dyDescent="0.45">
      <c r="A100" s="1">
        <v>104</v>
      </c>
      <c r="B100" s="1">
        <v>101</v>
      </c>
      <c r="C100" s="1">
        <v>74</v>
      </c>
      <c r="D100" s="1" t="s">
        <v>61</v>
      </c>
      <c r="E100" s="1" t="s">
        <v>62</v>
      </c>
      <c r="F100" s="1" t="s">
        <v>63</v>
      </c>
      <c r="G100" s="1" t="s">
        <v>46</v>
      </c>
      <c r="H100" s="1" t="s">
        <v>47</v>
      </c>
      <c r="I100" s="1">
        <v>1175</v>
      </c>
      <c r="J100" s="1">
        <v>30642</v>
      </c>
      <c r="K100" s="1">
        <v>1</v>
      </c>
      <c r="L100" s="1">
        <v>73</v>
      </c>
      <c r="M100" s="1">
        <v>2549</v>
      </c>
      <c r="N100" s="1" t="s">
        <v>48</v>
      </c>
      <c r="O100" s="1">
        <v>198541</v>
      </c>
      <c r="P100" s="1">
        <v>95</v>
      </c>
      <c r="Q100" s="1" t="s">
        <v>127</v>
      </c>
      <c r="R100" s="1" t="s">
        <v>50</v>
      </c>
      <c r="S100" s="1">
        <v>0</v>
      </c>
      <c r="T100" s="1">
        <v>0</v>
      </c>
      <c r="U100" s="1">
        <v>289.83499999999998</v>
      </c>
      <c r="V100" s="1">
        <v>25.143000000000001</v>
      </c>
      <c r="W100" s="1">
        <v>0.6</v>
      </c>
      <c r="X100" s="1">
        <v>0.627</v>
      </c>
      <c r="Y100" s="1">
        <v>25.77</v>
      </c>
      <c r="Z100" s="1">
        <v>0.17499999999999999</v>
      </c>
      <c r="AA100" s="1">
        <v>-1.9</v>
      </c>
      <c r="AB100" s="1">
        <v>2.2000000000000002</v>
      </c>
      <c r="AC100" s="1">
        <v>2.1</v>
      </c>
      <c r="AD100" s="1">
        <v>0.627</v>
      </c>
      <c r="AE100" s="1">
        <v>5.5E-2</v>
      </c>
      <c r="AF100" s="1">
        <v>4.8000000000000001E-2</v>
      </c>
      <c r="AG100" s="1">
        <v>-1.9</v>
      </c>
      <c r="AI100" s="1">
        <v>0</v>
      </c>
      <c r="AJ100" s="1">
        <v>0</v>
      </c>
      <c r="AK100" s="1">
        <v>0</v>
      </c>
      <c r="AL100" s="1">
        <v>1</v>
      </c>
      <c r="AM100" s="1">
        <v>86400</v>
      </c>
      <c r="AN100" s="1">
        <v>81743</v>
      </c>
      <c r="AO100" s="1">
        <v>4657</v>
      </c>
      <c r="AP100" s="1">
        <v>49815</v>
      </c>
      <c r="AQ100" s="1">
        <v>24.891446609903252</v>
      </c>
    </row>
    <row r="101" spans="1:43" x14ac:dyDescent="0.45">
      <c r="A101" s="1">
        <v>166</v>
      </c>
      <c r="B101" s="1">
        <v>142</v>
      </c>
      <c r="C101" s="1">
        <v>78</v>
      </c>
      <c r="D101" s="1" t="s">
        <v>67</v>
      </c>
      <c r="E101" s="1" t="s">
        <v>68</v>
      </c>
      <c r="F101" s="1" t="s">
        <v>69</v>
      </c>
      <c r="G101" s="1" t="s">
        <v>46</v>
      </c>
      <c r="H101" s="1" t="s">
        <v>47</v>
      </c>
      <c r="I101" s="1">
        <v>1163</v>
      </c>
      <c r="J101" s="1">
        <v>33073</v>
      </c>
      <c r="K101" s="1">
        <v>1</v>
      </c>
      <c r="L101" s="1">
        <v>77</v>
      </c>
      <c r="M101" s="1">
        <v>2268</v>
      </c>
      <c r="N101" s="1" t="s">
        <v>48</v>
      </c>
      <c r="O101" s="1">
        <v>194544</v>
      </c>
      <c r="P101" s="1">
        <v>95</v>
      </c>
      <c r="Q101" s="1" t="s">
        <v>127</v>
      </c>
      <c r="R101" s="1" t="s">
        <v>50</v>
      </c>
      <c r="S101" s="1">
        <v>0</v>
      </c>
      <c r="T101" s="1">
        <v>0</v>
      </c>
      <c r="U101" s="1">
        <v>98.995000000000005</v>
      </c>
      <c r="V101" s="1">
        <v>24.971</v>
      </c>
      <c r="W101" s="1">
        <v>0.6</v>
      </c>
      <c r="X101" s="1">
        <v>0.62</v>
      </c>
      <c r="Y101" s="1">
        <v>25.59</v>
      </c>
      <c r="Z101" s="1">
        <v>0.14099999999999999</v>
      </c>
      <c r="AA101" s="1">
        <v>0.2</v>
      </c>
      <c r="AB101" s="1">
        <v>0.1</v>
      </c>
      <c r="AC101" s="1">
        <v>0.1</v>
      </c>
      <c r="AD101" s="1">
        <v>0.62</v>
      </c>
      <c r="AE101" s="1">
        <v>5.8000000000000003E-2</v>
      </c>
      <c r="AF101" s="1">
        <v>4.1000000000000002E-2</v>
      </c>
      <c r="AG101" s="1">
        <v>0.2</v>
      </c>
      <c r="AI101" s="1">
        <v>0</v>
      </c>
      <c r="AJ101" s="1">
        <v>0</v>
      </c>
      <c r="AK101" s="1">
        <v>0</v>
      </c>
      <c r="AL101" s="1">
        <v>1</v>
      </c>
      <c r="AM101" s="1">
        <v>86400</v>
      </c>
      <c r="AN101" s="1">
        <v>80409</v>
      </c>
      <c r="AO101" s="1">
        <v>5991</v>
      </c>
      <c r="AP101" s="1">
        <v>47524</v>
      </c>
      <c r="AQ101" s="1">
        <v>17.426884546178929</v>
      </c>
    </row>
    <row r="102" spans="1:43" x14ac:dyDescent="0.45">
      <c r="A102" s="1">
        <v>221</v>
      </c>
      <c r="B102" s="1">
        <v>181</v>
      </c>
      <c r="C102" s="1">
        <v>75</v>
      </c>
      <c r="D102" s="1" t="s">
        <v>64</v>
      </c>
      <c r="E102" s="1" t="s">
        <v>65</v>
      </c>
      <c r="F102" s="1" t="s">
        <v>66</v>
      </c>
      <c r="G102" s="1" t="s">
        <v>46</v>
      </c>
      <c r="H102" s="1" t="s">
        <v>47</v>
      </c>
      <c r="I102" s="1">
        <v>1170</v>
      </c>
      <c r="J102" s="1">
        <v>33499</v>
      </c>
      <c r="K102" s="1">
        <v>1</v>
      </c>
      <c r="L102" s="1">
        <v>74</v>
      </c>
      <c r="M102" s="1">
        <v>2139</v>
      </c>
      <c r="N102" s="1" t="s">
        <v>48</v>
      </c>
      <c r="O102" s="1">
        <v>194037</v>
      </c>
      <c r="P102" s="1">
        <v>95</v>
      </c>
      <c r="Q102" s="1" t="s">
        <v>127</v>
      </c>
      <c r="R102" s="1" t="s">
        <v>50</v>
      </c>
      <c r="S102" s="1">
        <v>0</v>
      </c>
      <c r="T102" s="1">
        <v>0</v>
      </c>
      <c r="U102" s="1">
        <v>71.201999999999998</v>
      </c>
      <c r="V102" s="1">
        <v>24.815999999999999</v>
      </c>
      <c r="W102" s="1">
        <v>0.59</v>
      </c>
      <c r="X102" s="1">
        <v>0.61399999999999999</v>
      </c>
      <c r="Y102" s="1">
        <v>25.43</v>
      </c>
      <c r="Z102" s="1">
        <v>0.13400000000000001</v>
      </c>
      <c r="AA102" s="1">
        <v>0.6</v>
      </c>
      <c r="AB102" s="1">
        <v>-0.8</v>
      </c>
      <c r="AC102" s="1">
        <v>-0.8</v>
      </c>
      <c r="AD102" s="1">
        <v>0.61399999999999999</v>
      </c>
      <c r="AE102" s="1">
        <v>2.1000000000000001E-2</v>
      </c>
      <c r="AF102" s="1">
        <v>4.5999999999999999E-2</v>
      </c>
      <c r="AG102" s="1">
        <v>0.6</v>
      </c>
      <c r="AI102" s="1">
        <v>0</v>
      </c>
      <c r="AJ102" s="1">
        <v>0</v>
      </c>
      <c r="AK102" s="1">
        <v>0</v>
      </c>
      <c r="AL102" s="1">
        <v>1</v>
      </c>
      <c r="AM102" s="1">
        <v>86400</v>
      </c>
      <c r="AN102" s="1">
        <v>82124</v>
      </c>
      <c r="AO102" s="1">
        <v>4276</v>
      </c>
      <c r="AP102" s="1">
        <v>49932</v>
      </c>
      <c r="AQ102" s="1">
        <v>12.96701355991765</v>
      </c>
    </row>
    <row r="103" spans="1:43" x14ac:dyDescent="0.45">
      <c r="A103" s="1">
        <v>106</v>
      </c>
      <c r="B103" s="1">
        <v>101</v>
      </c>
      <c r="C103" s="1">
        <v>74</v>
      </c>
      <c r="D103" s="1" t="s">
        <v>61</v>
      </c>
      <c r="E103" s="1" t="s">
        <v>62</v>
      </c>
      <c r="F103" s="1" t="s">
        <v>63</v>
      </c>
      <c r="G103" s="1" t="s">
        <v>46</v>
      </c>
      <c r="H103" s="1" t="s">
        <v>47</v>
      </c>
      <c r="I103" s="1">
        <v>1175</v>
      </c>
      <c r="J103" s="1">
        <v>30642</v>
      </c>
      <c r="K103" s="1">
        <v>1</v>
      </c>
      <c r="L103" s="1">
        <v>73</v>
      </c>
      <c r="M103" s="1">
        <v>2551</v>
      </c>
      <c r="N103" s="1" t="s">
        <v>48</v>
      </c>
      <c r="O103" s="1">
        <v>198593</v>
      </c>
      <c r="P103" s="1">
        <v>95</v>
      </c>
      <c r="Q103" s="1" t="s">
        <v>127</v>
      </c>
      <c r="R103" s="1" t="s">
        <v>50</v>
      </c>
      <c r="S103" s="1">
        <v>0</v>
      </c>
      <c r="T103" s="1">
        <v>0</v>
      </c>
      <c r="U103" s="1">
        <v>544.79200000000003</v>
      </c>
      <c r="V103" s="1">
        <v>25.16</v>
      </c>
      <c r="W103" s="1">
        <v>0.6</v>
      </c>
      <c r="X103" s="1">
        <v>0.61</v>
      </c>
      <c r="Y103" s="1">
        <v>25.771000000000001</v>
      </c>
      <c r="Z103" s="1">
        <v>0.13800000000000001</v>
      </c>
      <c r="AA103" s="1">
        <v>2.2000000000000002</v>
      </c>
      <c r="AB103" s="1">
        <v>-2.4</v>
      </c>
      <c r="AC103" s="1">
        <v>-2.4</v>
      </c>
      <c r="AD103" s="1">
        <v>0.61</v>
      </c>
      <c r="AE103" s="1">
        <v>5.7000000000000002E-2</v>
      </c>
      <c r="AF103" s="1">
        <v>3.7999999999999999E-2</v>
      </c>
      <c r="AG103" s="1">
        <v>2.2000000000000002</v>
      </c>
      <c r="AI103" s="1">
        <v>0</v>
      </c>
      <c r="AJ103" s="1">
        <v>0</v>
      </c>
      <c r="AK103" s="1">
        <v>0</v>
      </c>
      <c r="AL103" s="1">
        <v>1</v>
      </c>
      <c r="AM103" s="1">
        <v>86400</v>
      </c>
      <c r="AN103" s="1">
        <v>79547</v>
      </c>
      <c r="AO103" s="1">
        <v>6853</v>
      </c>
      <c r="AP103" s="1">
        <v>49850</v>
      </c>
      <c r="AQ103" s="1">
        <v>26.819003902703411</v>
      </c>
    </row>
    <row r="104" spans="1:43" x14ac:dyDescent="0.45">
      <c r="A104" s="1">
        <v>94</v>
      </c>
      <c r="B104" s="1">
        <v>101</v>
      </c>
      <c r="C104" s="1">
        <v>74</v>
      </c>
      <c r="D104" s="1" t="s">
        <v>61</v>
      </c>
      <c r="E104" s="1" t="s">
        <v>62</v>
      </c>
      <c r="F104" s="1" t="s">
        <v>63</v>
      </c>
      <c r="G104" s="1" t="s">
        <v>46</v>
      </c>
      <c r="H104" s="1" t="s">
        <v>47</v>
      </c>
      <c r="I104" s="1">
        <v>1175</v>
      </c>
      <c r="J104" s="1">
        <v>30642</v>
      </c>
      <c r="K104" s="1">
        <v>1</v>
      </c>
      <c r="L104" s="1">
        <v>73</v>
      </c>
      <c r="M104" s="1">
        <v>2524</v>
      </c>
      <c r="N104" s="1" t="s">
        <v>48</v>
      </c>
      <c r="O104" s="1">
        <v>198465</v>
      </c>
      <c r="P104" s="1">
        <v>95</v>
      </c>
      <c r="Q104" s="1" t="s">
        <v>127</v>
      </c>
      <c r="R104" s="1" t="s">
        <v>50</v>
      </c>
      <c r="S104" s="1">
        <v>0</v>
      </c>
      <c r="T104" s="1">
        <v>0</v>
      </c>
      <c r="U104" s="1">
        <v>58.575000000000003</v>
      </c>
      <c r="V104" s="1">
        <v>25.164999999999999</v>
      </c>
      <c r="W104" s="1">
        <v>0.61</v>
      </c>
      <c r="X104" s="1">
        <v>0.60899999999999999</v>
      </c>
      <c r="Y104" s="1">
        <v>25.774000000000001</v>
      </c>
      <c r="Z104" s="1">
        <v>0.39900000000000002</v>
      </c>
      <c r="AA104" s="1">
        <v>0.6</v>
      </c>
      <c r="AB104" s="1">
        <v>1.5</v>
      </c>
      <c r="AC104" s="1">
        <v>1.5</v>
      </c>
      <c r="AD104" s="1">
        <v>0.60899999999999999</v>
      </c>
      <c r="AE104" s="1">
        <v>0.26400000000000001</v>
      </c>
      <c r="AF104" s="1">
        <v>0.16600000000000001</v>
      </c>
      <c r="AG104" s="1">
        <v>0.6</v>
      </c>
      <c r="AI104" s="1">
        <v>0</v>
      </c>
      <c r="AJ104" s="1">
        <v>0</v>
      </c>
      <c r="AK104" s="1">
        <v>0</v>
      </c>
      <c r="AL104" s="1">
        <v>1</v>
      </c>
      <c r="AM104" s="1">
        <v>54361</v>
      </c>
      <c r="AN104" s="1">
        <v>11088</v>
      </c>
      <c r="AO104" s="1">
        <v>43273</v>
      </c>
      <c r="AP104" s="1">
        <v>50130</v>
      </c>
      <c r="AQ104" s="1">
        <v>4.1134895748945857</v>
      </c>
    </row>
    <row r="105" spans="1:43" x14ac:dyDescent="0.45">
      <c r="A105" s="1">
        <v>10</v>
      </c>
      <c r="B105" s="1">
        <v>26</v>
      </c>
      <c r="C105" s="1">
        <v>126</v>
      </c>
      <c r="D105" s="1" t="s">
        <v>51</v>
      </c>
      <c r="E105" s="1" t="s">
        <v>52</v>
      </c>
      <c r="F105" s="1" t="s">
        <v>53</v>
      </c>
      <c r="G105" s="1" t="s">
        <v>54</v>
      </c>
      <c r="H105" s="1" t="s">
        <v>47</v>
      </c>
      <c r="I105" s="1">
        <v>1113</v>
      </c>
      <c r="J105" s="1">
        <v>60690</v>
      </c>
      <c r="K105" s="1">
        <v>1</v>
      </c>
      <c r="L105" s="1">
        <v>125</v>
      </c>
      <c r="M105" s="1">
        <v>954</v>
      </c>
      <c r="N105" s="1" t="s">
        <v>48</v>
      </c>
      <c r="O105" s="1">
        <v>13931</v>
      </c>
      <c r="P105" s="1">
        <v>95</v>
      </c>
      <c r="Q105" s="1" t="s">
        <v>127</v>
      </c>
      <c r="R105" s="1" t="s">
        <v>50</v>
      </c>
      <c r="S105" s="1">
        <v>0</v>
      </c>
      <c r="T105" s="1">
        <v>0</v>
      </c>
      <c r="U105" s="1">
        <v>114.378</v>
      </c>
      <c r="V105" s="1">
        <v>26.774000000000001</v>
      </c>
      <c r="W105" s="1">
        <v>0.66</v>
      </c>
      <c r="X105" s="1">
        <v>0.60699999999999998</v>
      </c>
      <c r="Y105" s="1">
        <v>27.381</v>
      </c>
      <c r="Z105" s="1">
        <v>1.135</v>
      </c>
      <c r="AA105" s="1">
        <v>0.9</v>
      </c>
      <c r="AB105" s="1">
        <v>0.9</v>
      </c>
      <c r="AC105" s="1">
        <v>0.9</v>
      </c>
      <c r="AD105" s="1">
        <v>0.60699999999999998</v>
      </c>
      <c r="AE105" s="1">
        <v>1.133</v>
      </c>
      <c r="AF105" s="1">
        <v>0.68799999999999994</v>
      </c>
      <c r="AG105" s="1">
        <v>0.9</v>
      </c>
      <c r="AI105" s="1">
        <v>0</v>
      </c>
      <c r="AJ105" s="1">
        <v>0</v>
      </c>
      <c r="AK105" s="1">
        <v>0</v>
      </c>
      <c r="AL105" s="1">
        <v>1</v>
      </c>
      <c r="AM105" s="1">
        <v>86400</v>
      </c>
      <c r="AN105" s="1">
        <v>81974</v>
      </c>
      <c r="AO105" s="1">
        <v>4426</v>
      </c>
      <c r="AP105" s="1">
        <v>46880</v>
      </c>
      <c r="AQ105" s="1">
        <v>14.726650808541009</v>
      </c>
    </row>
    <row r="106" spans="1:43" x14ac:dyDescent="0.45">
      <c r="A106" s="1">
        <v>171</v>
      </c>
      <c r="B106" s="1">
        <v>142</v>
      </c>
      <c r="C106" s="1">
        <v>78</v>
      </c>
      <c r="D106" s="1" t="s">
        <v>67</v>
      </c>
      <c r="E106" s="1" t="s">
        <v>68</v>
      </c>
      <c r="F106" s="1" t="s">
        <v>69</v>
      </c>
      <c r="G106" s="1" t="s">
        <v>46</v>
      </c>
      <c r="H106" s="1" t="s">
        <v>47</v>
      </c>
      <c r="I106" s="1">
        <v>1163</v>
      </c>
      <c r="J106" s="1">
        <v>33073</v>
      </c>
      <c r="K106" s="1">
        <v>1</v>
      </c>
      <c r="L106" s="1">
        <v>77</v>
      </c>
      <c r="M106" s="1">
        <v>2273</v>
      </c>
      <c r="N106" s="1" t="s">
        <v>48</v>
      </c>
      <c r="O106" s="1">
        <v>194549</v>
      </c>
      <c r="P106" s="1">
        <v>95</v>
      </c>
      <c r="Q106" s="1" t="s">
        <v>127</v>
      </c>
      <c r="R106" s="1" t="s">
        <v>50</v>
      </c>
      <c r="S106" s="1">
        <v>0</v>
      </c>
      <c r="T106" s="1">
        <v>0</v>
      </c>
      <c r="U106" s="1">
        <v>199.88499999999999</v>
      </c>
      <c r="V106" s="1">
        <v>24.984000000000002</v>
      </c>
      <c r="W106" s="1">
        <v>0.6</v>
      </c>
      <c r="X106" s="1">
        <v>0.60599999999999998</v>
      </c>
      <c r="Y106" s="1">
        <v>25.59</v>
      </c>
      <c r="Z106" s="1">
        <v>0.2</v>
      </c>
      <c r="AA106" s="1">
        <v>1.9</v>
      </c>
      <c r="AB106" s="1">
        <v>1.6</v>
      </c>
      <c r="AC106" s="1">
        <v>1.6</v>
      </c>
      <c r="AD106" s="1">
        <v>0.60599999999999998</v>
      </c>
      <c r="AE106" s="1">
        <v>9.6000000000000002E-2</v>
      </c>
      <c r="AF106" s="1">
        <v>5.8000000000000003E-2</v>
      </c>
      <c r="AG106" s="1">
        <v>1.9</v>
      </c>
      <c r="AI106" s="1">
        <v>0</v>
      </c>
      <c r="AJ106" s="1">
        <v>0</v>
      </c>
      <c r="AK106" s="1">
        <v>0</v>
      </c>
      <c r="AL106" s="1">
        <v>1</v>
      </c>
      <c r="AM106" s="1">
        <v>86400</v>
      </c>
      <c r="AN106" s="1">
        <v>80131</v>
      </c>
      <c r="AO106" s="1">
        <v>6269</v>
      </c>
      <c r="AP106" s="1">
        <v>47796</v>
      </c>
      <c r="AQ106" s="1">
        <v>1.6535050133315661</v>
      </c>
    </row>
    <row r="107" spans="1:43" x14ac:dyDescent="0.45">
      <c r="A107" s="1">
        <v>109</v>
      </c>
      <c r="B107" s="1">
        <v>101</v>
      </c>
      <c r="C107" s="1">
        <v>74</v>
      </c>
      <c r="D107" s="1" t="s">
        <v>61</v>
      </c>
      <c r="E107" s="1" t="s">
        <v>62</v>
      </c>
      <c r="F107" s="1" t="s">
        <v>63</v>
      </c>
      <c r="G107" s="1" t="s">
        <v>46</v>
      </c>
      <c r="H107" s="1" t="s">
        <v>47</v>
      </c>
      <c r="I107" s="1">
        <v>1175</v>
      </c>
      <c r="J107" s="1">
        <v>30642</v>
      </c>
      <c r="K107" s="1">
        <v>1</v>
      </c>
      <c r="L107" s="1">
        <v>73</v>
      </c>
      <c r="M107" s="1">
        <v>2554</v>
      </c>
      <c r="N107" s="1" t="s">
        <v>48</v>
      </c>
      <c r="O107" s="1">
        <v>198598</v>
      </c>
      <c r="P107" s="1">
        <v>95</v>
      </c>
      <c r="Q107" s="1" t="s">
        <v>127</v>
      </c>
      <c r="R107" s="1" t="s">
        <v>50</v>
      </c>
      <c r="S107" s="1">
        <v>0</v>
      </c>
      <c r="T107" s="1">
        <v>0</v>
      </c>
      <c r="U107" s="1">
        <v>434.84699999999998</v>
      </c>
      <c r="V107" s="1">
        <v>25.167000000000002</v>
      </c>
      <c r="W107" s="1">
        <v>0.59</v>
      </c>
      <c r="X107" s="1">
        <v>0.60299999999999998</v>
      </c>
      <c r="Y107" s="1">
        <v>25.77</v>
      </c>
      <c r="Z107" s="1">
        <v>0.08</v>
      </c>
      <c r="AA107" s="1">
        <v>1.6</v>
      </c>
      <c r="AB107" s="1">
        <v>2.8</v>
      </c>
      <c r="AC107" s="1">
        <v>2.7</v>
      </c>
      <c r="AD107" s="1">
        <v>0.60199999999999998</v>
      </c>
      <c r="AE107" s="1">
        <v>3.1E-2</v>
      </c>
      <c r="AF107" s="1">
        <v>1.9E-2</v>
      </c>
      <c r="AG107" s="1">
        <v>1.6</v>
      </c>
      <c r="AI107" s="1">
        <v>0</v>
      </c>
      <c r="AJ107" s="1">
        <v>0</v>
      </c>
      <c r="AK107" s="1">
        <v>0</v>
      </c>
      <c r="AL107" s="1">
        <v>1</v>
      </c>
      <c r="AM107" s="1">
        <v>86400</v>
      </c>
      <c r="AN107" s="1">
        <v>79408</v>
      </c>
      <c r="AO107" s="1">
        <v>6992</v>
      </c>
      <c r="AP107" s="1">
        <v>50191</v>
      </c>
      <c r="AQ107" s="1">
        <v>26.300615520015079</v>
      </c>
    </row>
    <row r="108" spans="1:43" x14ac:dyDescent="0.45">
      <c r="A108" s="1">
        <v>274</v>
      </c>
      <c r="B108" s="1">
        <v>446</v>
      </c>
      <c r="C108" s="1">
        <v>97</v>
      </c>
      <c r="D108" s="1" t="s">
        <v>85</v>
      </c>
      <c r="E108" s="1" t="s">
        <v>86</v>
      </c>
      <c r="F108" s="1" t="s">
        <v>87</v>
      </c>
      <c r="G108" s="1" t="s">
        <v>46</v>
      </c>
      <c r="H108" s="1" t="s">
        <v>47</v>
      </c>
      <c r="I108" s="1">
        <v>1089</v>
      </c>
      <c r="J108" s="1">
        <v>26566</v>
      </c>
      <c r="K108" s="1">
        <v>1</v>
      </c>
      <c r="L108" s="1">
        <v>96</v>
      </c>
      <c r="M108" s="1">
        <v>2081</v>
      </c>
      <c r="N108" s="1" t="s">
        <v>48</v>
      </c>
      <c r="O108" s="1">
        <v>184875</v>
      </c>
      <c r="P108" s="1">
        <v>95</v>
      </c>
      <c r="Q108" s="1" t="s">
        <v>127</v>
      </c>
      <c r="R108" s="1" t="s">
        <v>50</v>
      </c>
      <c r="S108" s="1">
        <v>0</v>
      </c>
      <c r="T108" s="1">
        <v>0</v>
      </c>
      <c r="U108" s="1">
        <v>213.364</v>
      </c>
      <c r="V108" s="1">
        <v>24.367999999999999</v>
      </c>
      <c r="W108" s="1">
        <v>0.59</v>
      </c>
      <c r="X108" s="1">
        <v>0.59799999999999998</v>
      </c>
      <c r="Y108" s="1">
        <v>24.965</v>
      </c>
      <c r="Z108" s="1">
        <v>6.9000000000000006E-2</v>
      </c>
      <c r="AA108" s="1">
        <v>-0.7</v>
      </c>
      <c r="AB108" s="1">
        <v>2.8</v>
      </c>
      <c r="AC108" s="1">
        <v>2.8</v>
      </c>
      <c r="AD108" s="1">
        <v>0.59799999999999998</v>
      </c>
      <c r="AE108" s="1">
        <v>5.8999999999999997E-2</v>
      </c>
      <c r="AF108" s="1">
        <v>3.5000000000000003E-2</v>
      </c>
      <c r="AG108" s="1">
        <v>-0.7</v>
      </c>
      <c r="AI108" s="1">
        <v>0</v>
      </c>
      <c r="AJ108" s="1">
        <v>0</v>
      </c>
      <c r="AK108" s="1">
        <v>0</v>
      </c>
      <c r="AL108" s="1">
        <v>1</v>
      </c>
      <c r="AM108" s="1">
        <v>86400</v>
      </c>
      <c r="AN108" s="1">
        <v>82159</v>
      </c>
      <c r="AO108" s="1">
        <v>4241</v>
      </c>
      <c r="AP108" s="1">
        <v>43597</v>
      </c>
      <c r="AQ108" s="1">
        <v>2.3289428131713419</v>
      </c>
    </row>
    <row r="109" spans="1:43" x14ac:dyDescent="0.45">
      <c r="A109" s="1">
        <v>164</v>
      </c>
      <c r="B109" s="1">
        <v>142</v>
      </c>
      <c r="C109" s="1">
        <v>78</v>
      </c>
      <c r="D109" s="1" t="s">
        <v>67</v>
      </c>
      <c r="E109" s="1" t="s">
        <v>68</v>
      </c>
      <c r="F109" s="1" t="s">
        <v>69</v>
      </c>
      <c r="G109" s="1" t="s">
        <v>46</v>
      </c>
      <c r="H109" s="1" t="s">
        <v>47</v>
      </c>
      <c r="I109" s="1">
        <v>1163</v>
      </c>
      <c r="J109" s="1">
        <v>33073</v>
      </c>
      <c r="K109" s="1">
        <v>1</v>
      </c>
      <c r="L109" s="1">
        <v>77</v>
      </c>
      <c r="M109" s="1">
        <v>2266</v>
      </c>
      <c r="N109" s="1" t="s">
        <v>48</v>
      </c>
      <c r="O109" s="1">
        <v>194541</v>
      </c>
      <c r="P109" s="1">
        <v>95</v>
      </c>
      <c r="Q109" s="1" t="s">
        <v>127</v>
      </c>
      <c r="R109" s="1" t="s">
        <v>50</v>
      </c>
      <c r="S109" s="1">
        <v>0</v>
      </c>
      <c r="T109" s="1">
        <v>0</v>
      </c>
      <c r="U109" s="1">
        <v>444.91399999999999</v>
      </c>
      <c r="V109" s="1">
        <v>25.006</v>
      </c>
      <c r="W109" s="1">
        <v>0.59</v>
      </c>
      <c r="X109" s="1">
        <v>0.58499999999999996</v>
      </c>
      <c r="Y109" s="1">
        <v>25.591000000000001</v>
      </c>
      <c r="Z109" s="1">
        <v>0.20799999999999999</v>
      </c>
      <c r="AA109" s="1">
        <v>0.7</v>
      </c>
      <c r="AB109" s="1">
        <v>0.1</v>
      </c>
      <c r="AC109" s="1">
        <v>0.1</v>
      </c>
      <c r="AD109" s="1">
        <v>0.58499999999999996</v>
      </c>
      <c r="AE109" s="1">
        <v>0.1</v>
      </c>
      <c r="AF109" s="1">
        <v>5.8999999999999997E-2</v>
      </c>
      <c r="AG109" s="1">
        <v>0.7</v>
      </c>
      <c r="AI109" s="1">
        <v>0</v>
      </c>
      <c r="AJ109" s="1">
        <v>0</v>
      </c>
      <c r="AK109" s="1">
        <v>0</v>
      </c>
      <c r="AL109" s="1">
        <v>1</v>
      </c>
      <c r="AM109" s="1">
        <v>86400</v>
      </c>
      <c r="AN109" s="1">
        <v>79611</v>
      </c>
      <c r="AO109" s="1">
        <v>6789</v>
      </c>
      <c r="AP109" s="1">
        <v>47369</v>
      </c>
      <c r="AQ109" s="1">
        <v>26.147441836754549</v>
      </c>
    </row>
    <row r="110" spans="1:43" x14ac:dyDescent="0.45">
      <c r="A110" s="1">
        <v>170</v>
      </c>
      <c r="B110" s="1">
        <v>142</v>
      </c>
      <c r="C110" s="1">
        <v>78</v>
      </c>
      <c r="D110" s="1" t="s">
        <v>67</v>
      </c>
      <c r="E110" s="1" t="s">
        <v>68</v>
      </c>
      <c r="F110" s="1" t="s">
        <v>69</v>
      </c>
      <c r="G110" s="1" t="s">
        <v>46</v>
      </c>
      <c r="H110" s="1" t="s">
        <v>47</v>
      </c>
      <c r="I110" s="1">
        <v>1163</v>
      </c>
      <c r="J110" s="1">
        <v>33073</v>
      </c>
      <c r="K110" s="1">
        <v>1</v>
      </c>
      <c r="L110" s="1">
        <v>77</v>
      </c>
      <c r="M110" s="1">
        <v>2272</v>
      </c>
      <c r="N110" s="1" t="s">
        <v>48</v>
      </c>
      <c r="O110" s="1">
        <v>194548</v>
      </c>
      <c r="P110" s="1">
        <v>95</v>
      </c>
      <c r="Q110" s="1" t="s">
        <v>127</v>
      </c>
      <c r="R110" s="1" t="s">
        <v>50</v>
      </c>
      <c r="S110" s="1">
        <v>0</v>
      </c>
      <c r="T110" s="1">
        <v>0</v>
      </c>
      <c r="U110" s="1">
        <v>95.963999999999999</v>
      </c>
      <c r="V110" s="1">
        <v>25.006</v>
      </c>
      <c r="W110" s="1">
        <v>0.59</v>
      </c>
      <c r="X110" s="1">
        <v>0.58499999999999996</v>
      </c>
      <c r="Y110" s="1">
        <v>25.591000000000001</v>
      </c>
      <c r="Z110" s="1">
        <v>0.128</v>
      </c>
      <c r="AA110" s="1">
        <v>1.7</v>
      </c>
      <c r="AB110" s="1">
        <v>1.6</v>
      </c>
      <c r="AC110" s="1">
        <v>1.6</v>
      </c>
      <c r="AD110" s="1">
        <v>0.58499999999999996</v>
      </c>
      <c r="AE110" s="1">
        <v>0.04</v>
      </c>
      <c r="AF110" s="1">
        <v>3.3000000000000002E-2</v>
      </c>
      <c r="AG110" s="1">
        <v>1.7</v>
      </c>
      <c r="AI110" s="1">
        <v>0</v>
      </c>
      <c r="AJ110" s="1">
        <v>0</v>
      </c>
      <c r="AK110" s="1">
        <v>0</v>
      </c>
      <c r="AL110" s="1">
        <v>1</v>
      </c>
      <c r="AM110" s="1">
        <v>86400</v>
      </c>
      <c r="AN110" s="1">
        <v>79602</v>
      </c>
      <c r="AO110" s="1">
        <v>6798</v>
      </c>
      <c r="AP110" s="1">
        <v>47338</v>
      </c>
      <c r="AQ110" s="1">
        <v>21.031178832719188</v>
      </c>
    </row>
    <row r="111" spans="1:43" x14ac:dyDescent="0.45">
      <c r="A111" s="1">
        <v>66</v>
      </c>
      <c r="B111" s="1">
        <v>77</v>
      </c>
      <c r="C111" s="1">
        <v>46</v>
      </c>
      <c r="D111" s="1" t="s">
        <v>58</v>
      </c>
      <c r="E111" s="1" t="s">
        <v>59</v>
      </c>
      <c r="F111" s="1" t="s">
        <v>60</v>
      </c>
      <c r="G111" s="1" t="s">
        <v>54</v>
      </c>
      <c r="H111" s="1" t="s">
        <v>47</v>
      </c>
      <c r="I111" s="1">
        <v>503</v>
      </c>
      <c r="J111" s="1">
        <v>17406</v>
      </c>
      <c r="K111" s="1">
        <v>1</v>
      </c>
      <c r="L111" s="1">
        <v>45</v>
      </c>
      <c r="M111" s="1">
        <v>2401</v>
      </c>
      <c r="N111" s="1" t="s">
        <v>48</v>
      </c>
      <c r="O111" s="1">
        <v>196199</v>
      </c>
      <c r="P111" s="1">
        <v>95</v>
      </c>
      <c r="Q111" s="1" t="s">
        <v>127</v>
      </c>
      <c r="R111" s="1" t="s">
        <v>50</v>
      </c>
      <c r="S111" s="1">
        <v>0</v>
      </c>
      <c r="T111" s="1">
        <v>0</v>
      </c>
      <c r="U111" s="1">
        <v>64.108000000000004</v>
      </c>
      <c r="V111" s="1">
        <v>25.141999999999999</v>
      </c>
      <c r="W111" s="1">
        <v>0.67</v>
      </c>
      <c r="X111" s="1">
        <v>0.58099999999999996</v>
      </c>
      <c r="Y111" s="1">
        <v>25.722999999999999</v>
      </c>
      <c r="Z111" s="1">
        <v>2.093</v>
      </c>
      <c r="AA111" s="1">
        <v>2.7</v>
      </c>
      <c r="AB111" s="1">
        <v>2.6</v>
      </c>
      <c r="AC111" s="1">
        <v>2.6</v>
      </c>
      <c r="AD111" s="1">
        <v>0.58099999999999996</v>
      </c>
      <c r="AE111" s="1">
        <v>1.4750000000000001</v>
      </c>
      <c r="AF111" s="1">
        <v>0.91100000000000003</v>
      </c>
      <c r="AG111" s="1">
        <v>2.7</v>
      </c>
      <c r="AI111" s="1">
        <v>0</v>
      </c>
      <c r="AJ111" s="1">
        <v>0</v>
      </c>
      <c r="AK111" s="1">
        <v>0</v>
      </c>
      <c r="AL111" s="1">
        <v>1</v>
      </c>
      <c r="AM111" s="1">
        <v>86400</v>
      </c>
      <c r="AN111" s="1">
        <v>78780</v>
      </c>
      <c r="AO111" s="1">
        <v>7617</v>
      </c>
      <c r="AP111" s="1">
        <v>46914</v>
      </c>
      <c r="AQ111" s="1">
        <v>4.5203553742309683</v>
      </c>
    </row>
    <row r="112" spans="1:43" x14ac:dyDescent="0.45">
      <c r="A112" s="1">
        <v>42</v>
      </c>
      <c r="B112" s="1">
        <v>26</v>
      </c>
      <c r="C112" s="1">
        <v>126</v>
      </c>
      <c r="D112" s="1" t="s">
        <v>51</v>
      </c>
      <c r="E112" s="1" t="s">
        <v>52</v>
      </c>
      <c r="F112" s="1" t="s">
        <v>53</v>
      </c>
      <c r="G112" s="1" t="s">
        <v>54</v>
      </c>
      <c r="H112" s="1" t="s">
        <v>47</v>
      </c>
      <c r="I112" s="1">
        <v>1113</v>
      </c>
      <c r="J112" s="1">
        <v>60690</v>
      </c>
      <c r="K112" s="1">
        <v>1</v>
      </c>
      <c r="L112" s="1">
        <v>125</v>
      </c>
      <c r="M112" s="1">
        <v>1705</v>
      </c>
      <c r="N112" s="1" t="s">
        <v>48</v>
      </c>
      <c r="O112" s="1">
        <v>15221</v>
      </c>
      <c r="P112" s="1">
        <v>95</v>
      </c>
      <c r="Q112" s="1" t="s">
        <v>127</v>
      </c>
      <c r="R112" s="1" t="s">
        <v>50</v>
      </c>
      <c r="S112" s="1">
        <v>0</v>
      </c>
      <c r="T112" s="1">
        <v>0</v>
      </c>
      <c r="U112" s="1">
        <v>173.398</v>
      </c>
      <c r="V112" s="1">
        <v>27.64</v>
      </c>
      <c r="W112" s="1">
        <v>0.61</v>
      </c>
      <c r="X112" s="1">
        <v>0.57999999999999996</v>
      </c>
      <c r="Y112" s="1">
        <v>28.22</v>
      </c>
      <c r="Z112" s="1">
        <v>0.36799999999999999</v>
      </c>
      <c r="AA112" s="1">
        <v>1.7</v>
      </c>
      <c r="AB112" s="1">
        <v>1.7</v>
      </c>
      <c r="AC112" s="1">
        <v>1.7</v>
      </c>
      <c r="AD112" s="1">
        <v>0.57999999999999996</v>
      </c>
      <c r="AE112" s="1">
        <v>0.36799999999999999</v>
      </c>
      <c r="AF112" s="1">
        <v>0.21299999999999999</v>
      </c>
      <c r="AG112" s="1">
        <v>1.7</v>
      </c>
      <c r="AI112" s="1">
        <v>0</v>
      </c>
      <c r="AJ112" s="1">
        <v>0</v>
      </c>
      <c r="AK112" s="1">
        <v>0</v>
      </c>
      <c r="AL112" s="1">
        <v>1</v>
      </c>
      <c r="AM112" s="1">
        <v>86400</v>
      </c>
      <c r="AN112" s="1">
        <v>81951</v>
      </c>
      <c r="AO112" s="1">
        <v>4449</v>
      </c>
      <c r="AP112" s="1">
        <v>46824</v>
      </c>
      <c r="AQ112" s="1">
        <v>18.611463029148041</v>
      </c>
    </row>
    <row r="113" spans="1:43" x14ac:dyDescent="0.45">
      <c r="A113" s="1">
        <v>99</v>
      </c>
      <c r="B113" s="1">
        <v>101</v>
      </c>
      <c r="C113" s="1">
        <v>74</v>
      </c>
      <c r="D113" s="1" t="s">
        <v>61</v>
      </c>
      <c r="E113" s="1" t="s">
        <v>62</v>
      </c>
      <c r="F113" s="1" t="s">
        <v>63</v>
      </c>
      <c r="G113" s="1" t="s">
        <v>46</v>
      </c>
      <c r="H113" s="1" t="s">
        <v>47</v>
      </c>
      <c r="I113" s="1">
        <v>1175</v>
      </c>
      <c r="J113" s="1">
        <v>30642</v>
      </c>
      <c r="K113" s="1">
        <v>1</v>
      </c>
      <c r="L113" s="1">
        <v>73</v>
      </c>
      <c r="M113" s="1">
        <v>2544</v>
      </c>
      <c r="N113" s="1" t="s">
        <v>48</v>
      </c>
      <c r="O113" s="1">
        <v>198486</v>
      </c>
      <c r="P113" s="1">
        <v>95</v>
      </c>
      <c r="Q113" s="1" t="s">
        <v>127</v>
      </c>
      <c r="R113" s="1" t="s">
        <v>50</v>
      </c>
      <c r="S113" s="1">
        <v>0</v>
      </c>
      <c r="T113" s="1">
        <v>0</v>
      </c>
      <c r="U113" s="1">
        <v>52.094000000000001</v>
      </c>
      <c r="V113" s="1">
        <v>25.183</v>
      </c>
      <c r="W113" s="1">
        <v>0.61</v>
      </c>
      <c r="X113" s="1">
        <v>0.57699999999999996</v>
      </c>
      <c r="Y113" s="1">
        <v>25.76</v>
      </c>
      <c r="Z113" s="1">
        <v>0.78300000000000003</v>
      </c>
      <c r="AA113" s="1">
        <v>-3</v>
      </c>
      <c r="AB113" s="1">
        <v>-2.8</v>
      </c>
      <c r="AC113" s="1">
        <v>-2.8</v>
      </c>
      <c r="AD113" s="1">
        <v>0.57499999999999996</v>
      </c>
      <c r="AE113" s="1">
        <v>0.35799999999999998</v>
      </c>
      <c r="AF113" s="1">
        <v>0.26700000000000002</v>
      </c>
      <c r="AG113" s="1">
        <v>-3</v>
      </c>
      <c r="AI113" s="1">
        <v>0</v>
      </c>
      <c r="AJ113" s="1">
        <v>0</v>
      </c>
      <c r="AK113" s="1">
        <v>0</v>
      </c>
      <c r="AL113" s="1">
        <v>1</v>
      </c>
      <c r="AM113" s="1">
        <v>86400</v>
      </c>
      <c r="AN113" s="1">
        <v>79256</v>
      </c>
      <c r="AO113" s="1">
        <v>7144</v>
      </c>
      <c r="AP113" s="1">
        <v>49975</v>
      </c>
      <c r="AQ113" s="1">
        <v>3.8207818723685518</v>
      </c>
    </row>
    <row r="114" spans="1:43" x14ac:dyDescent="0.45">
      <c r="A114" s="1">
        <v>97</v>
      </c>
      <c r="B114" s="1">
        <v>101</v>
      </c>
      <c r="C114" s="1">
        <v>74</v>
      </c>
      <c r="D114" s="1" t="s">
        <v>61</v>
      </c>
      <c r="E114" s="1" t="s">
        <v>62</v>
      </c>
      <c r="F114" s="1" t="s">
        <v>63</v>
      </c>
      <c r="G114" s="1" t="s">
        <v>46</v>
      </c>
      <c r="H114" s="1" t="s">
        <v>47</v>
      </c>
      <c r="I114" s="1">
        <v>1175</v>
      </c>
      <c r="J114" s="1">
        <v>30642</v>
      </c>
      <c r="K114" s="1">
        <v>1</v>
      </c>
      <c r="L114" s="1">
        <v>73</v>
      </c>
      <c r="M114" s="1">
        <v>2542</v>
      </c>
      <c r="N114" s="1" t="s">
        <v>48</v>
      </c>
      <c r="O114" s="1">
        <v>198484</v>
      </c>
      <c r="P114" s="1">
        <v>95</v>
      </c>
      <c r="Q114" s="1" t="s">
        <v>127</v>
      </c>
      <c r="R114" s="1" t="s">
        <v>50</v>
      </c>
      <c r="S114" s="1">
        <v>0</v>
      </c>
      <c r="T114" s="1">
        <v>0</v>
      </c>
      <c r="U114" s="1">
        <v>90.051000000000002</v>
      </c>
      <c r="V114" s="1">
        <v>25.2</v>
      </c>
      <c r="W114" s="1">
        <v>0.6</v>
      </c>
      <c r="X114" s="1">
        <v>0.56299999999999994</v>
      </c>
      <c r="Y114" s="1">
        <v>25.763000000000002</v>
      </c>
      <c r="Z114" s="1">
        <v>0.89</v>
      </c>
      <c r="AA114" s="1">
        <v>-2.7</v>
      </c>
      <c r="AB114" s="1">
        <v>-2.9</v>
      </c>
      <c r="AC114" s="1">
        <v>-2.9</v>
      </c>
      <c r="AD114" s="1">
        <v>0.56100000000000005</v>
      </c>
      <c r="AE114" s="1">
        <v>0.34599999999999997</v>
      </c>
      <c r="AF114" s="1">
        <v>0.28399999999999997</v>
      </c>
      <c r="AG114" s="1">
        <v>-2.7</v>
      </c>
      <c r="AI114" s="1">
        <v>0</v>
      </c>
      <c r="AJ114" s="1">
        <v>0</v>
      </c>
      <c r="AK114" s="1">
        <v>0</v>
      </c>
      <c r="AL114" s="1">
        <v>1</v>
      </c>
      <c r="AM114" s="1">
        <v>86400</v>
      </c>
      <c r="AN114" s="1">
        <v>81860</v>
      </c>
      <c r="AO114" s="1">
        <v>4540</v>
      </c>
      <c r="AP114" s="1">
        <v>50375</v>
      </c>
      <c r="AQ114" s="1">
        <v>13.58493055698689</v>
      </c>
    </row>
    <row r="115" spans="1:43" x14ac:dyDescent="0.45">
      <c r="A115" s="1">
        <v>105</v>
      </c>
      <c r="B115" s="1">
        <v>101</v>
      </c>
      <c r="C115" s="1">
        <v>74</v>
      </c>
      <c r="D115" s="1" t="s">
        <v>61</v>
      </c>
      <c r="E115" s="1" t="s">
        <v>62</v>
      </c>
      <c r="F115" s="1" t="s">
        <v>63</v>
      </c>
      <c r="G115" s="1" t="s">
        <v>46</v>
      </c>
      <c r="H115" s="1" t="s">
        <v>47</v>
      </c>
      <c r="I115" s="1">
        <v>1175</v>
      </c>
      <c r="J115" s="1">
        <v>30642</v>
      </c>
      <c r="K115" s="1">
        <v>1</v>
      </c>
      <c r="L115" s="1">
        <v>73</v>
      </c>
      <c r="M115" s="1">
        <v>2550</v>
      </c>
      <c r="N115" s="1" t="s">
        <v>48</v>
      </c>
      <c r="O115" s="1">
        <v>198542</v>
      </c>
      <c r="P115" s="1">
        <v>95</v>
      </c>
      <c r="Q115" s="1" t="s">
        <v>127</v>
      </c>
      <c r="R115" s="1" t="s">
        <v>50</v>
      </c>
      <c r="S115" s="1">
        <v>0</v>
      </c>
      <c r="T115" s="1">
        <v>0</v>
      </c>
      <c r="U115" s="1">
        <v>289.83499999999998</v>
      </c>
      <c r="V115" s="1">
        <v>25.213999999999999</v>
      </c>
      <c r="W115" s="1">
        <v>0.59</v>
      </c>
      <c r="X115" s="1">
        <v>0.55600000000000005</v>
      </c>
      <c r="Y115" s="1">
        <v>25.77</v>
      </c>
      <c r="Z115" s="1">
        <v>0.105</v>
      </c>
      <c r="AA115" s="1">
        <v>-0.8</v>
      </c>
      <c r="AB115" s="1">
        <v>2.8</v>
      </c>
      <c r="AC115" s="1">
        <v>2.8</v>
      </c>
      <c r="AD115" s="1">
        <v>0.55500000000000005</v>
      </c>
      <c r="AE115" s="1">
        <v>7.0999999999999994E-2</v>
      </c>
      <c r="AF115" s="1">
        <v>0.04</v>
      </c>
      <c r="AG115" s="1">
        <v>-0.8</v>
      </c>
      <c r="AI115" s="1">
        <v>0</v>
      </c>
      <c r="AJ115" s="1">
        <v>0</v>
      </c>
      <c r="AK115" s="1">
        <v>0</v>
      </c>
      <c r="AL115" s="1">
        <v>1</v>
      </c>
      <c r="AM115" s="1">
        <v>86400</v>
      </c>
      <c r="AN115" s="1">
        <v>80365</v>
      </c>
      <c r="AO115" s="1">
        <v>6035</v>
      </c>
      <c r="AP115" s="1">
        <v>49608</v>
      </c>
      <c r="AQ115" s="1">
        <v>25.132737300929911</v>
      </c>
    </row>
    <row r="116" spans="1:43" x14ac:dyDescent="0.45">
      <c r="A116" s="1">
        <v>215</v>
      </c>
      <c r="B116" s="1">
        <v>181</v>
      </c>
      <c r="C116" s="1">
        <v>75</v>
      </c>
      <c r="D116" s="1" t="s">
        <v>64</v>
      </c>
      <c r="E116" s="1" t="s">
        <v>65</v>
      </c>
      <c r="F116" s="1" t="s">
        <v>66</v>
      </c>
      <c r="G116" s="1" t="s">
        <v>46</v>
      </c>
      <c r="H116" s="1" t="s">
        <v>47</v>
      </c>
      <c r="I116" s="1">
        <v>1170</v>
      </c>
      <c r="J116" s="1">
        <v>33499</v>
      </c>
      <c r="K116" s="1">
        <v>1</v>
      </c>
      <c r="L116" s="1">
        <v>74</v>
      </c>
      <c r="M116" s="1">
        <v>2128</v>
      </c>
      <c r="N116" s="1" t="s">
        <v>48</v>
      </c>
      <c r="O116" s="1">
        <v>194021</v>
      </c>
      <c r="P116" s="1">
        <v>95</v>
      </c>
      <c r="Q116" s="1" t="s">
        <v>127</v>
      </c>
      <c r="R116" s="1" t="s">
        <v>50</v>
      </c>
      <c r="S116" s="1">
        <v>0</v>
      </c>
      <c r="T116" s="1">
        <v>0</v>
      </c>
      <c r="U116" s="1">
        <v>595.303</v>
      </c>
      <c r="V116" s="1">
        <v>24.879000000000001</v>
      </c>
      <c r="W116" s="1">
        <v>0.59</v>
      </c>
      <c r="X116" s="1">
        <v>0.55200000000000005</v>
      </c>
      <c r="Y116" s="1">
        <v>25.431000000000001</v>
      </c>
      <c r="Z116" s="1">
        <v>0.45800000000000002</v>
      </c>
      <c r="AA116" s="1">
        <v>2.2999999999999998</v>
      </c>
      <c r="AB116" s="1">
        <v>2.1</v>
      </c>
      <c r="AC116" s="1">
        <v>2.2000000000000002</v>
      </c>
      <c r="AD116" s="1">
        <v>0.54400000000000004</v>
      </c>
      <c r="AE116" s="1">
        <v>9.9000000000000005E-2</v>
      </c>
      <c r="AF116" s="1">
        <v>0.14199999999999999</v>
      </c>
      <c r="AG116" s="1">
        <v>2.2999999999999998</v>
      </c>
      <c r="AI116" s="1">
        <v>0</v>
      </c>
      <c r="AJ116" s="1">
        <v>0</v>
      </c>
      <c r="AK116" s="1">
        <v>0</v>
      </c>
      <c r="AL116" s="1">
        <v>1</v>
      </c>
      <c r="AM116" s="1">
        <v>86400</v>
      </c>
      <c r="AN116" s="1">
        <v>81933</v>
      </c>
      <c r="AO116" s="1">
        <v>4467</v>
      </c>
      <c r="AP116" s="1">
        <v>49791</v>
      </c>
      <c r="AQ116" s="1">
        <v>2.7063584476982121</v>
      </c>
    </row>
    <row r="117" spans="1:43" x14ac:dyDescent="0.45">
      <c r="A117" s="1">
        <v>253</v>
      </c>
      <c r="B117" s="1">
        <v>439</v>
      </c>
      <c r="C117" s="1">
        <v>94</v>
      </c>
      <c r="D117" s="1" t="s">
        <v>82</v>
      </c>
      <c r="E117" s="1" t="s">
        <v>83</v>
      </c>
      <c r="F117" s="1" t="s">
        <v>84</v>
      </c>
      <c r="G117" s="1" t="s">
        <v>46</v>
      </c>
      <c r="H117" s="1" t="s">
        <v>47</v>
      </c>
      <c r="I117" s="1">
        <v>490</v>
      </c>
      <c r="J117" s="1">
        <v>12595</v>
      </c>
      <c r="K117" s="1">
        <v>1</v>
      </c>
      <c r="L117" s="1">
        <v>93</v>
      </c>
      <c r="M117" s="1">
        <v>2086</v>
      </c>
      <c r="N117" s="1" t="s">
        <v>48</v>
      </c>
      <c r="O117" s="1">
        <v>184940</v>
      </c>
      <c r="P117" s="1">
        <v>95</v>
      </c>
      <c r="Q117" s="1" t="s">
        <v>127</v>
      </c>
      <c r="R117" s="1" t="s">
        <v>50</v>
      </c>
      <c r="S117" s="1">
        <v>0</v>
      </c>
      <c r="T117" s="1">
        <v>0</v>
      </c>
      <c r="U117" s="1">
        <v>261.22399999999999</v>
      </c>
      <c r="V117" s="1">
        <v>23.815999999999999</v>
      </c>
      <c r="W117" s="1">
        <v>0.62</v>
      </c>
      <c r="X117" s="1">
        <v>0.54600000000000004</v>
      </c>
      <c r="Y117" s="1">
        <v>24.361999999999998</v>
      </c>
      <c r="Z117" s="1">
        <v>0.63200000000000001</v>
      </c>
      <c r="AA117" s="1">
        <v>-1.9</v>
      </c>
      <c r="AB117" s="1">
        <v>-1.9</v>
      </c>
      <c r="AC117" s="1">
        <v>-1.9</v>
      </c>
      <c r="AD117" s="1">
        <v>0.54600000000000004</v>
      </c>
      <c r="AE117" s="1">
        <v>0.63100000000000001</v>
      </c>
      <c r="AF117" s="1">
        <v>0.34399999999999997</v>
      </c>
      <c r="AG117" s="1">
        <v>-1.9</v>
      </c>
      <c r="AI117" s="1">
        <v>0</v>
      </c>
      <c r="AJ117" s="1">
        <v>0</v>
      </c>
      <c r="AK117" s="1">
        <v>0</v>
      </c>
      <c r="AL117" s="1">
        <v>1</v>
      </c>
      <c r="AM117" s="1">
        <v>86400</v>
      </c>
      <c r="AN117" s="1">
        <v>82105</v>
      </c>
      <c r="AO117" s="1">
        <v>4295</v>
      </c>
      <c r="AP117" s="1">
        <v>46990</v>
      </c>
      <c r="AQ117" s="1">
        <v>42.510154089918373</v>
      </c>
    </row>
    <row r="118" spans="1:43" x14ac:dyDescent="0.45">
      <c r="A118" s="1">
        <v>172</v>
      </c>
      <c r="B118" s="1">
        <v>142</v>
      </c>
      <c r="C118" s="1">
        <v>78</v>
      </c>
      <c r="D118" s="1" t="s">
        <v>67</v>
      </c>
      <c r="E118" s="1" t="s">
        <v>68</v>
      </c>
      <c r="F118" s="1" t="s">
        <v>69</v>
      </c>
      <c r="G118" s="1" t="s">
        <v>46</v>
      </c>
      <c r="H118" s="1" t="s">
        <v>47</v>
      </c>
      <c r="I118" s="1">
        <v>1163</v>
      </c>
      <c r="J118" s="1">
        <v>33073</v>
      </c>
      <c r="K118" s="1">
        <v>1</v>
      </c>
      <c r="L118" s="1">
        <v>77</v>
      </c>
      <c r="M118" s="1">
        <v>2275</v>
      </c>
      <c r="N118" s="1" t="s">
        <v>48</v>
      </c>
      <c r="O118" s="1">
        <v>194554</v>
      </c>
      <c r="P118" s="1">
        <v>95</v>
      </c>
      <c r="Q118" s="1" t="s">
        <v>127</v>
      </c>
      <c r="R118" s="1" t="s">
        <v>50</v>
      </c>
      <c r="S118" s="1">
        <v>0</v>
      </c>
      <c r="T118" s="1">
        <v>0</v>
      </c>
      <c r="U118" s="1">
        <v>58.304000000000002</v>
      </c>
      <c r="V118" s="1">
        <v>25.05</v>
      </c>
      <c r="W118" s="1">
        <v>0.59</v>
      </c>
      <c r="X118" s="1">
        <v>0.54</v>
      </c>
      <c r="Y118" s="1">
        <v>25.59</v>
      </c>
      <c r="Z118" s="1">
        <v>0.124</v>
      </c>
      <c r="AA118" s="1">
        <v>0.6</v>
      </c>
      <c r="AB118" s="1">
        <v>0.8</v>
      </c>
      <c r="AC118" s="1">
        <v>0.8</v>
      </c>
      <c r="AD118" s="1">
        <v>0.54</v>
      </c>
      <c r="AE118" s="1">
        <v>9.4E-2</v>
      </c>
      <c r="AF118" s="1">
        <v>5.0999999999999997E-2</v>
      </c>
      <c r="AG118" s="1">
        <v>0.6</v>
      </c>
      <c r="AI118" s="1">
        <v>0</v>
      </c>
      <c r="AJ118" s="1">
        <v>0</v>
      </c>
      <c r="AK118" s="1">
        <v>0</v>
      </c>
      <c r="AL118" s="1">
        <v>1</v>
      </c>
      <c r="AM118" s="1">
        <v>86400</v>
      </c>
      <c r="AN118" s="1">
        <v>78533</v>
      </c>
      <c r="AO118" s="1">
        <v>7867</v>
      </c>
      <c r="AP118" s="1">
        <v>48071</v>
      </c>
      <c r="AQ118" s="1">
        <v>17.997133913275309</v>
      </c>
    </row>
    <row r="119" spans="1:43" x14ac:dyDescent="0.45">
      <c r="A119" s="1">
        <v>83</v>
      </c>
      <c r="B119" s="1">
        <v>98</v>
      </c>
      <c r="C119" s="1">
        <v>74</v>
      </c>
      <c r="D119" s="1" t="s">
        <v>61</v>
      </c>
      <c r="E119" s="1" t="s">
        <v>62</v>
      </c>
      <c r="F119" s="1" t="s">
        <v>63</v>
      </c>
      <c r="G119" s="1" t="s">
        <v>46</v>
      </c>
      <c r="H119" s="1" t="s">
        <v>47</v>
      </c>
      <c r="I119" s="1">
        <v>1175</v>
      </c>
      <c r="J119" s="1">
        <v>30642</v>
      </c>
      <c r="K119" s="1">
        <v>1</v>
      </c>
      <c r="L119" s="1">
        <v>73</v>
      </c>
      <c r="M119" s="1">
        <v>2562</v>
      </c>
      <c r="N119" s="1" t="s">
        <v>48</v>
      </c>
      <c r="O119" s="1">
        <v>198607</v>
      </c>
      <c r="P119" s="1">
        <v>95</v>
      </c>
      <c r="Q119" s="1" t="s">
        <v>127</v>
      </c>
      <c r="R119" s="1" t="s">
        <v>50</v>
      </c>
      <c r="S119" s="1">
        <v>0</v>
      </c>
      <c r="T119" s="1">
        <v>0</v>
      </c>
      <c r="U119" s="1">
        <v>71.430000000000007</v>
      </c>
      <c r="V119" s="1">
        <v>25.236000000000001</v>
      </c>
      <c r="W119" s="1">
        <v>0.57999999999999996</v>
      </c>
      <c r="X119" s="1">
        <v>0.53300000000000003</v>
      </c>
      <c r="Y119" s="1">
        <v>25.768999999999998</v>
      </c>
      <c r="Z119" s="1">
        <v>0.104</v>
      </c>
      <c r="AA119" s="1">
        <v>-0.8</v>
      </c>
      <c r="AB119" s="1">
        <v>-0.1</v>
      </c>
      <c r="AC119" s="1">
        <v>-0.1</v>
      </c>
      <c r="AD119" s="1">
        <v>0.53300000000000003</v>
      </c>
      <c r="AE119" s="1">
        <v>5.8999999999999997E-2</v>
      </c>
      <c r="AF119" s="1">
        <v>3.2000000000000001E-2</v>
      </c>
      <c r="AG119" s="1">
        <v>-0.8</v>
      </c>
      <c r="AI119" s="1">
        <v>0</v>
      </c>
      <c r="AJ119" s="1">
        <v>0</v>
      </c>
      <c r="AK119" s="1">
        <v>0</v>
      </c>
      <c r="AL119" s="1">
        <v>1</v>
      </c>
      <c r="AM119" s="1">
        <v>86400</v>
      </c>
      <c r="AN119" s="1">
        <v>81958</v>
      </c>
      <c r="AO119" s="1">
        <v>4442</v>
      </c>
      <c r="AP119" s="1">
        <v>49568</v>
      </c>
      <c r="AQ119" s="1">
        <v>1.128700621179076</v>
      </c>
    </row>
    <row r="120" spans="1:43" x14ac:dyDescent="0.45">
      <c r="A120" s="1">
        <v>84</v>
      </c>
      <c r="B120" s="1">
        <v>99</v>
      </c>
      <c r="C120" s="1">
        <v>75</v>
      </c>
      <c r="D120" s="1" t="s">
        <v>64</v>
      </c>
      <c r="E120" s="1" t="s">
        <v>65</v>
      </c>
      <c r="F120" s="1" t="s">
        <v>66</v>
      </c>
      <c r="G120" s="1" t="s">
        <v>46</v>
      </c>
      <c r="H120" s="1" t="s">
        <v>47</v>
      </c>
      <c r="I120" s="1">
        <v>1170</v>
      </c>
      <c r="J120" s="1">
        <v>33499</v>
      </c>
      <c r="K120" s="1">
        <v>1</v>
      </c>
      <c r="L120" s="1">
        <v>74</v>
      </c>
      <c r="M120" s="1">
        <v>2562</v>
      </c>
      <c r="N120" s="1" t="s">
        <v>48</v>
      </c>
      <c r="O120" s="1">
        <v>198607</v>
      </c>
      <c r="P120" s="1">
        <v>95</v>
      </c>
      <c r="Q120" s="1" t="s">
        <v>127</v>
      </c>
      <c r="R120" s="1" t="s">
        <v>50</v>
      </c>
      <c r="S120" s="1">
        <v>0</v>
      </c>
      <c r="T120" s="1">
        <v>0</v>
      </c>
      <c r="U120" s="1">
        <v>71.430000000000007</v>
      </c>
      <c r="V120" s="1">
        <v>25.236000000000001</v>
      </c>
      <c r="W120" s="1">
        <v>0.57999999999999996</v>
      </c>
      <c r="X120" s="1">
        <v>0.53300000000000003</v>
      </c>
      <c r="Y120" s="1">
        <v>25.768999999999998</v>
      </c>
      <c r="Z120" s="1">
        <v>0.104</v>
      </c>
      <c r="AA120" s="1">
        <v>-0.8</v>
      </c>
      <c r="AB120" s="1">
        <v>-0.1</v>
      </c>
      <c r="AC120" s="1">
        <v>-0.1</v>
      </c>
      <c r="AD120" s="1">
        <v>0.53300000000000003</v>
      </c>
      <c r="AE120" s="1">
        <v>5.8999999999999997E-2</v>
      </c>
      <c r="AF120" s="1">
        <v>3.2000000000000001E-2</v>
      </c>
      <c r="AG120" s="1">
        <v>-0.8</v>
      </c>
      <c r="AI120" s="1">
        <v>0</v>
      </c>
      <c r="AJ120" s="1">
        <v>0</v>
      </c>
      <c r="AK120" s="1">
        <v>0</v>
      </c>
      <c r="AL120" s="1">
        <v>1</v>
      </c>
      <c r="AM120" s="1">
        <v>86400</v>
      </c>
      <c r="AN120" s="1">
        <v>81958</v>
      </c>
      <c r="AO120" s="1">
        <v>4442</v>
      </c>
      <c r="AP120" s="1">
        <v>49568</v>
      </c>
      <c r="AQ120" s="1">
        <v>1.127791953060064</v>
      </c>
    </row>
    <row r="121" spans="1:43" x14ac:dyDescent="0.45">
      <c r="A121" s="1">
        <v>114</v>
      </c>
      <c r="B121" s="1">
        <v>101</v>
      </c>
      <c r="C121" s="1">
        <v>74</v>
      </c>
      <c r="D121" s="1" t="s">
        <v>61</v>
      </c>
      <c r="E121" s="1" t="s">
        <v>62</v>
      </c>
      <c r="F121" s="1" t="s">
        <v>63</v>
      </c>
      <c r="G121" s="1" t="s">
        <v>46</v>
      </c>
      <c r="H121" s="1" t="s">
        <v>47</v>
      </c>
      <c r="I121" s="1">
        <v>1175</v>
      </c>
      <c r="J121" s="1">
        <v>30642</v>
      </c>
      <c r="K121" s="1">
        <v>1</v>
      </c>
      <c r="L121" s="1">
        <v>73</v>
      </c>
      <c r="M121" s="1">
        <v>2562</v>
      </c>
      <c r="N121" s="1" t="s">
        <v>48</v>
      </c>
      <c r="O121" s="1">
        <v>198607</v>
      </c>
      <c r="P121" s="1">
        <v>95</v>
      </c>
      <c r="Q121" s="1" t="s">
        <v>127</v>
      </c>
      <c r="R121" s="1" t="s">
        <v>50</v>
      </c>
      <c r="S121" s="1">
        <v>0</v>
      </c>
      <c r="T121" s="1">
        <v>0</v>
      </c>
      <c r="U121" s="1">
        <v>71.430000000000007</v>
      </c>
      <c r="V121" s="1">
        <v>25.236000000000001</v>
      </c>
      <c r="W121" s="1">
        <v>0.57999999999999996</v>
      </c>
      <c r="X121" s="1">
        <v>0.53300000000000003</v>
      </c>
      <c r="Y121" s="1">
        <v>25.768999999999998</v>
      </c>
      <c r="Z121" s="1">
        <v>0.104</v>
      </c>
      <c r="AA121" s="1">
        <v>-0.8</v>
      </c>
      <c r="AB121" s="1">
        <v>-0.1</v>
      </c>
      <c r="AC121" s="1">
        <v>-0.1</v>
      </c>
      <c r="AD121" s="1">
        <v>0.53300000000000003</v>
      </c>
      <c r="AE121" s="1">
        <v>5.8999999999999997E-2</v>
      </c>
      <c r="AF121" s="1">
        <v>3.2000000000000001E-2</v>
      </c>
      <c r="AG121" s="1">
        <v>-0.8</v>
      </c>
      <c r="AI121" s="1">
        <v>0</v>
      </c>
      <c r="AJ121" s="1">
        <v>0</v>
      </c>
      <c r="AK121" s="1">
        <v>0</v>
      </c>
      <c r="AL121" s="1">
        <v>1</v>
      </c>
      <c r="AM121" s="1">
        <v>86400</v>
      </c>
      <c r="AN121" s="1">
        <v>81958</v>
      </c>
      <c r="AO121" s="1">
        <v>4442</v>
      </c>
      <c r="AP121" s="1">
        <v>49568</v>
      </c>
      <c r="AQ121" s="1">
        <v>10.66390759449977</v>
      </c>
    </row>
    <row r="122" spans="1:43" x14ac:dyDescent="0.45">
      <c r="A122" s="1">
        <v>227</v>
      </c>
      <c r="B122" s="1">
        <v>181</v>
      </c>
      <c r="C122" s="1">
        <v>75</v>
      </c>
      <c r="D122" s="1" t="s">
        <v>64</v>
      </c>
      <c r="E122" s="1" t="s">
        <v>65</v>
      </c>
      <c r="F122" s="1" t="s">
        <v>66</v>
      </c>
      <c r="G122" s="1" t="s">
        <v>46</v>
      </c>
      <c r="H122" s="1" t="s">
        <v>47</v>
      </c>
      <c r="I122" s="1">
        <v>1170</v>
      </c>
      <c r="J122" s="1">
        <v>33499</v>
      </c>
      <c r="K122" s="1">
        <v>1</v>
      </c>
      <c r="L122" s="1">
        <v>74</v>
      </c>
      <c r="M122" s="1">
        <v>2562</v>
      </c>
      <c r="N122" s="1" t="s">
        <v>48</v>
      </c>
      <c r="O122" s="1">
        <v>198607</v>
      </c>
      <c r="P122" s="1">
        <v>95</v>
      </c>
      <c r="Q122" s="1" t="s">
        <v>127</v>
      </c>
      <c r="R122" s="1" t="s">
        <v>50</v>
      </c>
      <c r="S122" s="1">
        <v>0</v>
      </c>
      <c r="T122" s="1">
        <v>0</v>
      </c>
      <c r="U122" s="1">
        <v>71.430000000000007</v>
      </c>
      <c r="V122" s="1">
        <v>25.236000000000001</v>
      </c>
      <c r="W122" s="1">
        <v>0.57999999999999996</v>
      </c>
      <c r="X122" s="1">
        <v>0.53300000000000003</v>
      </c>
      <c r="Y122" s="1">
        <v>25.768999999999998</v>
      </c>
      <c r="Z122" s="1">
        <v>0.104</v>
      </c>
      <c r="AA122" s="1">
        <v>-0.8</v>
      </c>
      <c r="AB122" s="1">
        <v>-0.1</v>
      </c>
      <c r="AC122" s="1">
        <v>-0.1</v>
      </c>
      <c r="AD122" s="1">
        <v>0.53300000000000003</v>
      </c>
      <c r="AE122" s="1">
        <v>5.8999999999999997E-2</v>
      </c>
      <c r="AF122" s="1">
        <v>3.2000000000000001E-2</v>
      </c>
      <c r="AG122" s="1">
        <v>-0.8</v>
      </c>
      <c r="AI122" s="1">
        <v>0</v>
      </c>
      <c r="AJ122" s="1">
        <v>0</v>
      </c>
      <c r="AK122" s="1">
        <v>0</v>
      </c>
      <c r="AL122" s="1">
        <v>1</v>
      </c>
      <c r="AM122" s="1">
        <v>86400</v>
      </c>
      <c r="AN122" s="1">
        <v>81958</v>
      </c>
      <c r="AO122" s="1">
        <v>4442</v>
      </c>
      <c r="AP122" s="1">
        <v>49568</v>
      </c>
      <c r="AQ122" s="1">
        <v>1.7753314003685849</v>
      </c>
    </row>
    <row r="123" spans="1:43" x14ac:dyDescent="0.45">
      <c r="A123" s="1">
        <v>102</v>
      </c>
      <c r="B123" s="1">
        <v>101</v>
      </c>
      <c r="C123" s="1">
        <v>74</v>
      </c>
      <c r="D123" s="1" t="s">
        <v>61</v>
      </c>
      <c r="E123" s="1" t="s">
        <v>62</v>
      </c>
      <c r="F123" s="1" t="s">
        <v>63</v>
      </c>
      <c r="G123" s="1" t="s">
        <v>46</v>
      </c>
      <c r="H123" s="1" t="s">
        <v>47</v>
      </c>
      <c r="I123" s="1">
        <v>1175</v>
      </c>
      <c r="J123" s="1">
        <v>30642</v>
      </c>
      <c r="K123" s="1">
        <v>1</v>
      </c>
      <c r="L123" s="1">
        <v>73</v>
      </c>
      <c r="M123" s="1">
        <v>2547</v>
      </c>
      <c r="N123" s="1" t="s">
        <v>48</v>
      </c>
      <c r="O123" s="1">
        <v>198491</v>
      </c>
      <c r="P123" s="1">
        <v>95</v>
      </c>
      <c r="Q123" s="1" t="s">
        <v>127</v>
      </c>
      <c r="R123" s="1" t="s">
        <v>50</v>
      </c>
      <c r="S123" s="1">
        <v>0</v>
      </c>
      <c r="T123" s="1">
        <v>0</v>
      </c>
      <c r="U123" s="1">
        <v>121.05500000000001</v>
      </c>
      <c r="V123" s="1">
        <v>25.241</v>
      </c>
      <c r="W123" s="1">
        <v>0.59</v>
      </c>
      <c r="X123" s="1">
        <v>0.53100000000000003</v>
      </c>
      <c r="Y123" s="1">
        <v>25.771000000000001</v>
      </c>
      <c r="Z123" s="1">
        <v>0.71699999999999997</v>
      </c>
      <c r="AA123" s="1">
        <v>-2.5</v>
      </c>
      <c r="AB123" s="1">
        <v>1.5</v>
      </c>
      <c r="AC123" s="1">
        <v>1.6</v>
      </c>
      <c r="AD123" s="1">
        <v>0.53</v>
      </c>
      <c r="AE123" s="1">
        <v>0.128</v>
      </c>
      <c r="AF123" s="1">
        <v>8.5999999999999993E-2</v>
      </c>
      <c r="AG123" s="1">
        <v>-2.5</v>
      </c>
      <c r="AI123" s="1">
        <v>0</v>
      </c>
      <c r="AJ123" s="1">
        <v>0</v>
      </c>
      <c r="AK123" s="1">
        <v>0</v>
      </c>
      <c r="AL123" s="1">
        <v>1</v>
      </c>
      <c r="AM123" s="1">
        <v>54243</v>
      </c>
      <c r="AN123" s="1">
        <v>11036</v>
      </c>
      <c r="AO123" s="1">
        <v>43207</v>
      </c>
      <c r="AP123" s="1">
        <v>49928</v>
      </c>
      <c r="AQ123" s="1">
        <v>3.2064485758256231</v>
      </c>
    </row>
    <row r="124" spans="1:43" x14ac:dyDescent="0.45">
      <c r="A124" s="1">
        <v>217</v>
      </c>
      <c r="B124" s="1">
        <v>181</v>
      </c>
      <c r="C124" s="1">
        <v>75</v>
      </c>
      <c r="D124" s="1" t="s">
        <v>64</v>
      </c>
      <c r="E124" s="1" t="s">
        <v>65</v>
      </c>
      <c r="F124" s="1" t="s">
        <v>66</v>
      </c>
      <c r="G124" s="1" t="s">
        <v>46</v>
      </c>
      <c r="H124" s="1" t="s">
        <v>47</v>
      </c>
      <c r="I124" s="1">
        <v>1170</v>
      </c>
      <c r="J124" s="1">
        <v>33499</v>
      </c>
      <c r="K124" s="1">
        <v>1</v>
      </c>
      <c r="L124" s="1">
        <v>74</v>
      </c>
      <c r="M124" s="1">
        <v>2130</v>
      </c>
      <c r="N124" s="1" t="s">
        <v>48</v>
      </c>
      <c r="O124" s="1">
        <v>194023</v>
      </c>
      <c r="P124" s="1">
        <v>95</v>
      </c>
      <c r="Q124" s="1" t="s">
        <v>127</v>
      </c>
      <c r="R124" s="1" t="s">
        <v>50</v>
      </c>
      <c r="S124" s="1">
        <v>0</v>
      </c>
      <c r="T124" s="1">
        <v>0</v>
      </c>
      <c r="U124" s="1">
        <v>495.976</v>
      </c>
      <c r="V124" s="1">
        <v>24.9</v>
      </c>
      <c r="W124" s="1">
        <v>0.59</v>
      </c>
      <c r="X124" s="1">
        <v>0.52900000000000003</v>
      </c>
      <c r="Y124" s="1">
        <v>25.43</v>
      </c>
      <c r="Z124" s="1">
        <v>0.20799999999999999</v>
      </c>
      <c r="AA124" s="1">
        <v>-2.7</v>
      </c>
      <c r="AB124" s="1">
        <v>-2.6</v>
      </c>
      <c r="AC124" s="1">
        <v>-2.6</v>
      </c>
      <c r="AD124" s="1">
        <v>0.52900000000000003</v>
      </c>
      <c r="AE124" s="1">
        <v>0.14599999999999999</v>
      </c>
      <c r="AF124" s="1">
        <v>7.9000000000000001E-2</v>
      </c>
      <c r="AG124" s="1">
        <v>-2.7</v>
      </c>
      <c r="AI124" s="1">
        <v>0</v>
      </c>
      <c r="AJ124" s="1">
        <v>0</v>
      </c>
      <c r="AK124" s="1">
        <v>0</v>
      </c>
      <c r="AL124" s="1">
        <v>1</v>
      </c>
      <c r="AM124" s="1">
        <v>86400</v>
      </c>
      <c r="AN124" s="1">
        <v>81534</v>
      </c>
      <c r="AO124" s="1">
        <v>4866</v>
      </c>
      <c r="AP124" s="1">
        <v>49803</v>
      </c>
      <c r="AQ124" s="1">
        <v>26.101421947845822</v>
      </c>
    </row>
    <row r="125" spans="1:43" x14ac:dyDescent="0.45">
      <c r="A125" s="1">
        <v>23</v>
      </c>
      <c r="B125" s="1">
        <v>26</v>
      </c>
      <c r="C125" s="1">
        <v>126</v>
      </c>
      <c r="D125" s="1" t="s">
        <v>51</v>
      </c>
      <c r="E125" s="1" t="s">
        <v>52</v>
      </c>
      <c r="F125" s="1" t="s">
        <v>53</v>
      </c>
      <c r="G125" s="1" t="s">
        <v>54</v>
      </c>
      <c r="H125" s="1" t="s">
        <v>47</v>
      </c>
      <c r="I125" s="1">
        <v>1113</v>
      </c>
      <c r="J125" s="1">
        <v>60690</v>
      </c>
      <c r="K125" s="1">
        <v>1</v>
      </c>
      <c r="L125" s="1">
        <v>125</v>
      </c>
      <c r="M125" s="1">
        <v>969</v>
      </c>
      <c r="N125" s="1" t="s">
        <v>48</v>
      </c>
      <c r="O125" s="1">
        <v>13995</v>
      </c>
      <c r="P125" s="1">
        <v>95</v>
      </c>
      <c r="Q125" s="1" t="s">
        <v>127</v>
      </c>
      <c r="R125" s="1" t="s">
        <v>50</v>
      </c>
      <c r="S125" s="1">
        <v>0</v>
      </c>
      <c r="T125" s="1">
        <v>0</v>
      </c>
      <c r="U125" s="1">
        <v>115.254</v>
      </c>
      <c r="V125" s="1">
        <v>27.329000000000001</v>
      </c>
      <c r="W125" s="1">
        <v>0.6</v>
      </c>
      <c r="X125" s="1">
        <v>0.52600000000000002</v>
      </c>
      <c r="Y125" s="1">
        <v>27.855</v>
      </c>
      <c r="Z125" s="1">
        <v>0.42399999999999999</v>
      </c>
      <c r="AA125" s="1">
        <v>-2.4</v>
      </c>
      <c r="AB125" s="1">
        <v>-2.4</v>
      </c>
      <c r="AC125" s="1">
        <v>-2.4</v>
      </c>
      <c r="AD125" s="1">
        <v>0.52600000000000002</v>
      </c>
      <c r="AE125" s="1">
        <v>0.42299999999999999</v>
      </c>
      <c r="AF125" s="1">
        <v>0.223</v>
      </c>
      <c r="AG125" s="1">
        <v>-2.4</v>
      </c>
      <c r="AI125" s="1">
        <v>0</v>
      </c>
      <c r="AJ125" s="1">
        <v>0</v>
      </c>
      <c r="AK125" s="1">
        <v>0</v>
      </c>
      <c r="AL125" s="1">
        <v>1</v>
      </c>
      <c r="AM125" s="1">
        <v>86400</v>
      </c>
      <c r="AN125" s="1">
        <v>78161</v>
      </c>
      <c r="AO125" s="1">
        <v>8239</v>
      </c>
      <c r="AP125" s="1">
        <v>46942</v>
      </c>
      <c r="AQ125" s="1">
        <v>6.441037423361375</v>
      </c>
    </row>
    <row r="126" spans="1:43" x14ac:dyDescent="0.45">
      <c r="A126" s="1">
        <v>210</v>
      </c>
      <c r="B126" s="1">
        <v>181</v>
      </c>
      <c r="C126" s="1">
        <v>75</v>
      </c>
      <c r="D126" s="1" t="s">
        <v>64</v>
      </c>
      <c r="E126" s="1" t="s">
        <v>65</v>
      </c>
      <c r="F126" s="1" t="s">
        <v>66</v>
      </c>
      <c r="G126" s="1" t="s">
        <v>46</v>
      </c>
      <c r="H126" s="1" t="s">
        <v>47</v>
      </c>
      <c r="I126" s="1">
        <v>1170</v>
      </c>
      <c r="J126" s="1">
        <v>33499</v>
      </c>
      <c r="K126" s="1">
        <v>1</v>
      </c>
      <c r="L126" s="1">
        <v>74</v>
      </c>
      <c r="M126" s="1">
        <v>2120</v>
      </c>
      <c r="N126" s="1" t="s">
        <v>48</v>
      </c>
      <c r="O126" s="1">
        <v>193961</v>
      </c>
      <c r="P126" s="1">
        <v>95</v>
      </c>
      <c r="Q126" s="1" t="s">
        <v>127</v>
      </c>
      <c r="R126" s="1" t="s">
        <v>50</v>
      </c>
      <c r="S126" s="1">
        <v>0</v>
      </c>
      <c r="T126" s="1">
        <v>0</v>
      </c>
      <c r="U126" s="1">
        <v>510.173</v>
      </c>
      <c r="V126" s="1">
        <v>24.913</v>
      </c>
      <c r="W126" s="1">
        <v>0.57999999999999996</v>
      </c>
      <c r="X126" s="1">
        <v>0.51700000000000002</v>
      </c>
      <c r="Y126" s="1">
        <v>25.43</v>
      </c>
      <c r="Z126" s="1">
        <v>0.26900000000000002</v>
      </c>
      <c r="AA126" s="1">
        <v>2.2000000000000002</v>
      </c>
      <c r="AB126" s="1">
        <v>2.2999999999999998</v>
      </c>
      <c r="AC126" s="1">
        <v>2.2999999999999998</v>
      </c>
      <c r="AD126" s="1">
        <v>0.51700000000000002</v>
      </c>
      <c r="AE126" s="1">
        <v>9.9000000000000005E-2</v>
      </c>
      <c r="AF126" s="1">
        <v>7.6999999999999999E-2</v>
      </c>
      <c r="AG126" s="1">
        <v>2.2000000000000002</v>
      </c>
      <c r="AI126" s="1">
        <v>0</v>
      </c>
      <c r="AJ126" s="1">
        <v>0</v>
      </c>
      <c r="AK126" s="1">
        <v>0</v>
      </c>
      <c r="AL126" s="1">
        <v>1</v>
      </c>
      <c r="AM126" s="1">
        <v>86400</v>
      </c>
      <c r="AN126" s="1">
        <v>81263</v>
      </c>
      <c r="AO126" s="1">
        <v>5137</v>
      </c>
      <c r="AP126" s="1">
        <v>50295</v>
      </c>
      <c r="AQ126" s="1">
        <v>47.839602141328243</v>
      </c>
    </row>
    <row r="127" spans="1:43" x14ac:dyDescent="0.45">
      <c r="A127" s="1">
        <v>226</v>
      </c>
      <c r="B127" s="1">
        <v>181</v>
      </c>
      <c r="C127" s="1">
        <v>75</v>
      </c>
      <c r="D127" s="1" t="s">
        <v>64</v>
      </c>
      <c r="E127" s="1" t="s">
        <v>65</v>
      </c>
      <c r="F127" s="1" t="s">
        <v>66</v>
      </c>
      <c r="G127" s="1" t="s">
        <v>46</v>
      </c>
      <c r="H127" s="1" t="s">
        <v>47</v>
      </c>
      <c r="I127" s="1">
        <v>1170</v>
      </c>
      <c r="J127" s="1">
        <v>33499</v>
      </c>
      <c r="K127" s="1">
        <v>1</v>
      </c>
      <c r="L127" s="1">
        <v>74</v>
      </c>
      <c r="M127" s="1">
        <v>2561</v>
      </c>
      <c r="N127" s="1" t="s">
        <v>48</v>
      </c>
      <c r="O127" s="1">
        <v>198606</v>
      </c>
      <c r="P127" s="1">
        <v>95</v>
      </c>
      <c r="Q127" s="1" t="s">
        <v>127</v>
      </c>
      <c r="R127" s="1" t="s">
        <v>50</v>
      </c>
      <c r="S127" s="1">
        <v>0</v>
      </c>
      <c r="T127" s="1">
        <v>0</v>
      </c>
      <c r="U127" s="1">
        <v>92.590999999999994</v>
      </c>
      <c r="V127" s="1">
        <v>25.254000000000001</v>
      </c>
      <c r="W127" s="1">
        <v>0.57999999999999996</v>
      </c>
      <c r="X127" s="1">
        <v>0.51500000000000001</v>
      </c>
      <c r="Y127" s="1">
        <v>25.768999999999998</v>
      </c>
      <c r="Z127" s="1">
        <v>0.10100000000000001</v>
      </c>
      <c r="AA127" s="1">
        <v>0.9</v>
      </c>
      <c r="AB127" s="1">
        <v>0.5</v>
      </c>
      <c r="AC127" s="1">
        <v>0.5</v>
      </c>
      <c r="AD127" s="1">
        <v>0.51500000000000001</v>
      </c>
      <c r="AE127" s="1">
        <v>6.3E-2</v>
      </c>
      <c r="AF127" s="1">
        <v>3.3000000000000002E-2</v>
      </c>
      <c r="AG127" s="1">
        <v>0.9</v>
      </c>
      <c r="AI127" s="1">
        <v>0</v>
      </c>
      <c r="AJ127" s="1">
        <v>0</v>
      </c>
      <c r="AK127" s="1">
        <v>0</v>
      </c>
      <c r="AL127" s="1">
        <v>1</v>
      </c>
      <c r="AM127" s="1">
        <v>86400</v>
      </c>
      <c r="AN127" s="1">
        <v>81703</v>
      </c>
      <c r="AO127" s="1">
        <v>4697</v>
      </c>
      <c r="AP127" s="1">
        <v>49873</v>
      </c>
      <c r="AQ127" s="1">
        <v>16.327837453417271</v>
      </c>
    </row>
    <row r="128" spans="1:43" x14ac:dyDescent="0.45">
      <c r="A128" s="1">
        <v>98</v>
      </c>
      <c r="B128" s="1">
        <v>101</v>
      </c>
      <c r="C128" s="1">
        <v>74</v>
      </c>
      <c r="D128" s="1" t="s">
        <v>61</v>
      </c>
      <c r="E128" s="1" t="s">
        <v>62</v>
      </c>
      <c r="F128" s="1" t="s">
        <v>63</v>
      </c>
      <c r="G128" s="1" t="s">
        <v>46</v>
      </c>
      <c r="H128" s="1" t="s">
        <v>47</v>
      </c>
      <c r="I128" s="1">
        <v>1175</v>
      </c>
      <c r="J128" s="1">
        <v>30642</v>
      </c>
      <c r="K128" s="1">
        <v>1</v>
      </c>
      <c r="L128" s="1">
        <v>73</v>
      </c>
      <c r="M128" s="1">
        <v>2543</v>
      </c>
      <c r="N128" s="1" t="s">
        <v>48</v>
      </c>
      <c r="O128" s="1">
        <v>198485</v>
      </c>
      <c r="P128" s="1">
        <v>95</v>
      </c>
      <c r="Q128" s="1" t="s">
        <v>127</v>
      </c>
      <c r="R128" s="1" t="s">
        <v>50</v>
      </c>
      <c r="S128" s="1">
        <v>0</v>
      </c>
      <c r="T128" s="1">
        <v>0</v>
      </c>
      <c r="U128" s="1">
        <v>59.128999999999998</v>
      </c>
      <c r="V128" s="1">
        <v>25.251999999999999</v>
      </c>
      <c r="W128" s="1">
        <v>0.59</v>
      </c>
      <c r="X128" s="1">
        <v>0.51</v>
      </c>
      <c r="Y128" s="1">
        <v>25.760999999999999</v>
      </c>
      <c r="Z128" s="1">
        <v>0.84899999999999998</v>
      </c>
      <c r="AA128" s="1">
        <v>-2.9</v>
      </c>
      <c r="AB128" s="1">
        <v>-2.9</v>
      </c>
      <c r="AC128" s="1">
        <v>-2.9</v>
      </c>
      <c r="AD128" s="1">
        <v>0.50800000000000001</v>
      </c>
      <c r="AE128" s="1">
        <v>0.36099999999999999</v>
      </c>
      <c r="AF128" s="1">
        <v>0.23</v>
      </c>
      <c r="AG128" s="1">
        <v>-2.9</v>
      </c>
      <c r="AI128" s="1">
        <v>0</v>
      </c>
      <c r="AJ128" s="1">
        <v>0</v>
      </c>
      <c r="AK128" s="1">
        <v>0</v>
      </c>
      <c r="AL128" s="1">
        <v>1</v>
      </c>
      <c r="AM128" s="1">
        <v>54217</v>
      </c>
      <c r="AN128" s="1">
        <v>10991</v>
      </c>
      <c r="AO128" s="1">
        <v>43226</v>
      </c>
      <c r="AP128" s="1">
        <v>49770</v>
      </c>
      <c r="AQ128" s="1">
        <v>5.604309815241626</v>
      </c>
    </row>
    <row r="129" spans="1:43" x14ac:dyDescent="0.45">
      <c r="A129" s="1">
        <v>173</v>
      </c>
      <c r="B129" s="1">
        <v>142</v>
      </c>
      <c r="C129" s="1">
        <v>78</v>
      </c>
      <c r="D129" s="1" t="s">
        <v>67</v>
      </c>
      <c r="E129" s="1" t="s">
        <v>68</v>
      </c>
      <c r="F129" s="1" t="s">
        <v>69</v>
      </c>
      <c r="G129" s="1" t="s">
        <v>46</v>
      </c>
      <c r="H129" s="1" t="s">
        <v>47</v>
      </c>
      <c r="I129" s="1">
        <v>1163</v>
      </c>
      <c r="J129" s="1">
        <v>33073</v>
      </c>
      <c r="K129" s="1">
        <v>1</v>
      </c>
      <c r="L129" s="1">
        <v>77</v>
      </c>
      <c r="M129" s="1">
        <v>2276</v>
      </c>
      <c r="N129" s="1" t="s">
        <v>48</v>
      </c>
      <c r="O129" s="1">
        <v>194568</v>
      </c>
      <c r="P129" s="1">
        <v>95</v>
      </c>
      <c r="Q129" s="1" t="s">
        <v>127</v>
      </c>
      <c r="R129" s="1" t="s">
        <v>50</v>
      </c>
      <c r="S129" s="1">
        <v>0</v>
      </c>
      <c r="T129" s="1">
        <v>0</v>
      </c>
      <c r="U129" s="1">
        <v>71.478999999999999</v>
      </c>
      <c r="V129" s="1">
        <v>25.076000000000001</v>
      </c>
      <c r="W129" s="1">
        <v>0.59</v>
      </c>
      <c r="X129" s="1">
        <v>0.51</v>
      </c>
      <c r="Y129" s="1">
        <v>25.585999999999999</v>
      </c>
      <c r="Z129" s="1">
        <v>0.57499999999999996</v>
      </c>
      <c r="AA129" s="1">
        <v>2</v>
      </c>
      <c r="AB129" s="1">
        <v>2.2999999999999998</v>
      </c>
      <c r="AC129" s="1">
        <v>2.2999999999999998</v>
      </c>
      <c r="AD129" s="1">
        <v>0.51</v>
      </c>
      <c r="AE129" s="1">
        <v>0.21199999999999999</v>
      </c>
      <c r="AF129" s="1">
        <v>0.125</v>
      </c>
      <c r="AG129" s="1">
        <v>2</v>
      </c>
      <c r="AI129" s="1">
        <v>0</v>
      </c>
      <c r="AJ129" s="1">
        <v>0</v>
      </c>
      <c r="AK129" s="1">
        <v>0</v>
      </c>
      <c r="AL129" s="1">
        <v>1</v>
      </c>
      <c r="AM129" s="1">
        <v>86400</v>
      </c>
      <c r="AN129" s="1">
        <v>80092</v>
      </c>
      <c r="AO129" s="1">
        <v>6304</v>
      </c>
      <c r="AP129" s="1">
        <v>48791</v>
      </c>
      <c r="AQ129" s="1">
        <v>12.87607308566977</v>
      </c>
    </row>
    <row r="130" spans="1:43" x14ac:dyDescent="0.45">
      <c r="A130" s="1">
        <v>209</v>
      </c>
      <c r="B130" s="1">
        <v>181</v>
      </c>
      <c r="C130" s="1">
        <v>75</v>
      </c>
      <c r="D130" s="1" t="s">
        <v>64</v>
      </c>
      <c r="E130" s="1" t="s">
        <v>65</v>
      </c>
      <c r="F130" s="1" t="s">
        <v>66</v>
      </c>
      <c r="G130" s="1" t="s">
        <v>46</v>
      </c>
      <c r="H130" s="1" t="s">
        <v>47</v>
      </c>
      <c r="I130" s="1">
        <v>1170</v>
      </c>
      <c r="J130" s="1">
        <v>33499</v>
      </c>
      <c r="K130" s="1">
        <v>1</v>
      </c>
      <c r="L130" s="1">
        <v>74</v>
      </c>
      <c r="M130" s="1">
        <v>2119</v>
      </c>
      <c r="N130" s="1" t="s">
        <v>48</v>
      </c>
      <c r="O130" s="1">
        <v>193959</v>
      </c>
      <c r="P130" s="1">
        <v>95</v>
      </c>
      <c r="Q130" s="1" t="s">
        <v>127</v>
      </c>
      <c r="R130" s="1" t="s">
        <v>50</v>
      </c>
      <c r="S130" s="1">
        <v>0</v>
      </c>
      <c r="T130" s="1">
        <v>0</v>
      </c>
      <c r="U130" s="1">
        <v>510.173</v>
      </c>
      <c r="V130" s="1">
        <v>24.927</v>
      </c>
      <c r="W130" s="1">
        <v>0.57999999999999996</v>
      </c>
      <c r="X130" s="1">
        <v>0.504</v>
      </c>
      <c r="Y130" s="1">
        <v>25.43</v>
      </c>
      <c r="Z130" s="1">
        <v>0.246</v>
      </c>
      <c r="AA130" s="1">
        <v>-2.6</v>
      </c>
      <c r="AB130" s="1">
        <v>-2.5</v>
      </c>
      <c r="AC130" s="1">
        <v>-2.5</v>
      </c>
      <c r="AD130" s="1">
        <v>0.504</v>
      </c>
      <c r="AE130" s="1">
        <v>0.11799999999999999</v>
      </c>
      <c r="AF130" s="1">
        <v>6.7000000000000004E-2</v>
      </c>
      <c r="AG130" s="1">
        <v>-2.6</v>
      </c>
      <c r="AI130" s="1">
        <v>0</v>
      </c>
      <c r="AJ130" s="1">
        <v>0</v>
      </c>
      <c r="AK130" s="1">
        <v>0</v>
      </c>
      <c r="AL130" s="1">
        <v>1</v>
      </c>
      <c r="AM130" s="1">
        <v>86400</v>
      </c>
      <c r="AN130" s="1">
        <v>80931</v>
      </c>
      <c r="AO130" s="1">
        <v>5469</v>
      </c>
      <c r="AP130" s="1">
        <v>50394</v>
      </c>
      <c r="AQ130" s="1">
        <v>39.084261990656927</v>
      </c>
    </row>
    <row r="131" spans="1:43" x14ac:dyDescent="0.45">
      <c r="A131" s="1">
        <v>218</v>
      </c>
      <c r="B131" s="1">
        <v>181</v>
      </c>
      <c r="C131" s="1">
        <v>75</v>
      </c>
      <c r="D131" s="1" t="s">
        <v>64</v>
      </c>
      <c r="E131" s="1" t="s">
        <v>65</v>
      </c>
      <c r="F131" s="1" t="s">
        <v>66</v>
      </c>
      <c r="G131" s="1" t="s">
        <v>46</v>
      </c>
      <c r="H131" s="1" t="s">
        <v>47</v>
      </c>
      <c r="I131" s="1">
        <v>1170</v>
      </c>
      <c r="J131" s="1">
        <v>33499</v>
      </c>
      <c r="K131" s="1">
        <v>1</v>
      </c>
      <c r="L131" s="1">
        <v>74</v>
      </c>
      <c r="M131" s="1">
        <v>2131</v>
      </c>
      <c r="N131" s="1" t="s">
        <v>48</v>
      </c>
      <c r="O131" s="1">
        <v>194024</v>
      </c>
      <c r="P131" s="1">
        <v>95</v>
      </c>
      <c r="Q131" s="1" t="s">
        <v>127</v>
      </c>
      <c r="R131" s="1" t="s">
        <v>50</v>
      </c>
      <c r="S131" s="1">
        <v>0</v>
      </c>
      <c r="T131" s="1">
        <v>0</v>
      </c>
      <c r="U131" s="1">
        <v>236.39</v>
      </c>
      <c r="V131" s="1">
        <v>24.927</v>
      </c>
      <c r="W131" s="1">
        <v>0.57999999999999996</v>
      </c>
      <c r="X131" s="1">
        <v>0.499</v>
      </c>
      <c r="Y131" s="1">
        <v>25.425999999999998</v>
      </c>
      <c r="Z131" s="1">
        <v>0.191</v>
      </c>
      <c r="AA131" s="1">
        <v>-2.2999999999999998</v>
      </c>
      <c r="AB131" s="1">
        <v>-2.2000000000000002</v>
      </c>
      <c r="AC131" s="1">
        <v>-2.2000000000000002</v>
      </c>
      <c r="AD131" s="1">
        <v>0.499</v>
      </c>
      <c r="AE131" s="1">
        <v>0.154</v>
      </c>
      <c r="AF131" s="1">
        <v>8.1000000000000003E-2</v>
      </c>
      <c r="AG131" s="1">
        <v>-2.2999999999999998</v>
      </c>
      <c r="AI131" s="1">
        <v>0</v>
      </c>
      <c r="AJ131" s="1">
        <v>0</v>
      </c>
      <c r="AK131" s="1">
        <v>0</v>
      </c>
      <c r="AL131" s="1">
        <v>1</v>
      </c>
      <c r="AM131" s="1">
        <v>86400</v>
      </c>
      <c r="AN131" s="1">
        <v>80861</v>
      </c>
      <c r="AO131" s="1">
        <v>5539</v>
      </c>
      <c r="AP131" s="1">
        <v>49997</v>
      </c>
      <c r="AQ131" s="1">
        <v>0.1408123542554123</v>
      </c>
    </row>
    <row r="132" spans="1:43" x14ac:dyDescent="0.45">
      <c r="A132" s="1">
        <v>112</v>
      </c>
      <c r="B132" s="1">
        <v>101</v>
      </c>
      <c r="C132" s="1">
        <v>74</v>
      </c>
      <c r="D132" s="1" t="s">
        <v>61</v>
      </c>
      <c r="E132" s="1" t="s">
        <v>62</v>
      </c>
      <c r="F132" s="1" t="s">
        <v>63</v>
      </c>
      <c r="G132" s="1" t="s">
        <v>46</v>
      </c>
      <c r="H132" s="1" t="s">
        <v>47</v>
      </c>
      <c r="I132" s="1">
        <v>1175</v>
      </c>
      <c r="J132" s="1">
        <v>30642</v>
      </c>
      <c r="K132" s="1">
        <v>1</v>
      </c>
      <c r="L132" s="1">
        <v>73</v>
      </c>
      <c r="M132" s="1">
        <v>2559</v>
      </c>
      <c r="N132" s="1" t="s">
        <v>48</v>
      </c>
      <c r="O132" s="1">
        <v>198603</v>
      </c>
      <c r="P132" s="1">
        <v>95</v>
      </c>
      <c r="Q132" s="1" t="s">
        <v>127</v>
      </c>
      <c r="R132" s="1" t="s">
        <v>50</v>
      </c>
      <c r="S132" s="1">
        <v>0</v>
      </c>
      <c r="T132" s="1">
        <v>0</v>
      </c>
      <c r="U132" s="1">
        <v>717.81100000000004</v>
      </c>
      <c r="V132" s="1">
        <v>25.273</v>
      </c>
      <c r="W132" s="1">
        <v>0.57999999999999996</v>
      </c>
      <c r="X132" s="1">
        <v>0.497</v>
      </c>
      <c r="Y132" s="1">
        <v>25.77</v>
      </c>
      <c r="Z132" s="1">
        <v>0.121</v>
      </c>
      <c r="AA132" s="1">
        <v>0.6</v>
      </c>
      <c r="AB132" s="1">
        <v>-2.9</v>
      </c>
      <c r="AC132" s="1">
        <v>-3</v>
      </c>
      <c r="AD132" s="1">
        <v>0.497</v>
      </c>
      <c r="AE132" s="1">
        <v>7.5999999999999998E-2</v>
      </c>
      <c r="AF132" s="1">
        <v>3.7999999999999999E-2</v>
      </c>
      <c r="AG132" s="1">
        <v>0.6</v>
      </c>
      <c r="AI132" s="1">
        <v>0</v>
      </c>
      <c r="AJ132" s="1">
        <v>0</v>
      </c>
      <c r="AK132" s="1">
        <v>0</v>
      </c>
      <c r="AL132" s="1">
        <v>1</v>
      </c>
      <c r="AM132" s="1">
        <v>85580</v>
      </c>
      <c r="AN132" s="1">
        <v>52610</v>
      </c>
      <c r="AO132" s="1">
        <v>32970</v>
      </c>
      <c r="AP132" s="1">
        <v>50274</v>
      </c>
      <c r="AQ132" s="1">
        <v>0.81983896563122749</v>
      </c>
    </row>
    <row r="133" spans="1:43" x14ac:dyDescent="0.45">
      <c r="A133" s="1">
        <v>287</v>
      </c>
      <c r="B133" s="1">
        <v>494</v>
      </c>
      <c r="C133" s="1">
        <v>67</v>
      </c>
      <c r="D133" s="1" t="s">
        <v>92</v>
      </c>
      <c r="E133" s="1" t="s">
        <v>93</v>
      </c>
      <c r="F133" s="1" t="s">
        <v>94</v>
      </c>
      <c r="G133" s="1" t="s">
        <v>46</v>
      </c>
      <c r="H133" s="1" t="s">
        <v>47</v>
      </c>
      <c r="I133" s="1">
        <v>1579</v>
      </c>
      <c r="J133" s="1">
        <v>67764</v>
      </c>
      <c r="K133" s="1">
        <v>1</v>
      </c>
      <c r="L133" s="1">
        <v>66</v>
      </c>
      <c r="M133" s="1">
        <v>1925</v>
      </c>
      <c r="N133" s="1" t="s">
        <v>48</v>
      </c>
      <c r="O133" s="1">
        <v>131025</v>
      </c>
      <c r="P133" s="1">
        <v>95</v>
      </c>
      <c r="Q133" s="1" t="s">
        <v>127</v>
      </c>
      <c r="R133" s="1" t="s">
        <v>50</v>
      </c>
      <c r="S133" s="1">
        <v>0</v>
      </c>
      <c r="T133" s="1">
        <v>0</v>
      </c>
      <c r="U133" s="1">
        <v>51.036999999999999</v>
      </c>
      <c r="V133" s="1">
        <v>25.751999999999999</v>
      </c>
      <c r="W133" s="1">
        <v>0.59</v>
      </c>
      <c r="X133" s="1">
        <v>0.48099999999999998</v>
      </c>
      <c r="Y133" s="1">
        <v>26.233000000000001</v>
      </c>
      <c r="Z133" s="1">
        <v>0.27900000000000003</v>
      </c>
      <c r="AA133" s="1">
        <v>-1.5</v>
      </c>
      <c r="AB133" s="1">
        <v>-1.5</v>
      </c>
      <c r="AC133" s="1">
        <v>-1.5</v>
      </c>
      <c r="AD133" s="1">
        <v>0.48099999999999998</v>
      </c>
      <c r="AE133" s="1">
        <v>0.27900000000000003</v>
      </c>
      <c r="AF133" s="1">
        <v>0.13400000000000001</v>
      </c>
      <c r="AG133" s="1">
        <v>-1.5</v>
      </c>
      <c r="AI133" s="1">
        <v>0</v>
      </c>
      <c r="AJ133" s="1">
        <v>0</v>
      </c>
      <c r="AK133" s="1">
        <v>0</v>
      </c>
      <c r="AL133" s="1">
        <v>1</v>
      </c>
      <c r="AM133" s="1">
        <v>86400</v>
      </c>
      <c r="AN133" s="1">
        <v>78382</v>
      </c>
      <c r="AO133" s="1">
        <v>8018</v>
      </c>
      <c r="AP133" s="1">
        <v>45165</v>
      </c>
      <c r="AQ133" s="1">
        <v>12.58488408496922</v>
      </c>
    </row>
    <row r="134" spans="1:43" x14ac:dyDescent="0.45">
      <c r="A134" s="1">
        <v>115</v>
      </c>
      <c r="B134" s="1">
        <v>101</v>
      </c>
      <c r="C134" s="1">
        <v>74</v>
      </c>
      <c r="D134" s="1" t="s">
        <v>61</v>
      </c>
      <c r="E134" s="1" t="s">
        <v>62</v>
      </c>
      <c r="F134" s="1" t="s">
        <v>63</v>
      </c>
      <c r="G134" s="1" t="s">
        <v>46</v>
      </c>
      <c r="H134" s="1" t="s">
        <v>47</v>
      </c>
      <c r="I134" s="1">
        <v>1175</v>
      </c>
      <c r="J134" s="1">
        <v>30642</v>
      </c>
      <c r="K134" s="1">
        <v>1</v>
      </c>
      <c r="L134" s="1">
        <v>73</v>
      </c>
      <c r="M134" s="1">
        <v>2564</v>
      </c>
      <c r="N134" s="1" t="s">
        <v>48</v>
      </c>
      <c r="O134" s="1">
        <v>198609</v>
      </c>
      <c r="P134" s="1">
        <v>95</v>
      </c>
      <c r="Q134" s="1" t="s">
        <v>127</v>
      </c>
      <c r="R134" s="1" t="s">
        <v>50</v>
      </c>
      <c r="S134" s="1">
        <v>0</v>
      </c>
      <c r="T134" s="1">
        <v>0</v>
      </c>
      <c r="U134" s="1">
        <v>223.38499999999999</v>
      </c>
      <c r="V134" s="1">
        <v>25.291</v>
      </c>
      <c r="W134" s="1">
        <v>0.57999999999999996</v>
      </c>
      <c r="X134" s="1">
        <v>0.47799999999999998</v>
      </c>
      <c r="Y134" s="1">
        <v>25.768999999999998</v>
      </c>
      <c r="Z134" s="1">
        <v>0.17899999999999999</v>
      </c>
      <c r="AA134" s="1">
        <v>-2.2000000000000002</v>
      </c>
      <c r="AB134" s="1">
        <v>-1.8</v>
      </c>
      <c r="AC134" s="1">
        <v>-1.8</v>
      </c>
      <c r="AD134" s="1">
        <v>0.47799999999999998</v>
      </c>
      <c r="AE134" s="1">
        <v>0.17599999999999999</v>
      </c>
      <c r="AF134" s="1">
        <v>8.5000000000000006E-2</v>
      </c>
      <c r="AG134" s="1">
        <v>-2.2000000000000002</v>
      </c>
      <c r="AI134" s="1">
        <v>0</v>
      </c>
      <c r="AJ134" s="1">
        <v>0</v>
      </c>
      <c r="AK134" s="1">
        <v>0</v>
      </c>
      <c r="AL134" s="1">
        <v>1</v>
      </c>
      <c r="AM134" s="1">
        <v>76289</v>
      </c>
      <c r="AN134" s="1">
        <v>39789</v>
      </c>
      <c r="AO134" s="1">
        <v>36500</v>
      </c>
      <c r="AP134" s="1">
        <v>50134</v>
      </c>
      <c r="AQ134" s="1">
        <v>0.95858752303891448</v>
      </c>
    </row>
    <row r="135" spans="1:43" x14ac:dyDescent="0.45">
      <c r="A135" s="1">
        <v>216</v>
      </c>
      <c r="B135" s="1">
        <v>181</v>
      </c>
      <c r="C135" s="1">
        <v>75</v>
      </c>
      <c r="D135" s="1" t="s">
        <v>64</v>
      </c>
      <c r="E135" s="1" t="s">
        <v>65</v>
      </c>
      <c r="F135" s="1" t="s">
        <v>66</v>
      </c>
      <c r="G135" s="1" t="s">
        <v>46</v>
      </c>
      <c r="H135" s="1" t="s">
        <v>47</v>
      </c>
      <c r="I135" s="1">
        <v>1170</v>
      </c>
      <c r="J135" s="1">
        <v>33499</v>
      </c>
      <c r="K135" s="1">
        <v>1</v>
      </c>
      <c r="L135" s="1">
        <v>74</v>
      </c>
      <c r="M135" s="1">
        <v>2129</v>
      </c>
      <c r="N135" s="1" t="s">
        <v>48</v>
      </c>
      <c r="O135" s="1">
        <v>194022</v>
      </c>
      <c r="P135" s="1">
        <v>95</v>
      </c>
      <c r="Q135" s="1" t="s">
        <v>127</v>
      </c>
      <c r="R135" s="1" t="s">
        <v>50</v>
      </c>
      <c r="S135" s="1">
        <v>0</v>
      </c>
      <c r="T135" s="1">
        <v>0</v>
      </c>
      <c r="U135" s="1">
        <v>889.76199999999994</v>
      </c>
      <c r="V135" s="1">
        <v>24.957000000000001</v>
      </c>
      <c r="W135" s="1">
        <v>0.57999999999999996</v>
      </c>
      <c r="X135" s="1">
        <v>0.47299999999999998</v>
      </c>
      <c r="Y135" s="1">
        <v>25.43</v>
      </c>
      <c r="Z135" s="1">
        <v>0.254</v>
      </c>
      <c r="AA135" s="1">
        <v>-2.6</v>
      </c>
      <c r="AB135" s="1">
        <v>-2.8</v>
      </c>
      <c r="AC135" s="1">
        <v>-2.8</v>
      </c>
      <c r="AD135" s="1">
        <v>0.47299999999999998</v>
      </c>
      <c r="AE135" s="1">
        <v>0.13300000000000001</v>
      </c>
      <c r="AF135" s="1">
        <v>6.6000000000000003E-2</v>
      </c>
      <c r="AG135" s="1">
        <v>-2.6</v>
      </c>
      <c r="AI135" s="1">
        <v>0</v>
      </c>
      <c r="AJ135" s="1">
        <v>0</v>
      </c>
      <c r="AK135" s="1">
        <v>0</v>
      </c>
      <c r="AL135" s="1">
        <v>1</v>
      </c>
      <c r="AM135" s="1">
        <v>86400</v>
      </c>
      <c r="AN135" s="1">
        <v>79820</v>
      </c>
      <c r="AO135" s="1">
        <v>6580</v>
      </c>
      <c r="AP135" s="1">
        <v>50015</v>
      </c>
      <c r="AQ135" s="1">
        <v>0.32259802925756131</v>
      </c>
    </row>
    <row r="136" spans="1:43" x14ac:dyDescent="0.45">
      <c r="A136" s="1">
        <v>18</v>
      </c>
      <c r="B136" s="1">
        <v>26</v>
      </c>
      <c r="C136" s="1">
        <v>126</v>
      </c>
      <c r="D136" s="1" t="s">
        <v>51</v>
      </c>
      <c r="E136" s="1" t="s">
        <v>52</v>
      </c>
      <c r="F136" s="1" t="s">
        <v>53</v>
      </c>
      <c r="G136" s="1" t="s">
        <v>54</v>
      </c>
      <c r="H136" s="1" t="s">
        <v>47</v>
      </c>
      <c r="I136" s="1">
        <v>1113</v>
      </c>
      <c r="J136" s="1">
        <v>60690</v>
      </c>
      <c r="K136" s="1">
        <v>1</v>
      </c>
      <c r="L136" s="1">
        <v>125</v>
      </c>
      <c r="M136" s="1">
        <v>963</v>
      </c>
      <c r="N136" s="1" t="s">
        <v>48</v>
      </c>
      <c r="O136" s="1">
        <v>13981</v>
      </c>
      <c r="P136" s="1">
        <v>95</v>
      </c>
      <c r="Q136" s="1" t="s">
        <v>127</v>
      </c>
      <c r="R136" s="1" t="s">
        <v>50</v>
      </c>
      <c r="S136" s="1">
        <v>0</v>
      </c>
      <c r="T136" s="1">
        <v>0</v>
      </c>
      <c r="U136" s="1">
        <v>101.494</v>
      </c>
      <c r="V136" s="1">
        <v>27.503</v>
      </c>
      <c r="W136" s="1">
        <v>0.57999999999999996</v>
      </c>
      <c r="X136" s="1">
        <v>0.47199999999999998</v>
      </c>
      <c r="Y136" s="1">
        <v>27.975000000000001</v>
      </c>
      <c r="Z136" s="1">
        <v>0.153</v>
      </c>
      <c r="AA136" s="1">
        <v>1</v>
      </c>
      <c r="AB136" s="1">
        <v>1</v>
      </c>
      <c r="AC136" s="1">
        <v>1</v>
      </c>
      <c r="AD136" s="1">
        <v>0.47199999999999998</v>
      </c>
      <c r="AE136" s="1">
        <v>0.153</v>
      </c>
      <c r="AF136" s="1">
        <v>7.1999999999999995E-2</v>
      </c>
      <c r="AG136" s="1">
        <v>1</v>
      </c>
      <c r="AI136" s="1">
        <v>0</v>
      </c>
      <c r="AJ136" s="1">
        <v>0</v>
      </c>
      <c r="AK136" s="1">
        <v>0</v>
      </c>
      <c r="AL136" s="1">
        <v>1</v>
      </c>
      <c r="AM136" s="1">
        <v>86400</v>
      </c>
      <c r="AN136" s="1">
        <v>74795</v>
      </c>
      <c r="AO136" s="1">
        <v>11605</v>
      </c>
      <c r="AP136" s="1">
        <v>46973</v>
      </c>
      <c r="AQ136" s="1">
        <v>2.550246115372929</v>
      </c>
    </row>
    <row r="137" spans="1:43" x14ac:dyDescent="0.45">
      <c r="A137" s="1">
        <v>111</v>
      </c>
      <c r="B137" s="1">
        <v>101</v>
      </c>
      <c r="C137" s="1">
        <v>74</v>
      </c>
      <c r="D137" s="1" t="s">
        <v>61</v>
      </c>
      <c r="E137" s="1" t="s">
        <v>62</v>
      </c>
      <c r="F137" s="1" t="s">
        <v>63</v>
      </c>
      <c r="G137" s="1" t="s">
        <v>46</v>
      </c>
      <c r="H137" s="1" t="s">
        <v>47</v>
      </c>
      <c r="I137" s="1">
        <v>1175</v>
      </c>
      <c r="J137" s="1">
        <v>30642</v>
      </c>
      <c r="K137" s="1">
        <v>1</v>
      </c>
      <c r="L137" s="1">
        <v>73</v>
      </c>
      <c r="M137" s="1">
        <v>2556</v>
      </c>
      <c r="N137" s="1" t="s">
        <v>48</v>
      </c>
      <c r="O137" s="1">
        <v>198600</v>
      </c>
      <c r="P137" s="1">
        <v>95</v>
      </c>
      <c r="Q137" s="1" t="s">
        <v>127</v>
      </c>
      <c r="R137" s="1" t="s">
        <v>50</v>
      </c>
      <c r="S137" s="1">
        <v>0</v>
      </c>
      <c r="T137" s="1">
        <v>0</v>
      </c>
      <c r="U137" s="1">
        <v>547.45600000000002</v>
      </c>
      <c r="V137" s="1">
        <v>25.297999999999998</v>
      </c>
      <c r="W137" s="1">
        <v>0.56999999999999995</v>
      </c>
      <c r="X137" s="1">
        <v>0.47199999999999998</v>
      </c>
      <c r="Y137" s="1">
        <v>25.77</v>
      </c>
      <c r="Z137" s="1">
        <v>9.5000000000000001E-2</v>
      </c>
      <c r="AA137" s="1">
        <v>0.5</v>
      </c>
      <c r="AB137" s="1">
        <v>2.9</v>
      </c>
      <c r="AC137" s="1">
        <v>2.9</v>
      </c>
      <c r="AD137" s="1">
        <v>0.47199999999999998</v>
      </c>
      <c r="AE137" s="1">
        <v>6.4000000000000001E-2</v>
      </c>
      <c r="AF137" s="1">
        <v>0.03</v>
      </c>
      <c r="AG137" s="1">
        <v>0.5</v>
      </c>
      <c r="AI137" s="1">
        <v>0</v>
      </c>
      <c r="AJ137" s="1">
        <v>0</v>
      </c>
      <c r="AK137" s="1">
        <v>0</v>
      </c>
      <c r="AL137" s="1">
        <v>1</v>
      </c>
      <c r="AM137" s="1">
        <v>68951</v>
      </c>
      <c r="AN137" s="1">
        <v>29197</v>
      </c>
      <c r="AO137" s="1">
        <v>39754</v>
      </c>
      <c r="AP137" s="1">
        <v>49964</v>
      </c>
      <c r="AQ137" s="1">
        <v>1.6525758168340901</v>
      </c>
    </row>
    <row r="138" spans="1:43" x14ac:dyDescent="0.45">
      <c r="A138" s="1">
        <v>228</v>
      </c>
      <c r="B138" s="1">
        <v>181</v>
      </c>
      <c r="C138" s="1">
        <v>75</v>
      </c>
      <c r="D138" s="1" t="s">
        <v>64</v>
      </c>
      <c r="E138" s="1" t="s">
        <v>65</v>
      </c>
      <c r="F138" s="1" t="s">
        <v>66</v>
      </c>
      <c r="G138" s="1" t="s">
        <v>46</v>
      </c>
      <c r="H138" s="1" t="s">
        <v>47</v>
      </c>
      <c r="I138" s="1">
        <v>1170</v>
      </c>
      <c r="J138" s="1">
        <v>33499</v>
      </c>
      <c r="K138" s="1">
        <v>1</v>
      </c>
      <c r="L138" s="1">
        <v>74</v>
      </c>
      <c r="M138" s="1">
        <v>2563</v>
      </c>
      <c r="N138" s="1" t="s">
        <v>48</v>
      </c>
      <c r="O138" s="1">
        <v>198608</v>
      </c>
      <c r="P138" s="1">
        <v>95</v>
      </c>
      <c r="Q138" s="1" t="s">
        <v>127</v>
      </c>
      <c r="R138" s="1" t="s">
        <v>50</v>
      </c>
      <c r="S138" s="1">
        <v>0</v>
      </c>
      <c r="T138" s="1">
        <v>0</v>
      </c>
      <c r="U138" s="1">
        <v>185.518</v>
      </c>
      <c r="V138" s="1">
        <v>25.303000000000001</v>
      </c>
      <c r="W138" s="1">
        <v>0.59</v>
      </c>
      <c r="X138" s="1">
        <v>0.46899999999999997</v>
      </c>
      <c r="Y138" s="1">
        <v>25.771999999999998</v>
      </c>
      <c r="Z138" s="1">
        <v>0.38100000000000001</v>
      </c>
      <c r="AA138" s="1">
        <v>2.9</v>
      </c>
      <c r="AB138" s="1">
        <v>2.9</v>
      </c>
      <c r="AC138" s="1">
        <v>2.9</v>
      </c>
      <c r="AD138" s="1">
        <v>0.46899999999999997</v>
      </c>
      <c r="AE138" s="1">
        <v>0.38100000000000001</v>
      </c>
      <c r="AF138" s="1">
        <v>0.17899999999999999</v>
      </c>
      <c r="AG138" s="1">
        <v>2.9</v>
      </c>
      <c r="AI138" s="1">
        <v>0</v>
      </c>
      <c r="AJ138" s="1">
        <v>0</v>
      </c>
      <c r="AK138" s="1">
        <v>0</v>
      </c>
      <c r="AL138" s="1">
        <v>1</v>
      </c>
      <c r="AM138" s="1">
        <v>68777</v>
      </c>
      <c r="AN138" s="1">
        <v>29052</v>
      </c>
      <c r="AO138" s="1">
        <v>39726</v>
      </c>
      <c r="AP138" s="1">
        <v>49999</v>
      </c>
      <c r="AQ138" s="1">
        <v>0.55796808418910737</v>
      </c>
    </row>
    <row r="139" spans="1:43" x14ac:dyDescent="0.45">
      <c r="A139" s="1">
        <v>272</v>
      </c>
      <c r="B139" s="1">
        <v>446</v>
      </c>
      <c r="C139" s="1">
        <v>97</v>
      </c>
      <c r="D139" s="1" t="s">
        <v>85</v>
      </c>
      <c r="E139" s="1" t="s">
        <v>86</v>
      </c>
      <c r="F139" s="1" t="s">
        <v>87</v>
      </c>
      <c r="G139" s="1" t="s">
        <v>46</v>
      </c>
      <c r="H139" s="1" t="s">
        <v>47</v>
      </c>
      <c r="I139" s="1">
        <v>1089</v>
      </c>
      <c r="J139" s="1">
        <v>26566</v>
      </c>
      <c r="K139" s="1">
        <v>1</v>
      </c>
      <c r="L139" s="1">
        <v>96</v>
      </c>
      <c r="M139" s="1">
        <v>2079</v>
      </c>
      <c r="N139" s="1" t="s">
        <v>48</v>
      </c>
      <c r="O139" s="1">
        <v>184873</v>
      </c>
      <c r="P139" s="1">
        <v>95</v>
      </c>
      <c r="Q139" s="1" t="s">
        <v>127</v>
      </c>
      <c r="R139" s="1" t="s">
        <v>50</v>
      </c>
      <c r="S139" s="1">
        <v>0</v>
      </c>
      <c r="T139" s="1">
        <v>0</v>
      </c>
      <c r="U139" s="1">
        <v>89.039000000000001</v>
      </c>
      <c r="V139" s="1">
        <v>24.5</v>
      </c>
      <c r="W139" s="1">
        <v>0.56999999999999995</v>
      </c>
      <c r="X139" s="1">
        <v>0.46500000000000002</v>
      </c>
      <c r="Y139" s="1">
        <v>24.965</v>
      </c>
      <c r="Z139" s="1">
        <v>0.05</v>
      </c>
      <c r="AA139" s="1">
        <v>-2.2999999999999998</v>
      </c>
      <c r="AB139" s="1">
        <v>-2.7</v>
      </c>
      <c r="AC139" s="1">
        <v>-2.7</v>
      </c>
      <c r="AD139" s="1">
        <v>0.46500000000000002</v>
      </c>
      <c r="AE139" s="1">
        <v>2.8000000000000001E-2</v>
      </c>
      <c r="AF139" s="1">
        <v>1.2999999999999999E-2</v>
      </c>
      <c r="AI139" s="1">
        <v>0</v>
      </c>
      <c r="AJ139" s="1">
        <v>0</v>
      </c>
      <c r="AK139" s="1">
        <v>0</v>
      </c>
      <c r="AL139" s="1">
        <v>1</v>
      </c>
      <c r="AM139" s="1">
        <v>86400</v>
      </c>
      <c r="AN139" s="1">
        <v>81528</v>
      </c>
      <c r="AO139" s="1">
        <v>4872</v>
      </c>
      <c r="AP139" s="1">
        <v>46925</v>
      </c>
      <c r="AQ139" s="1">
        <v>23.235140957387081</v>
      </c>
    </row>
    <row r="140" spans="1:43" x14ac:dyDescent="0.45">
      <c r="A140" s="1">
        <v>148</v>
      </c>
      <c r="B140" s="1">
        <v>128</v>
      </c>
      <c r="C140" s="1">
        <v>88</v>
      </c>
      <c r="D140" s="1" t="s">
        <v>115</v>
      </c>
      <c r="E140" s="1" t="s">
        <v>116</v>
      </c>
      <c r="F140" s="1" t="s">
        <v>117</v>
      </c>
      <c r="G140" s="1" t="s">
        <v>54</v>
      </c>
      <c r="H140" s="1" t="s">
        <v>47</v>
      </c>
      <c r="I140" s="1">
        <v>830</v>
      </c>
      <c r="J140" s="1">
        <v>39746</v>
      </c>
      <c r="K140" s="1">
        <v>1</v>
      </c>
      <c r="L140" s="1">
        <v>87</v>
      </c>
      <c r="M140" s="1">
        <v>2366</v>
      </c>
      <c r="N140" s="1" t="s">
        <v>48</v>
      </c>
      <c r="O140" s="1">
        <v>195324</v>
      </c>
      <c r="P140" s="1">
        <v>95</v>
      </c>
      <c r="Q140" s="1" t="s">
        <v>127</v>
      </c>
      <c r="R140" s="1" t="s">
        <v>50</v>
      </c>
      <c r="S140" s="1">
        <v>0</v>
      </c>
      <c r="T140" s="1">
        <v>0</v>
      </c>
      <c r="U140" s="1">
        <v>52.463000000000001</v>
      </c>
      <c r="V140" s="1">
        <v>25.091999999999999</v>
      </c>
      <c r="W140" s="1">
        <v>0.59</v>
      </c>
      <c r="X140" s="1">
        <v>0.46400000000000002</v>
      </c>
      <c r="Y140" s="1">
        <v>25.555</v>
      </c>
      <c r="Z140" s="1">
        <v>0.54800000000000004</v>
      </c>
      <c r="AA140" s="1">
        <v>-1.2</v>
      </c>
      <c r="AB140" s="1">
        <v>-1.2</v>
      </c>
      <c r="AC140" s="1">
        <v>-1.2</v>
      </c>
      <c r="AD140" s="1">
        <v>0.46300000000000002</v>
      </c>
      <c r="AE140" s="1">
        <v>0.54800000000000004</v>
      </c>
      <c r="AF140" s="1">
        <v>0.254</v>
      </c>
      <c r="AG140" s="1">
        <v>-1.2</v>
      </c>
      <c r="AI140" s="1">
        <v>0</v>
      </c>
      <c r="AJ140" s="1">
        <v>0</v>
      </c>
      <c r="AK140" s="1">
        <v>0</v>
      </c>
      <c r="AL140" s="1">
        <v>1</v>
      </c>
      <c r="AM140" s="1">
        <v>52841</v>
      </c>
      <c r="AN140" s="1">
        <v>5893</v>
      </c>
      <c r="AO140" s="1">
        <v>46948</v>
      </c>
      <c r="AP140" s="1">
        <v>48613</v>
      </c>
      <c r="AQ140" s="1">
        <v>1.7206750990600941</v>
      </c>
    </row>
    <row r="141" spans="1:43" x14ac:dyDescent="0.45">
      <c r="A141" s="1">
        <v>76</v>
      </c>
      <c r="B141" s="1">
        <v>91</v>
      </c>
      <c r="C141" s="1">
        <v>117</v>
      </c>
      <c r="D141" s="1" t="s">
        <v>112</v>
      </c>
      <c r="E141" s="1" t="s">
        <v>113</v>
      </c>
      <c r="F141" s="1" t="s">
        <v>114</v>
      </c>
      <c r="G141" s="1" t="s">
        <v>54</v>
      </c>
      <c r="H141" s="1" t="s">
        <v>47</v>
      </c>
      <c r="I141" s="1">
        <v>948</v>
      </c>
      <c r="J141" s="1">
        <v>50781</v>
      </c>
      <c r="K141" s="1">
        <v>1</v>
      </c>
      <c r="L141" s="1">
        <v>116</v>
      </c>
      <c r="M141" s="1">
        <v>2371</v>
      </c>
      <c r="N141" s="1" t="s">
        <v>48</v>
      </c>
      <c r="O141" s="1">
        <v>195330</v>
      </c>
      <c r="P141" s="1">
        <v>95</v>
      </c>
      <c r="Q141" s="1" t="s">
        <v>127</v>
      </c>
      <c r="R141" s="1" t="s">
        <v>50</v>
      </c>
      <c r="S141" s="1">
        <v>0</v>
      </c>
      <c r="T141" s="1">
        <v>0</v>
      </c>
      <c r="U141" s="1">
        <v>162.529</v>
      </c>
      <c r="V141" s="1">
        <v>25.085000000000001</v>
      </c>
      <c r="W141" s="1">
        <v>0.61</v>
      </c>
      <c r="X141" s="1">
        <v>0.46</v>
      </c>
      <c r="Y141" s="1">
        <v>25.545000000000002</v>
      </c>
      <c r="Z141" s="1">
        <v>0.871</v>
      </c>
      <c r="AA141" s="1">
        <v>-0.8</v>
      </c>
      <c r="AB141" s="1">
        <v>-0.8</v>
      </c>
      <c r="AC141" s="1">
        <v>-0.8</v>
      </c>
      <c r="AD141" s="1">
        <v>0.46</v>
      </c>
      <c r="AE141" s="1">
        <v>0.871</v>
      </c>
      <c r="AF141" s="1">
        <v>0.40100000000000002</v>
      </c>
      <c r="AG141" s="1">
        <v>-0.8</v>
      </c>
      <c r="AI141" s="1">
        <v>0</v>
      </c>
      <c r="AJ141" s="1">
        <v>0</v>
      </c>
      <c r="AK141" s="1">
        <v>0</v>
      </c>
      <c r="AL141" s="1">
        <v>1</v>
      </c>
      <c r="AM141" s="1">
        <v>52956</v>
      </c>
      <c r="AN141" s="1">
        <v>9545</v>
      </c>
      <c r="AO141" s="1">
        <v>43411</v>
      </c>
      <c r="AP141" s="1">
        <v>48580</v>
      </c>
      <c r="AQ141" s="1">
        <v>17.40112245469286</v>
      </c>
    </row>
    <row r="142" spans="1:43" x14ac:dyDescent="0.45">
      <c r="A142" s="1">
        <v>275</v>
      </c>
      <c r="B142" s="1">
        <v>446</v>
      </c>
      <c r="C142" s="1">
        <v>97</v>
      </c>
      <c r="D142" s="1" t="s">
        <v>85</v>
      </c>
      <c r="E142" s="1" t="s">
        <v>86</v>
      </c>
      <c r="F142" s="1" t="s">
        <v>87</v>
      </c>
      <c r="G142" s="1" t="s">
        <v>46</v>
      </c>
      <c r="H142" s="1" t="s">
        <v>47</v>
      </c>
      <c r="I142" s="1">
        <v>1089</v>
      </c>
      <c r="J142" s="1">
        <v>26566</v>
      </c>
      <c r="K142" s="1">
        <v>1</v>
      </c>
      <c r="L142" s="1">
        <v>96</v>
      </c>
      <c r="M142" s="1">
        <v>2082</v>
      </c>
      <c r="N142" s="1" t="s">
        <v>48</v>
      </c>
      <c r="O142" s="1">
        <v>184876</v>
      </c>
      <c r="P142" s="1">
        <v>95</v>
      </c>
      <c r="Q142" s="1" t="s">
        <v>127</v>
      </c>
      <c r="R142" s="1" t="s">
        <v>50</v>
      </c>
      <c r="S142" s="1">
        <v>0</v>
      </c>
      <c r="T142" s="1">
        <v>0</v>
      </c>
      <c r="U142" s="1">
        <v>217.46</v>
      </c>
      <c r="V142" s="1">
        <v>24.515000000000001</v>
      </c>
      <c r="W142" s="1">
        <v>0.56999999999999995</v>
      </c>
      <c r="X142" s="1">
        <v>0.44900000000000001</v>
      </c>
      <c r="Y142" s="1">
        <v>24.963999999999999</v>
      </c>
      <c r="Z142" s="1">
        <v>6.4000000000000001E-2</v>
      </c>
      <c r="AA142" s="1">
        <v>0.4</v>
      </c>
      <c r="AB142" s="1">
        <v>1.6</v>
      </c>
      <c r="AC142" s="1">
        <v>1.6</v>
      </c>
      <c r="AD142" s="1">
        <v>0.44900000000000001</v>
      </c>
      <c r="AE142" s="1">
        <v>3.5999999999999997E-2</v>
      </c>
      <c r="AF142" s="1">
        <v>2.1000000000000001E-2</v>
      </c>
      <c r="AG142" s="1">
        <v>0.4</v>
      </c>
      <c r="AI142" s="1">
        <v>0</v>
      </c>
      <c r="AJ142" s="1">
        <v>0</v>
      </c>
      <c r="AK142" s="1">
        <v>0</v>
      </c>
      <c r="AL142" s="1">
        <v>1</v>
      </c>
      <c r="AM142" s="1">
        <v>86400</v>
      </c>
      <c r="AN142" s="1">
        <v>81404</v>
      </c>
      <c r="AO142" s="1">
        <v>4996</v>
      </c>
      <c r="AP142" s="1">
        <v>46822</v>
      </c>
      <c r="AQ142" s="1">
        <v>19.045530927795099</v>
      </c>
    </row>
    <row r="143" spans="1:43" x14ac:dyDescent="0.45">
      <c r="A143" s="1">
        <v>212</v>
      </c>
      <c r="B143" s="1">
        <v>181</v>
      </c>
      <c r="C143" s="1">
        <v>75</v>
      </c>
      <c r="D143" s="1" t="s">
        <v>64</v>
      </c>
      <c r="E143" s="1" t="s">
        <v>65</v>
      </c>
      <c r="F143" s="1" t="s">
        <v>66</v>
      </c>
      <c r="G143" s="1" t="s">
        <v>46</v>
      </c>
      <c r="H143" s="1" t="s">
        <v>47</v>
      </c>
      <c r="I143" s="1">
        <v>1170</v>
      </c>
      <c r="J143" s="1">
        <v>33499</v>
      </c>
      <c r="K143" s="1">
        <v>1</v>
      </c>
      <c r="L143" s="1">
        <v>74</v>
      </c>
      <c r="M143" s="1">
        <v>2124</v>
      </c>
      <c r="N143" s="1" t="s">
        <v>48</v>
      </c>
      <c r="O143" s="1">
        <v>194014</v>
      </c>
      <c r="P143" s="1">
        <v>95</v>
      </c>
      <c r="Q143" s="1" t="s">
        <v>127</v>
      </c>
      <c r="R143" s="1" t="s">
        <v>50</v>
      </c>
      <c r="S143" s="1">
        <v>0</v>
      </c>
      <c r="T143" s="1">
        <v>0</v>
      </c>
      <c r="U143" s="1">
        <v>551.16899999999998</v>
      </c>
      <c r="V143" s="1">
        <v>24.986999999999998</v>
      </c>
      <c r="W143" s="1">
        <v>0.56999999999999995</v>
      </c>
      <c r="X143" s="1">
        <v>0.44500000000000001</v>
      </c>
      <c r="Y143" s="1">
        <v>25.431999999999999</v>
      </c>
      <c r="Z143" s="1">
        <v>0.14299999999999999</v>
      </c>
      <c r="AA143" s="1">
        <v>-0.1</v>
      </c>
      <c r="AB143" s="1">
        <v>0.3</v>
      </c>
      <c r="AC143" s="1">
        <v>0</v>
      </c>
      <c r="AD143" s="1">
        <v>0.434</v>
      </c>
      <c r="AE143" s="1">
        <v>9.9000000000000005E-2</v>
      </c>
      <c r="AF143" s="1">
        <v>5.0999999999999997E-2</v>
      </c>
      <c r="AG143" s="1">
        <v>-0.1</v>
      </c>
      <c r="AI143" s="1">
        <v>0</v>
      </c>
      <c r="AJ143" s="1">
        <v>0</v>
      </c>
      <c r="AK143" s="1">
        <v>0</v>
      </c>
      <c r="AL143" s="1">
        <v>1</v>
      </c>
      <c r="AM143" s="1">
        <v>86400</v>
      </c>
      <c r="AN143" s="1">
        <v>81293</v>
      </c>
      <c r="AO143" s="1">
        <v>5107</v>
      </c>
      <c r="AP143" s="1">
        <v>50340</v>
      </c>
      <c r="AQ143" s="1">
        <v>1.590368793303959</v>
      </c>
    </row>
    <row r="144" spans="1:43" x14ac:dyDescent="0.45">
      <c r="A144" s="1">
        <v>169</v>
      </c>
      <c r="B144" s="1">
        <v>142</v>
      </c>
      <c r="C144" s="1">
        <v>78</v>
      </c>
      <c r="D144" s="1" t="s">
        <v>67</v>
      </c>
      <c r="E144" s="1" t="s">
        <v>68</v>
      </c>
      <c r="F144" s="1" t="s">
        <v>69</v>
      </c>
      <c r="G144" s="1" t="s">
        <v>46</v>
      </c>
      <c r="H144" s="1" t="s">
        <v>47</v>
      </c>
      <c r="I144" s="1">
        <v>1163</v>
      </c>
      <c r="J144" s="1">
        <v>33073</v>
      </c>
      <c r="K144" s="1">
        <v>1</v>
      </c>
      <c r="L144" s="1">
        <v>77</v>
      </c>
      <c r="M144" s="1">
        <v>2271</v>
      </c>
      <c r="N144" s="1" t="s">
        <v>48</v>
      </c>
      <c r="O144" s="1">
        <v>194547</v>
      </c>
      <c r="P144" s="1">
        <v>95</v>
      </c>
      <c r="Q144" s="1" t="s">
        <v>127</v>
      </c>
      <c r="R144" s="1" t="s">
        <v>50</v>
      </c>
      <c r="S144" s="1">
        <v>0</v>
      </c>
      <c r="T144" s="1">
        <v>0</v>
      </c>
      <c r="U144" s="1">
        <v>353.36399999999998</v>
      </c>
      <c r="V144" s="1">
        <v>25.148</v>
      </c>
      <c r="W144" s="1">
        <v>0.56999999999999995</v>
      </c>
      <c r="X144" s="1">
        <v>0.443</v>
      </c>
      <c r="Y144" s="1">
        <v>25.591000000000001</v>
      </c>
      <c r="Z144" s="1">
        <v>0.25</v>
      </c>
      <c r="AA144" s="1">
        <v>2.2999999999999998</v>
      </c>
      <c r="AB144" s="1">
        <v>2</v>
      </c>
      <c r="AC144" s="1">
        <v>2</v>
      </c>
      <c r="AD144" s="1">
        <v>0.443</v>
      </c>
      <c r="AE144" s="1">
        <v>0.105</v>
      </c>
      <c r="AF144" s="1">
        <v>4.7E-2</v>
      </c>
      <c r="AG144" s="1">
        <v>2.2999999999999998</v>
      </c>
      <c r="AI144" s="1">
        <v>0</v>
      </c>
      <c r="AJ144" s="1">
        <v>0</v>
      </c>
      <c r="AK144" s="1">
        <v>0</v>
      </c>
      <c r="AL144" s="1">
        <v>1</v>
      </c>
      <c r="AM144" s="1">
        <v>54200</v>
      </c>
      <c r="AN144" s="1">
        <v>10998</v>
      </c>
      <c r="AO144" s="1">
        <v>43202</v>
      </c>
      <c r="AP144" s="1">
        <v>47368</v>
      </c>
      <c r="AQ144" s="1">
        <v>23.042309260256211</v>
      </c>
    </row>
    <row r="145" spans="1:43" x14ac:dyDescent="0.45">
      <c r="A145" s="1">
        <v>96</v>
      </c>
      <c r="B145" s="1">
        <v>101</v>
      </c>
      <c r="C145" s="1">
        <v>74</v>
      </c>
      <c r="D145" s="1" t="s">
        <v>61</v>
      </c>
      <c r="E145" s="1" t="s">
        <v>62</v>
      </c>
      <c r="F145" s="1" t="s">
        <v>63</v>
      </c>
      <c r="G145" s="1" t="s">
        <v>46</v>
      </c>
      <c r="H145" s="1" t="s">
        <v>47</v>
      </c>
      <c r="I145" s="1">
        <v>1175</v>
      </c>
      <c r="J145" s="1">
        <v>30642</v>
      </c>
      <c r="K145" s="1">
        <v>1</v>
      </c>
      <c r="L145" s="1">
        <v>73</v>
      </c>
      <c r="M145" s="1">
        <v>2537</v>
      </c>
      <c r="N145" s="1" t="s">
        <v>48</v>
      </c>
      <c r="O145" s="1">
        <v>198479</v>
      </c>
      <c r="P145" s="1">
        <v>95</v>
      </c>
      <c r="Q145" s="1" t="s">
        <v>127</v>
      </c>
      <c r="R145" s="1" t="s">
        <v>50</v>
      </c>
      <c r="S145" s="1">
        <v>0</v>
      </c>
      <c r="T145" s="1">
        <v>0</v>
      </c>
      <c r="U145" s="1">
        <v>139.94399999999999</v>
      </c>
      <c r="V145" s="1">
        <v>25.33</v>
      </c>
      <c r="W145" s="1">
        <v>0.57999999999999996</v>
      </c>
      <c r="X145" s="1">
        <v>0.43099999999999999</v>
      </c>
      <c r="Y145" s="1">
        <v>25.760999999999999</v>
      </c>
      <c r="Z145" s="1">
        <v>0.71599999999999997</v>
      </c>
      <c r="AA145" s="1">
        <v>-2.2999999999999998</v>
      </c>
      <c r="AB145" s="1">
        <v>-2.5</v>
      </c>
      <c r="AC145" s="1">
        <v>-2.5</v>
      </c>
      <c r="AD145" s="1">
        <v>0.43</v>
      </c>
      <c r="AE145" s="1">
        <v>0.314</v>
      </c>
      <c r="AF145" s="1">
        <v>0.153</v>
      </c>
      <c r="AG145" s="1">
        <v>-2.2999999999999998</v>
      </c>
      <c r="AI145" s="1">
        <v>0</v>
      </c>
      <c r="AJ145" s="1">
        <v>0</v>
      </c>
      <c r="AK145" s="1">
        <v>0</v>
      </c>
      <c r="AL145" s="1">
        <v>1</v>
      </c>
      <c r="AM145" s="1">
        <v>53159</v>
      </c>
      <c r="AN145" s="1">
        <v>9362</v>
      </c>
      <c r="AO145" s="1">
        <v>43797</v>
      </c>
      <c r="AP145" s="1">
        <v>49662</v>
      </c>
      <c r="AQ145" s="1">
        <v>13.73987000258427</v>
      </c>
    </row>
    <row r="146" spans="1:43" x14ac:dyDescent="0.45">
      <c r="A146" s="1">
        <v>174</v>
      </c>
      <c r="B146" s="1">
        <v>142</v>
      </c>
      <c r="C146" s="1">
        <v>78</v>
      </c>
      <c r="D146" s="1" t="s">
        <v>67</v>
      </c>
      <c r="E146" s="1" t="s">
        <v>68</v>
      </c>
      <c r="F146" s="1" t="s">
        <v>69</v>
      </c>
      <c r="G146" s="1" t="s">
        <v>46</v>
      </c>
      <c r="H146" s="1" t="s">
        <v>47</v>
      </c>
      <c r="I146" s="1">
        <v>1163</v>
      </c>
      <c r="J146" s="1">
        <v>33073</v>
      </c>
      <c r="K146" s="1">
        <v>1</v>
      </c>
      <c r="L146" s="1">
        <v>77</v>
      </c>
      <c r="M146" s="1">
        <v>2277</v>
      </c>
      <c r="N146" s="1" t="s">
        <v>48</v>
      </c>
      <c r="O146" s="1">
        <v>194569</v>
      </c>
      <c r="P146" s="1">
        <v>95</v>
      </c>
      <c r="Q146" s="1" t="s">
        <v>127</v>
      </c>
      <c r="R146" s="1" t="s">
        <v>50</v>
      </c>
      <c r="S146" s="1">
        <v>0</v>
      </c>
      <c r="T146" s="1">
        <v>0</v>
      </c>
      <c r="U146" s="1">
        <v>97.01</v>
      </c>
      <c r="V146" s="1">
        <v>25.157</v>
      </c>
      <c r="W146" s="1">
        <v>0.56999999999999995</v>
      </c>
      <c r="X146" s="1">
        <v>0.43099999999999999</v>
      </c>
      <c r="Y146" s="1">
        <v>25.588999999999999</v>
      </c>
      <c r="Z146" s="1">
        <v>0.23200000000000001</v>
      </c>
      <c r="AA146" s="1">
        <v>-1.7</v>
      </c>
      <c r="AB146" s="1">
        <v>-2.6</v>
      </c>
      <c r="AC146" s="1">
        <v>-2.6</v>
      </c>
      <c r="AD146" s="1">
        <v>0.43099999999999999</v>
      </c>
      <c r="AE146" s="1">
        <v>3.5999999999999997E-2</v>
      </c>
      <c r="AF146" s="1">
        <v>5.5E-2</v>
      </c>
      <c r="AG146" s="1">
        <v>-1.7</v>
      </c>
      <c r="AI146" s="1">
        <v>0</v>
      </c>
      <c r="AJ146" s="1">
        <v>0</v>
      </c>
      <c r="AK146" s="1">
        <v>0</v>
      </c>
      <c r="AL146" s="1">
        <v>1</v>
      </c>
      <c r="AM146" s="1">
        <v>52558</v>
      </c>
      <c r="AN146" s="1">
        <v>9245</v>
      </c>
      <c r="AO146" s="1">
        <v>43313</v>
      </c>
      <c r="AP146" s="1">
        <v>47241</v>
      </c>
      <c r="AQ146" s="1">
        <v>17.42508252876446</v>
      </c>
    </row>
    <row r="147" spans="1:43" x14ac:dyDescent="0.45">
      <c r="A147" s="1">
        <v>163</v>
      </c>
      <c r="B147" s="1">
        <v>142</v>
      </c>
      <c r="C147" s="1">
        <v>78</v>
      </c>
      <c r="D147" s="1" t="s">
        <v>67</v>
      </c>
      <c r="E147" s="1" t="s">
        <v>68</v>
      </c>
      <c r="F147" s="1" t="s">
        <v>69</v>
      </c>
      <c r="G147" s="1" t="s">
        <v>46</v>
      </c>
      <c r="H147" s="1" t="s">
        <v>47</v>
      </c>
      <c r="I147" s="1">
        <v>1163</v>
      </c>
      <c r="J147" s="1">
        <v>33073</v>
      </c>
      <c r="K147" s="1">
        <v>1</v>
      </c>
      <c r="L147" s="1">
        <v>77</v>
      </c>
      <c r="M147" s="1">
        <v>2265</v>
      </c>
      <c r="N147" s="1" t="s">
        <v>48</v>
      </c>
      <c r="O147" s="1">
        <v>194540</v>
      </c>
      <c r="P147" s="1">
        <v>95</v>
      </c>
      <c r="Q147" s="1" t="s">
        <v>127</v>
      </c>
      <c r="R147" s="1" t="s">
        <v>50</v>
      </c>
      <c r="S147" s="1">
        <v>0</v>
      </c>
      <c r="T147" s="1">
        <v>0</v>
      </c>
      <c r="U147" s="1">
        <v>880.29600000000005</v>
      </c>
      <c r="V147" s="1">
        <v>25.163</v>
      </c>
      <c r="W147" s="1">
        <v>0.56999999999999995</v>
      </c>
      <c r="X147" s="1">
        <v>0.42699999999999999</v>
      </c>
      <c r="Y147" s="1">
        <v>25.59</v>
      </c>
      <c r="Z147" s="1">
        <v>0.14399999999999999</v>
      </c>
      <c r="AA147" s="1">
        <v>0.4</v>
      </c>
      <c r="AB147" s="1">
        <v>0.5</v>
      </c>
      <c r="AC147" s="1">
        <v>0.5</v>
      </c>
      <c r="AD147" s="1">
        <v>0.42699999999999999</v>
      </c>
      <c r="AE147" s="1">
        <v>0.13300000000000001</v>
      </c>
      <c r="AF147" s="1">
        <v>5.8000000000000003E-2</v>
      </c>
      <c r="AG147" s="1">
        <v>0.4</v>
      </c>
      <c r="AI147" s="1">
        <v>0</v>
      </c>
      <c r="AJ147" s="1">
        <v>0</v>
      </c>
      <c r="AK147" s="1">
        <v>0</v>
      </c>
      <c r="AL147" s="1">
        <v>1</v>
      </c>
      <c r="AM147" s="1">
        <v>52601</v>
      </c>
      <c r="AN147" s="1">
        <v>9296</v>
      </c>
      <c r="AO147" s="1">
        <v>43305</v>
      </c>
      <c r="AP147" s="1">
        <v>47356</v>
      </c>
      <c r="AQ147" s="1">
        <v>0.30473785546464988</v>
      </c>
    </row>
    <row r="148" spans="1:43" x14ac:dyDescent="0.45">
      <c r="A148" s="1">
        <v>176</v>
      </c>
      <c r="B148" s="1">
        <v>142</v>
      </c>
      <c r="C148" s="1">
        <v>78</v>
      </c>
      <c r="D148" s="1" t="s">
        <v>67</v>
      </c>
      <c r="E148" s="1" t="s">
        <v>68</v>
      </c>
      <c r="F148" s="1" t="s">
        <v>69</v>
      </c>
      <c r="G148" s="1" t="s">
        <v>46</v>
      </c>
      <c r="H148" s="1" t="s">
        <v>47</v>
      </c>
      <c r="I148" s="1">
        <v>1163</v>
      </c>
      <c r="J148" s="1">
        <v>33073</v>
      </c>
      <c r="K148" s="1">
        <v>1</v>
      </c>
      <c r="L148" s="1">
        <v>77</v>
      </c>
      <c r="M148" s="1">
        <v>2279</v>
      </c>
      <c r="N148" s="1" t="s">
        <v>48</v>
      </c>
      <c r="O148" s="1">
        <v>194573</v>
      </c>
      <c r="P148" s="1">
        <v>95</v>
      </c>
      <c r="Q148" s="1" t="s">
        <v>127</v>
      </c>
      <c r="R148" s="1" t="s">
        <v>50</v>
      </c>
      <c r="S148" s="1">
        <v>0</v>
      </c>
      <c r="T148" s="1">
        <v>0</v>
      </c>
      <c r="U148" s="1">
        <v>165.15899999999999</v>
      </c>
      <c r="V148" s="1">
        <v>25.164000000000001</v>
      </c>
      <c r="W148" s="1">
        <v>0.56999999999999995</v>
      </c>
      <c r="X148" s="1">
        <v>0.42499999999999999</v>
      </c>
      <c r="Y148" s="1">
        <v>25.588999999999999</v>
      </c>
      <c r="Z148" s="1">
        <v>0.27700000000000002</v>
      </c>
      <c r="AA148" s="1">
        <v>1.8</v>
      </c>
      <c r="AB148" s="1">
        <v>1.1000000000000001</v>
      </c>
      <c r="AC148" s="1">
        <v>1.1000000000000001</v>
      </c>
      <c r="AD148" s="1">
        <v>0.42499999999999999</v>
      </c>
      <c r="AE148" s="1">
        <v>0.13900000000000001</v>
      </c>
      <c r="AF148" s="1">
        <v>6.8000000000000005E-2</v>
      </c>
      <c r="AG148" s="1">
        <v>1.8</v>
      </c>
      <c r="AI148" s="1">
        <v>0</v>
      </c>
      <c r="AJ148" s="1">
        <v>0</v>
      </c>
      <c r="AK148" s="1">
        <v>0</v>
      </c>
      <c r="AL148" s="1">
        <v>1</v>
      </c>
      <c r="AM148" s="1">
        <v>52575</v>
      </c>
      <c r="AN148" s="1">
        <v>9268</v>
      </c>
      <c r="AO148" s="1">
        <v>43307</v>
      </c>
      <c r="AP148" s="1">
        <v>48273</v>
      </c>
      <c r="AQ148" s="1">
        <v>0.17497394775129299</v>
      </c>
    </row>
    <row r="149" spans="1:43" x14ac:dyDescent="0.45">
      <c r="A149" s="1">
        <v>3</v>
      </c>
      <c r="B149" s="1">
        <v>1</v>
      </c>
      <c r="C149" s="1">
        <v>90</v>
      </c>
      <c r="D149" s="1" t="s">
        <v>43</v>
      </c>
      <c r="E149" s="1" t="s">
        <v>44</v>
      </c>
      <c r="F149" s="1" t="s">
        <v>45</v>
      </c>
      <c r="G149" s="1" t="s">
        <v>46</v>
      </c>
      <c r="H149" s="1" t="s">
        <v>47</v>
      </c>
      <c r="I149" s="1">
        <v>535</v>
      </c>
      <c r="J149" s="1">
        <v>12723</v>
      </c>
      <c r="K149" s="1">
        <v>1</v>
      </c>
      <c r="L149" s="1">
        <v>89</v>
      </c>
      <c r="M149" s="1">
        <v>1851</v>
      </c>
      <c r="N149" s="1" t="s">
        <v>48</v>
      </c>
      <c r="O149" s="1">
        <v>20406</v>
      </c>
      <c r="P149" s="1">
        <v>95</v>
      </c>
      <c r="Q149" s="1" t="s">
        <v>127</v>
      </c>
      <c r="R149" s="1" t="s">
        <v>50</v>
      </c>
      <c r="S149" s="1">
        <v>0</v>
      </c>
      <c r="T149" s="1">
        <v>0</v>
      </c>
      <c r="U149" s="1">
        <v>69.885999999999996</v>
      </c>
      <c r="V149" s="1">
        <v>24.724</v>
      </c>
      <c r="W149" s="1">
        <v>0.56999999999999995</v>
      </c>
      <c r="X149" s="1">
        <v>0.42299999999999999</v>
      </c>
      <c r="Y149" s="1">
        <v>25.146999999999998</v>
      </c>
      <c r="Z149" s="1">
        <v>0.113</v>
      </c>
      <c r="AA149" s="1">
        <v>-2.7</v>
      </c>
      <c r="AB149" s="1">
        <v>-2.7</v>
      </c>
      <c r="AC149" s="1">
        <v>-2.7</v>
      </c>
      <c r="AD149" s="1">
        <v>0.42299999999999999</v>
      </c>
      <c r="AE149" s="1">
        <v>0.113</v>
      </c>
      <c r="AF149" s="1">
        <v>4.8000000000000001E-2</v>
      </c>
      <c r="AG149" s="1">
        <v>-2.7</v>
      </c>
      <c r="AI149" s="1">
        <v>0</v>
      </c>
      <c r="AJ149" s="1">
        <v>0</v>
      </c>
      <c r="AK149" s="1">
        <v>0</v>
      </c>
      <c r="AL149" s="1">
        <v>1</v>
      </c>
      <c r="AM149" s="1">
        <v>86400</v>
      </c>
      <c r="AN149" s="1">
        <v>82048</v>
      </c>
      <c r="AO149" s="1">
        <v>4352</v>
      </c>
      <c r="AP149" s="1">
        <v>46819</v>
      </c>
      <c r="AQ149" s="1">
        <v>14.25374788192698</v>
      </c>
    </row>
    <row r="150" spans="1:43" x14ac:dyDescent="0.45">
      <c r="A150" s="1">
        <v>89</v>
      </c>
      <c r="B150" s="1">
        <v>101</v>
      </c>
      <c r="C150" s="1">
        <v>74</v>
      </c>
      <c r="D150" s="1" t="s">
        <v>61</v>
      </c>
      <c r="E150" s="1" t="s">
        <v>62</v>
      </c>
      <c r="F150" s="1" t="s">
        <v>63</v>
      </c>
      <c r="G150" s="1" t="s">
        <v>46</v>
      </c>
      <c r="H150" s="1" t="s">
        <v>47</v>
      </c>
      <c r="I150" s="1">
        <v>1175</v>
      </c>
      <c r="J150" s="1">
        <v>30642</v>
      </c>
      <c r="K150" s="1">
        <v>1</v>
      </c>
      <c r="L150" s="1">
        <v>73</v>
      </c>
      <c r="M150" s="1">
        <v>2514</v>
      </c>
      <c r="N150" s="1" t="s">
        <v>48</v>
      </c>
      <c r="O150" s="1">
        <v>198454</v>
      </c>
      <c r="P150" s="1">
        <v>95</v>
      </c>
      <c r="Q150" s="1" t="s">
        <v>127</v>
      </c>
      <c r="R150" s="1" t="s">
        <v>50</v>
      </c>
      <c r="S150" s="1">
        <v>0</v>
      </c>
      <c r="T150" s="1">
        <v>0</v>
      </c>
      <c r="U150" s="1">
        <v>706.94600000000003</v>
      </c>
      <c r="V150" s="1">
        <v>25.349</v>
      </c>
      <c r="W150" s="1">
        <v>0.56999999999999995</v>
      </c>
      <c r="X150" s="1">
        <v>0.42099999999999999</v>
      </c>
      <c r="Y150" s="1">
        <v>25.77</v>
      </c>
      <c r="Z150" s="1">
        <v>0.11600000000000001</v>
      </c>
      <c r="AA150" s="1">
        <v>0.6</v>
      </c>
      <c r="AB150" s="1">
        <v>1.6</v>
      </c>
      <c r="AC150" s="1">
        <v>1.7</v>
      </c>
      <c r="AD150" s="1">
        <v>0.42099999999999999</v>
      </c>
      <c r="AE150" s="1">
        <v>2.8000000000000001E-2</v>
      </c>
      <c r="AF150" s="1">
        <v>0.03</v>
      </c>
      <c r="AG150" s="1">
        <v>0.6</v>
      </c>
      <c r="AI150" s="1">
        <v>0</v>
      </c>
      <c r="AJ150" s="1">
        <v>0</v>
      </c>
      <c r="AK150" s="1">
        <v>0</v>
      </c>
      <c r="AL150" s="1">
        <v>1</v>
      </c>
      <c r="AM150" s="1">
        <v>86400</v>
      </c>
      <c r="AN150" s="1">
        <v>79534</v>
      </c>
      <c r="AO150" s="1">
        <v>6866</v>
      </c>
      <c r="AP150" s="1">
        <v>49590</v>
      </c>
      <c r="AQ150" s="1">
        <v>1.647579668275021</v>
      </c>
    </row>
    <row r="151" spans="1:43" x14ac:dyDescent="0.45">
      <c r="A151" s="1">
        <v>103</v>
      </c>
      <c r="B151" s="1">
        <v>101</v>
      </c>
      <c r="C151" s="1">
        <v>74</v>
      </c>
      <c r="D151" s="1" t="s">
        <v>61</v>
      </c>
      <c r="E151" s="1" t="s">
        <v>62</v>
      </c>
      <c r="F151" s="1" t="s">
        <v>63</v>
      </c>
      <c r="G151" s="1" t="s">
        <v>46</v>
      </c>
      <c r="H151" s="1" t="s">
        <v>47</v>
      </c>
      <c r="I151" s="1">
        <v>1175</v>
      </c>
      <c r="J151" s="1">
        <v>30642</v>
      </c>
      <c r="K151" s="1">
        <v>1</v>
      </c>
      <c r="L151" s="1">
        <v>73</v>
      </c>
      <c r="M151" s="1">
        <v>2548</v>
      </c>
      <c r="N151" s="1" t="s">
        <v>48</v>
      </c>
      <c r="O151" s="1">
        <v>198492</v>
      </c>
      <c r="P151" s="1">
        <v>95</v>
      </c>
      <c r="Q151" s="1" t="s">
        <v>127</v>
      </c>
      <c r="R151" s="1" t="s">
        <v>50</v>
      </c>
      <c r="S151" s="1">
        <v>0</v>
      </c>
      <c r="T151" s="1">
        <v>0</v>
      </c>
      <c r="U151" s="1">
        <v>342.505</v>
      </c>
      <c r="V151" s="1">
        <v>25.356000000000002</v>
      </c>
      <c r="W151" s="1">
        <v>0.56000000000000005</v>
      </c>
      <c r="X151" s="1">
        <v>0.41399999999999998</v>
      </c>
      <c r="Y151" s="1">
        <v>25.77</v>
      </c>
      <c r="Z151" s="1">
        <v>0.41299999999999998</v>
      </c>
      <c r="AA151" s="1">
        <v>-2.6</v>
      </c>
      <c r="AB151" s="1">
        <v>1.1000000000000001</v>
      </c>
      <c r="AC151" s="1">
        <v>1</v>
      </c>
      <c r="AD151" s="1">
        <v>0.41399999999999998</v>
      </c>
      <c r="AE151" s="1">
        <v>3.6999999999999998E-2</v>
      </c>
      <c r="AF151" s="1">
        <v>2.1000000000000001E-2</v>
      </c>
      <c r="AG151" s="1">
        <v>-2.6</v>
      </c>
      <c r="AI151" s="1">
        <v>0</v>
      </c>
      <c r="AJ151" s="1">
        <v>0</v>
      </c>
      <c r="AK151" s="1">
        <v>0</v>
      </c>
      <c r="AL151" s="1">
        <v>1</v>
      </c>
      <c r="AM151" s="1">
        <v>53631</v>
      </c>
      <c r="AN151" s="1">
        <v>10341</v>
      </c>
      <c r="AO151" s="1">
        <v>43290</v>
      </c>
      <c r="AP151" s="1">
        <v>49653</v>
      </c>
      <c r="AQ151" s="1">
        <v>24.285321471614761</v>
      </c>
    </row>
    <row r="152" spans="1:43" x14ac:dyDescent="0.45">
      <c r="A152" s="1">
        <v>229</v>
      </c>
      <c r="B152" s="1">
        <v>181</v>
      </c>
      <c r="C152" s="1">
        <v>75</v>
      </c>
      <c r="D152" s="1" t="s">
        <v>64</v>
      </c>
      <c r="E152" s="1" t="s">
        <v>65</v>
      </c>
      <c r="F152" s="1" t="s">
        <v>66</v>
      </c>
      <c r="G152" s="1" t="s">
        <v>46</v>
      </c>
      <c r="H152" s="1" t="s">
        <v>47</v>
      </c>
      <c r="I152" s="1">
        <v>1170</v>
      </c>
      <c r="J152" s="1">
        <v>33499</v>
      </c>
      <c r="K152" s="1">
        <v>1</v>
      </c>
      <c r="L152" s="1">
        <v>74</v>
      </c>
      <c r="M152" s="1">
        <v>2567</v>
      </c>
      <c r="N152" s="1" t="s">
        <v>48</v>
      </c>
      <c r="O152" s="1">
        <v>198613</v>
      </c>
      <c r="P152" s="1">
        <v>95</v>
      </c>
      <c r="Q152" s="1" t="s">
        <v>127</v>
      </c>
      <c r="R152" s="1" t="s">
        <v>50</v>
      </c>
      <c r="S152" s="1">
        <v>0</v>
      </c>
      <c r="T152" s="1">
        <v>0</v>
      </c>
      <c r="U152" s="1">
        <v>131.41399999999999</v>
      </c>
      <c r="V152" s="1">
        <v>25.213000000000001</v>
      </c>
      <c r="W152" s="1">
        <v>0.57999999999999996</v>
      </c>
      <c r="X152" s="1">
        <v>0.40500000000000003</v>
      </c>
      <c r="Y152" s="1">
        <v>25.617999999999999</v>
      </c>
      <c r="Z152" s="1">
        <v>0.50800000000000001</v>
      </c>
      <c r="AA152" s="1">
        <v>-3</v>
      </c>
      <c r="AB152" s="1">
        <v>-3</v>
      </c>
      <c r="AC152" s="1">
        <v>-3</v>
      </c>
      <c r="AD152" s="1">
        <v>0.40500000000000003</v>
      </c>
      <c r="AE152" s="1">
        <v>0.501</v>
      </c>
      <c r="AF152" s="1">
        <v>0.20399999999999999</v>
      </c>
      <c r="AG152" s="1">
        <v>-3</v>
      </c>
      <c r="AI152" s="1">
        <v>0</v>
      </c>
      <c r="AJ152" s="1">
        <v>0</v>
      </c>
      <c r="AK152" s="1">
        <v>0</v>
      </c>
      <c r="AL152" s="1">
        <v>1</v>
      </c>
      <c r="AM152" s="1">
        <v>86400</v>
      </c>
      <c r="AN152" s="1">
        <v>81369</v>
      </c>
      <c r="AO152" s="1">
        <v>5031</v>
      </c>
      <c r="AP152" s="1">
        <v>49498</v>
      </c>
      <c r="AQ152" s="1">
        <v>0.46416777134323489</v>
      </c>
    </row>
    <row r="153" spans="1:43" x14ac:dyDescent="0.45">
      <c r="A153" s="1">
        <v>286</v>
      </c>
      <c r="B153" s="1">
        <v>494</v>
      </c>
      <c r="C153" s="1">
        <v>67</v>
      </c>
      <c r="D153" s="1" t="s">
        <v>92</v>
      </c>
      <c r="E153" s="1" t="s">
        <v>93</v>
      </c>
      <c r="F153" s="1" t="s">
        <v>94</v>
      </c>
      <c r="G153" s="1" t="s">
        <v>46</v>
      </c>
      <c r="H153" s="1" t="s">
        <v>47</v>
      </c>
      <c r="I153" s="1">
        <v>1579</v>
      </c>
      <c r="J153" s="1">
        <v>67764</v>
      </c>
      <c r="K153" s="1">
        <v>1</v>
      </c>
      <c r="L153" s="1">
        <v>66</v>
      </c>
      <c r="M153" s="1">
        <v>1924</v>
      </c>
      <c r="N153" s="1" t="s">
        <v>48</v>
      </c>
      <c r="O153" s="1">
        <v>131021</v>
      </c>
      <c r="P153" s="1">
        <v>95</v>
      </c>
      <c r="Q153" s="1" t="s">
        <v>127</v>
      </c>
      <c r="R153" s="1" t="s">
        <v>50</v>
      </c>
      <c r="S153" s="1">
        <v>0</v>
      </c>
      <c r="T153" s="1">
        <v>0</v>
      </c>
      <c r="U153" s="1">
        <v>89.78</v>
      </c>
      <c r="V153" s="1">
        <v>25.841999999999999</v>
      </c>
      <c r="W153" s="1">
        <v>0.56000000000000005</v>
      </c>
      <c r="X153" s="1">
        <v>0.39200000000000002</v>
      </c>
      <c r="Y153" s="1">
        <v>26.234000000000002</v>
      </c>
      <c r="Z153" s="1">
        <v>6.0999999999999999E-2</v>
      </c>
      <c r="AA153" s="1">
        <v>-2.9</v>
      </c>
      <c r="AB153" s="1">
        <v>-3.1</v>
      </c>
      <c r="AC153" s="1">
        <v>-3.1</v>
      </c>
      <c r="AD153" s="1">
        <v>0.39200000000000002</v>
      </c>
      <c r="AE153" s="1">
        <v>5.0999999999999997E-2</v>
      </c>
      <c r="AF153" s="1">
        <v>2.3E-2</v>
      </c>
      <c r="AG153" s="1">
        <v>-2.9</v>
      </c>
      <c r="AI153" s="1">
        <v>0</v>
      </c>
      <c r="AJ153" s="1">
        <v>0</v>
      </c>
      <c r="AK153" s="1">
        <v>0</v>
      </c>
      <c r="AL153" s="1">
        <v>1</v>
      </c>
      <c r="AM153" s="1">
        <v>86400</v>
      </c>
      <c r="AN153" s="1">
        <v>77284</v>
      </c>
      <c r="AO153" s="1">
        <v>9116</v>
      </c>
      <c r="AP153" s="1">
        <v>45217</v>
      </c>
      <c r="AQ153" s="1">
        <v>6.4043930915015341</v>
      </c>
    </row>
    <row r="154" spans="1:43" x14ac:dyDescent="0.45">
      <c r="A154" s="1">
        <v>86</v>
      </c>
      <c r="B154" s="1">
        <v>101</v>
      </c>
      <c r="C154" s="1">
        <v>74</v>
      </c>
      <c r="D154" s="1" t="s">
        <v>61</v>
      </c>
      <c r="E154" s="1" t="s">
        <v>62</v>
      </c>
      <c r="F154" s="1" t="s">
        <v>63</v>
      </c>
      <c r="G154" s="1" t="s">
        <v>46</v>
      </c>
      <c r="H154" s="1" t="s">
        <v>47</v>
      </c>
      <c r="I154" s="1">
        <v>1175</v>
      </c>
      <c r="J154" s="1">
        <v>30642</v>
      </c>
      <c r="K154" s="1">
        <v>1</v>
      </c>
      <c r="L154" s="1">
        <v>73</v>
      </c>
      <c r="M154" s="1">
        <v>2494</v>
      </c>
      <c r="N154" s="1" t="s">
        <v>48</v>
      </c>
      <c r="O154" s="1">
        <v>198411</v>
      </c>
      <c r="P154" s="1">
        <v>95</v>
      </c>
      <c r="Q154" s="1" t="s">
        <v>127</v>
      </c>
      <c r="R154" s="1" t="s">
        <v>50</v>
      </c>
      <c r="S154" s="1">
        <v>0</v>
      </c>
      <c r="T154" s="1">
        <v>0</v>
      </c>
      <c r="U154" s="1">
        <v>238.23699999999999</v>
      </c>
      <c r="V154" s="1">
        <v>25.375</v>
      </c>
      <c r="W154" s="1">
        <v>0.56999999999999995</v>
      </c>
      <c r="X154" s="1">
        <v>0.38700000000000001</v>
      </c>
      <c r="Y154" s="1">
        <v>25.762</v>
      </c>
      <c r="Z154" s="1">
        <v>0.27200000000000002</v>
      </c>
      <c r="AA154" s="1">
        <v>-2</v>
      </c>
      <c r="AB154" s="1">
        <v>-2</v>
      </c>
      <c r="AC154" s="1">
        <v>-2</v>
      </c>
      <c r="AD154" s="1">
        <v>0.38700000000000001</v>
      </c>
      <c r="AE154" s="1">
        <v>0.27200000000000002</v>
      </c>
      <c r="AF154" s="1">
        <v>0.105</v>
      </c>
      <c r="AG154" s="1">
        <v>-2</v>
      </c>
      <c r="AI154" s="1">
        <v>0</v>
      </c>
      <c r="AJ154" s="1">
        <v>0</v>
      </c>
      <c r="AK154" s="1">
        <v>0</v>
      </c>
      <c r="AL154" s="1">
        <v>1</v>
      </c>
      <c r="AM154" s="1">
        <v>52406</v>
      </c>
      <c r="AN154" s="1">
        <v>8209</v>
      </c>
      <c r="AO154" s="1">
        <v>44197</v>
      </c>
      <c r="AP154" s="1">
        <v>49981</v>
      </c>
      <c r="AQ154" s="1">
        <v>3.421797495172997</v>
      </c>
    </row>
    <row r="155" spans="1:43" x14ac:dyDescent="0.45">
      <c r="A155" s="1">
        <v>248</v>
      </c>
      <c r="B155" s="1">
        <v>425</v>
      </c>
      <c r="C155" s="1">
        <v>24</v>
      </c>
      <c r="D155" s="1" t="s">
        <v>73</v>
      </c>
      <c r="E155" s="1" t="s">
        <v>74</v>
      </c>
      <c r="F155" s="1" t="s">
        <v>75</v>
      </c>
      <c r="G155" s="1" t="s">
        <v>46</v>
      </c>
      <c r="H155" s="1" t="s">
        <v>47</v>
      </c>
      <c r="I155" s="1">
        <v>586</v>
      </c>
      <c r="J155" s="1">
        <v>18129</v>
      </c>
      <c r="K155" s="1">
        <v>1</v>
      </c>
      <c r="L155" s="1">
        <v>23</v>
      </c>
      <c r="M155" s="1">
        <v>2064</v>
      </c>
      <c r="N155" s="1" t="s">
        <v>48</v>
      </c>
      <c r="O155" s="1">
        <v>183748</v>
      </c>
      <c r="P155" s="1">
        <v>95</v>
      </c>
      <c r="Q155" s="1" t="s">
        <v>127</v>
      </c>
      <c r="R155" s="1" t="s">
        <v>50</v>
      </c>
      <c r="S155" s="1">
        <v>0</v>
      </c>
      <c r="T155" s="1">
        <v>0</v>
      </c>
      <c r="U155" s="1">
        <v>288.11500000000001</v>
      </c>
      <c r="V155" s="1">
        <v>27.244</v>
      </c>
      <c r="W155" s="1">
        <v>0.56999999999999995</v>
      </c>
      <c r="X155" s="1">
        <v>0.38600000000000001</v>
      </c>
      <c r="Y155" s="1">
        <v>27.63</v>
      </c>
      <c r="Z155" s="1">
        <v>0.30199999999999999</v>
      </c>
      <c r="AA155" s="1">
        <v>-2.4</v>
      </c>
      <c r="AB155" s="1">
        <v>-2.4</v>
      </c>
      <c r="AC155" s="1">
        <v>-2.4</v>
      </c>
      <c r="AD155" s="1">
        <v>0.38600000000000001</v>
      </c>
      <c r="AE155" s="1">
        <v>0.30199999999999999</v>
      </c>
      <c r="AF155" s="1">
        <v>0.11700000000000001</v>
      </c>
      <c r="AG155" s="1">
        <v>-2.4</v>
      </c>
      <c r="AI155" s="1">
        <v>0</v>
      </c>
      <c r="AJ155" s="1">
        <v>0</v>
      </c>
      <c r="AK155" s="1">
        <v>0</v>
      </c>
      <c r="AL155" s="1">
        <v>1</v>
      </c>
      <c r="AM155" s="1">
        <v>86400</v>
      </c>
      <c r="AN155" s="1">
        <v>81776</v>
      </c>
      <c r="AO155" s="1">
        <v>4624</v>
      </c>
      <c r="AP155" s="1">
        <v>45827</v>
      </c>
      <c r="AQ155" s="1">
        <v>17.13936196617848</v>
      </c>
    </row>
    <row r="156" spans="1:43" x14ac:dyDescent="0.45">
      <c r="A156" s="1">
        <v>282</v>
      </c>
      <c r="B156" s="1">
        <v>454</v>
      </c>
      <c r="C156" s="1">
        <v>23</v>
      </c>
      <c r="D156" s="1" t="s">
        <v>88</v>
      </c>
      <c r="E156" s="1" t="s">
        <v>89</v>
      </c>
      <c r="F156" s="1" t="s">
        <v>90</v>
      </c>
      <c r="G156" s="1" t="s">
        <v>91</v>
      </c>
      <c r="H156" s="1" t="s">
        <v>47</v>
      </c>
      <c r="I156" s="1">
        <v>330</v>
      </c>
      <c r="J156" s="1">
        <v>5916</v>
      </c>
      <c r="K156" s="1">
        <v>1</v>
      </c>
      <c r="L156" s="1">
        <v>22</v>
      </c>
      <c r="M156" s="1">
        <v>2041</v>
      </c>
      <c r="N156" s="1" t="s">
        <v>48</v>
      </c>
      <c r="O156" s="1">
        <v>175914</v>
      </c>
      <c r="P156" s="1">
        <v>95</v>
      </c>
      <c r="Q156" s="1" t="s">
        <v>127</v>
      </c>
      <c r="R156" s="1" t="s">
        <v>50</v>
      </c>
      <c r="S156" s="1">
        <v>0</v>
      </c>
      <c r="T156" s="1">
        <v>0</v>
      </c>
      <c r="U156" s="1">
        <v>92.867000000000004</v>
      </c>
      <c r="V156" s="1">
        <v>25.131</v>
      </c>
      <c r="W156" s="1">
        <v>0.56000000000000005</v>
      </c>
      <c r="X156" s="1">
        <v>0.38400000000000001</v>
      </c>
      <c r="Y156" s="1">
        <v>25.515000000000001</v>
      </c>
      <c r="Z156" s="1">
        <v>7.6999999999999999E-2</v>
      </c>
      <c r="AA156" s="1">
        <v>0.7</v>
      </c>
      <c r="AB156" s="1">
        <v>0.7</v>
      </c>
      <c r="AC156" s="1">
        <v>0.7</v>
      </c>
      <c r="AD156" s="1">
        <v>0.38400000000000001</v>
      </c>
      <c r="AE156" s="1">
        <v>7.6999999999999999E-2</v>
      </c>
      <c r="AF156" s="1">
        <v>0.03</v>
      </c>
      <c r="AG156" s="1">
        <v>0.7</v>
      </c>
      <c r="AI156" s="1">
        <v>0</v>
      </c>
      <c r="AJ156" s="1">
        <v>0</v>
      </c>
      <c r="AK156" s="1">
        <v>0</v>
      </c>
      <c r="AL156" s="1">
        <v>1</v>
      </c>
      <c r="AM156" s="1">
        <v>86400</v>
      </c>
      <c r="AN156" s="1">
        <v>82025</v>
      </c>
      <c r="AO156" s="1">
        <v>4375</v>
      </c>
      <c r="AP156" s="1">
        <v>44021</v>
      </c>
      <c r="AQ156" s="1">
        <v>3.3747962790819219</v>
      </c>
    </row>
    <row r="157" spans="1:43" x14ac:dyDescent="0.45">
      <c r="A157" s="1">
        <v>30</v>
      </c>
      <c r="B157" s="1">
        <v>26</v>
      </c>
      <c r="C157" s="1">
        <v>126</v>
      </c>
      <c r="D157" s="1" t="s">
        <v>51</v>
      </c>
      <c r="E157" s="1" t="s">
        <v>52</v>
      </c>
      <c r="F157" s="1" t="s">
        <v>53</v>
      </c>
      <c r="G157" s="1" t="s">
        <v>54</v>
      </c>
      <c r="H157" s="1" t="s">
        <v>47</v>
      </c>
      <c r="I157" s="1">
        <v>1113</v>
      </c>
      <c r="J157" s="1">
        <v>60690</v>
      </c>
      <c r="K157" s="1">
        <v>1</v>
      </c>
      <c r="L157" s="1">
        <v>125</v>
      </c>
      <c r="M157" s="1">
        <v>1426</v>
      </c>
      <c r="N157" s="1" t="s">
        <v>48</v>
      </c>
      <c r="O157" s="1">
        <v>14674</v>
      </c>
      <c r="P157" s="1">
        <v>95</v>
      </c>
      <c r="Q157" s="1" t="s">
        <v>127</v>
      </c>
      <c r="R157" s="1" t="s">
        <v>50</v>
      </c>
      <c r="S157" s="1">
        <v>0</v>
      </c>
      <c r="T157" s="1">
        <v>0</v>
      </c>
      <c r="U157" s="1">
        <v>161.94</v>
      </c>
      <c r="V157" s="1">
        <v>27.719000000000001</v>
      </c>
      <c r="W157" s="1">
        <v>0.57999999999999996</v>
      </c>
      <c r="X157" s="1">
        <v>0.375</v>
      </c>
      <c r="Y157" s="1">
        <v>28.094000000000001</v>
      </c>
      <c r="Z157" s="1">
        <v>0.57399999999999995</v>
      </c>
      <c r="AA157" s="1">
        <v>-2.4</v>
      </c>
      <c r="AB157" s="1">
        <v>-2.4</v>
      </c>
      <c r="AC157" s="1">
        <v>-2.4</v>
      </c>
      <c r="AD157" s="1">
        <v>0.375</v>
      </c>
      <c r="AE157" s="1">
        <v>0.57299999999999995</v>
      </c>
      <c r="AF157" s="1">
        <v>0.215</v>
      </c>
      <c r="AG157" s="1">
        <v>-2.4</v>
      </c>
      <c r="AI157" s="1">
        <v>0</v>
      </c>
      <c r="AJ157" s="1">
        <v>0</v>
      </c>
      <c r="AK157" s="1">
        <v>0</v>
      </c>
      <c r="AL157" s="1">
        <v>1</v>
      </c>
      <c r="AM157" s="1">
        <v>86400</v>
      </c>
      <c r="AN157" s="1">
        <v>81507</v>
      </c>
      <c r="AO157" s="1">
        <v>4893</v>
      </c>
      <c r="AP157" s="1">
        <v>43527</v>
      </c>
      <c r="AQ157" s="1">
        <v>18.43219016539382</v>
      </c>
    </row>
    <row r="158" spans="1:43" x14ac:dyDescent="0.45">
      <c r="A158" s="1">
        <v>150</v>
      </c>
      <c r="B158" s="1">
        <v>128</v>
      </c>
      <c r="C158" s="1">
        <v>88</v>
      </c>
      <c r="D158" s="1" t="s">
        <v>115</v>
      </c>
      <c r="E158" s="1" t="s">
        <v>116</v>
      </c>
      <c r="F158" s="1" t="s">
        <v>117</v>
      </c>
      <c r="G158" s="1" t="s">
        <v>54</v>
      </c>
      <c r="H158" s="1" t="s">
        <v>47</v>
      </c>
      <c r="I158" s="1">
        <v>830</v>
      </c>
      <c r="J158" s="1">
        <v>39746</v>
      </c>
      <c r="K158" s="1">
        <v>1</v>
      </c>
      <c r="L158" s="1">
        <v>87</v>
      </c>
      <c r="M158" s="1">
        <v>2370</v>
      </c>
      <c r="N158" s="1" t="s">
        <v>48</v>
      </c>
      <c r="O158" s="1">
        <v>195328</v>
      </c>
      <c r="P158" s="1">
        <v>95</v>
      </c>
      <c r="Q158" s="1" t="s">
        <v>127</v>
      </c>
      <c r="R158" s="1" t="s">
        <v>50</v>
      </c>
      <c r="S158" s="1">
        <v>0</v>
      </c>
      <c r="T158" s="1">
        <v>0</v>
      </c>
      <c r="U158" s="1">
        <v>137.88300000000001</v>
      </c>
      <c r="V158" s="1">
        <v>25.17</v>
      </c>
      <c r="W158" s="1">
        <v>0.59</v>
      </c>
      <c r="X158" s="1">
        <v>0.373</v>
      </c>
      <c r="Y158" s="1">
        <v>25.542999999999999</v>
      </c>
      <c r="Z158" s="1">
        <v>1.0660000000000001</v>
      </c>
      <c r="AA158" s="1">
        <v>-0.9</v>
      </c>
      <c r="AB158" s="1">
        <v>-0.9</v>
      </c>
      <c r="AC158" s="1">
        <v>-0.9</v>
      </c>
      <c r="AD158" s="1">
        <v>0.373</v>
      </c>
      <c r="AE158" s="1">
        <v>1.0660000000000001</v>
      </c>
      <c r="AF158" s="1">
        <v>0.39800000000000002</v>
      </c>
      <c r="AG158" s="1">
        <v>-0.9</v>
      </c>
      <c r="AI158" s="1">
        <v>0</v>
      </c>
      <c r="AJ158" s="1">
        <v>0</v>
      </c>
      <c r="AK158" s="1">
        <v>0</v>
      </c>
      <c r="AL158" s="1">
        <v>1</v>
      </c>
      <c r="AM158" s="1">
        <v>52190</v>
      </c>
      <c r="AN158" s="1">
        <v>5149</v>
      </c>
      <c r="AO158" s="1">
        <v>47040</v>
      </c>
      <c r="AP158" s="1">
        <v>49099</v>
      </c>
      <c r="AQ158" s="1">
        <v>1.8390180991566989</v>
      </c>
    </row>
    <row r="159" spans="1:43" x14ac:dyDescent="0.45">
      <c r="A159" s="1">
        <v>156</v>
      </c>
      <c r="B159" s="1">
        <v>142</v>
      </c>
      <c r="C159" s="1">
        <v>78</v>
      </c>
      <c r="D159" s="1" t="s">
        <v>67</v>
      </c>
      <c r="E159" s="1" t="s">
        <v>68</v>
      </c>
      <c r="F159" s="1" t="s">
        <v>69</v>
      </c>
      <c r="G159" s="1" t="s">
        <v>46</v>
      </c>
      <c r="H159" s="1" t="s">
        <v>47</v>
      </c>
      <c r="I159" s="1">
        <v>1163</v>
      </c>
      <c r="J159" s="1">
        <v>33073</v>
      </c>
      <c r="K159" s="1">
        <v>1</v>
      </c>
      <c r="L159" s="1">
        <v>77</v>
      </c>
      <c r="M159" s="1">
        <v>2253</v>
      </c>
      <c r="N159" s="1" t="s">
        <v>48</v>
      </c>
      <c r="O159" s="1">
        <v>194313</v>
      </c>
      <c r="P159" s="1">
        <v>95</v>
      </c>
      <c r="Q159" s="1" t="s">
        <v>127</v>
      </c>
      <c r="R159" s="1" t="s">
        <v>50</v>
      </c>
      <c r="S159" s="1">
        <v>0</v>
      </c>
      <c r="T159" s="1">
        <v>0</v>
      </c>
      <c r="U159" s="1">
        <v>403.28300000000002</v>
      </c>
      <c r="V159" s="1">
        <v>25.466999999999999</v>
      </c>
      <c r="W159" s="1">
        <v>0.56000000000000005</v>
      </c>
      <c r="X159" s="1">
        <v>0.373</v>
      </c>
      <c r="Y159" s="1">
        <v>25.84</v>
      </c>
      <c r="Z159" s="1">
        <v>0.105</v>
      </c>
      <c r="AA159" s="1">
        <v>-1.7</v>
      </c>
      <c r="AB159" s="1">
        <v>-1.4</v>
      </c>
      <c r="AC159" s="1">
        <v>-1.4</v>
      </c>
      <c r="AD159" s="1">
        <v>0.373</v>
      </c>
      <c r="AE159" s="1">
        <v>7.2999999999999995E-2</v>
      </c>
      <c r="AF159" s="1">
        <v>3.5000000000000003E-2</v>
      </c>
      <c r="AG159" s="1">
        <v>-1.7</v>
      </c>
      <c r="AI159" s="1">
        <v>0</v>
      </c>
      <c r="AJ159" s="1">
        <v>0</v>
      </c>
      <c r="AK159" s="1">
        <v>0</v>
      </c>
      <c r="AL159" s="1">
        <v>1</v>
      </c>
      <c r="AM159" s="1">
        <v>86400</v>
      </c>
      <c r="AN159" s="1">
        <v>81275</v>
      </c>
      <c r="AO159" s="1">
        <v>5125</v>
      </c>
      <c r="AP159" s="1">
        <v>46984</v>
      </c>
      <c r="AQ159" s="1">
        <v>27.22208285825711</v>
      </c>
    </row>
    <row r="160" spans="1:43" x14ac:dyDescent="0.45">
      <c r="A160" s="1">
        <v>159</v>
      </c>
      <c r="B160" s="1">
        <v>142</v>
      </c>
      <c r="C160" s="1">
        <v>78</v>
      </c>
      <c r="D160" s="1" t="s">
        <v>67</v>
      </c>
      <c r="E160" s="1" t="s">
        <v>68</v>
      </c>
      <c r="F160" s="1" t="s">
        <v>69</v>
      </c>
      <c r="G160" s="1" t="s">
        <v>46</v>
      </c>
      <c r="H160" s="1" t="s">
        <v>47</v>
      </c>
      <c r="I160" s="1">
        <v>1163</v>
      </c>
      <c r="J160" s="1">
        <v>33073</v>
      </c>
      <c r="K160" s="1">
        <v>1</v>
      </c>
      <c r="L160" s="1">
        <v>77</v>
      </c>
      <c r="M160" s="1">
        <v>2256</v>
      </c>
      <c r="N160" s="1" t="s">
        <v>48</v>
      </c>
      <c r="O160" s="1">
        <v>194520</v>
      </c>
      <c r="P160" s="1">
        <v>95</v>
      </c>
      <c r="Q160" s="1" t="s">
        <v>127</v>
      </c>
      <c r="R160" s="1" t="s">
        <v>50</v>
      </c>
      <c r="S160" s="1">
        <v>0</v>
      </c>
      <c r="T160" s="1">
        <v>0</v>
      </c>
      <c r="U160" s="1">
        <v>414.14699999999999</v>
      </c>
      <c r="V160" s="1">
        <v>25.219000000000001</v>
      </c>
      <c r="W160" s="1">
        <v>0.56000000000000005</v>
      </c>
      <c r="X160" s="1">
        <v>0.372</v>
      </c>
      <c r="Y160" s="1">
        <v>25.591000000000001</v>
      </c>
      <c r="Z160" s="1">
        <v>0.20100000000000001</v>
      </c>
      <c r="AA160" s="1">
        <v>2.2000000000000002</v>
      </c>
      <c r="AB160" s="1">
        <v>2</v>
      </c>
      <c r="AC160" s="1">
        <v>2</v>
      </c>
      <c r="AD160" s="1">
        <v>0.372</v>
      </c>
      <c r="AE160" s="1">
        <v>0.113</v>
      </c>
      <c r="AF160" s="1">
        <v>4.2000000000000003E-2</v>
      </c>
      <c r="AG160" s="1">
        <v>2.2000000000000002</v>
      </c>
      <c r="AI160" s="1">
        <v>0</v>
      </c>
      <c r="AJ160" s="1">
        <v>0</v>
      </c>
      <c r="AK160" s="1">
        <v>0</v>
      </c>
      <c r="AL160" s="1">
        <v>1</v>
      </c>
      <c r="AM160" s="1">
        <v>52433</v>
      </c>
      <c r="AN160" s="1">
        <v>9162</v>
      </c>
      <c r="AO160" s="1">
        <v>43271</v>
      </c>
      <c r="AP160" s="1">
        <v>47238</v>
      </c>
      <c r="AQ160" s="1">
        <v>1.3579774994867071</v>
      </c>
    </row>
    <row r="161" spans="1:43" x14ac:dyDescent="0.45">
      <c r="A161" s="1">
        <v>273</v>
      </c>
      <c r="B161" s="1">
        <v>446</v>
      </c>
      <c r="C161" s="1">
        <v>97</v>
      </c>
      <c r="D161" s="1" t="s">
        <v>85</v>
      </c>
      <c r="E161" s="1" t="s">
        <v>86</v>
      </c>
      <c r="F161" s="1" t="s">
        <v>87</v>
      </c>
      <c r="G161" s="1" t="s">
        <v>46</v>
      </c>
      <c r="H161" s="1" t="s">
        <v>47</v>
      </c>
      <c r="I161" s="1">
        <v>1089</v>
      </c>
      <c r="J161" s="1">
        <v>26566</v>
      </c>
      <c r="K161" s="1">
        <v>1</v>
      </c>
      <c r="L161" s="1">
        <v>96</v>
      </c>
      <c r="M161" s="1">
        <v>2080</v>
      </c>
      <c r="N161" s="1" t="s">
        <v>48</v>
      </c>
      <c r="O161" s="1">
        <v>184874</v>
      </c>
      <c r="P161" s="1">
        <v>95</v>
      </c>
      <c r="Q161" s="1" t="s">
        <v>127</v>
      </c>
      <c r="R161" s="1" t="s">
        <v>50</v>
      </c>
      <c r="S161" s="1">
        <v>0</v>
      </c>
      <c r="T161" s="1">
        <v>0</v>
      </c>
      <c r="U161" s="1">
        <v>429.66300000000001</v>
      </c>
      <c r="V161" s="1">
        <v>24.591999999999999</v>
      </c>
      <c r="W161" s="1">
        <v>0.56000000000000005</v>
      </c>
      <c r="X161" s="1">
        <v>0.372</v>
      </c>
      <c r="Y161" s="1">
        <v>24.963999999999999</v>
      </c>
      <c r="Z161" s="1">
        <v>0.121</v>
      </c>
      <c r="AA161" s="1">
        <v>-2.6</v>
      </c>
      <c r="AB161" s="1">
        <v>-2.6</v>
      </c>
      <c r="AC161" s="1">
        <v>-2.6</v>
      </c>
      <c r="AD161" s="1">
        <v>0.372</v>
      </c>
      <c r="AE161" s="1">
        <v>0.121</v>
      </c>
      <c r="AF161" s="1">
        <v>4.4999999999999998E-2</v>
      </c>
      <c r="AG161" s="1">
        <v>-2.6</v>
      </c>
      <c r="AI161" s="1">
        <v>0</v>
      </c>
      <c r="AJ161" s="1">
        <v>0</v>
      </c>
      <c r="AK161" s="1">
        <v>0</v>
      </c>
      <c r="AL161" s="1">
        <v>1</v>
      </c>
      <c r="AM161" s="1">
        <v>86400</v>
      </c>
      <c r="AN161" s="1">
        <v>80760</v>
      </c>
      <c r="AO161" s="1">
        <v>5640</v>
      </c>
      <c r="AP161" s="1">
        <v>43509</v>
      </c>
      <c r="AQ161" s="1">
        <v>36.228920532828177</v>
      </c>
    </row>
    <row r="162" spans="1:43" x14ac:dyDescent="0.45">
      <c r="A162" s="1">
        <v>90</v>
      </c>
      <c r="B162" s="1">
        <v>101</v>
      </c>
      <c r="C162" s="1">
        <v>74</v>
      </c>
      <c r="D162" s="1" t="s">
        <v>61</v>
      </c>
      <c r="E162" s="1" t="s">
        <v>62</v>
      </c>
      <c r="F162" s="1" t="s">
        <v>63</v>
      </c>
      <c r="G162" s="1" t="s">
        <v>46</v>
      </c>
      <c r="H162" s="1" t="s">
        <v>47</v>
      </c>
      <c r="I162" s="1">
        <v>1175</v>
      </c>
      <c r="J162" s="1">
        <v>30642</v>
      </c>
      <c r="K162" s="1">
        <v>1</v>
      </c>
      <c r="L162" s="1">
        <v>73</v>
      </c>
      <c r="M162" s="1">
        <v>2515</v>
      </c>
      <c r="N162" s="1" t="s">
        <v>48</v>
      </c>
      <c r="O162" s="1">
        <v>198455</v>
      </c>
      <c r="P162" s="1">
        <v>95</v>
      </c>
      <c r="Q162" s="1" t="s">
        <v>127</v>
      </c>
      <c r="R162" s="1" t="s">
        <v>50</v>
      </c>
      <c r="S162" s="1">
        <v>0</v>
      </c>
      <c r="T162" s="1">
        <v>0</v>
      </c>
      <c r="U162" s="1">
        <v>453.35199999999998</v>
      </c>
      <c r="V162" s="1">
        <v>25.404</v>
      </c>
      <c r="W162" s="1">
        <v>0.56000000000000005</v>
      </c>
      <c r="X162" s="1">
        <v>0.36499999999999999</v>
      </c>
      <c r="Y162" s="1">
        <v>25.768999999999998</v>
      </c>
      <c r="Z162" s="1">
        <v>8.8999999999999996E-2</v>
      </c>
      <c r="AA162" s="1">
        <v>-0.5</v>
      </c>
      <c r="AB162" s="1">
        <v>2.2999999999999998</v>
      </c>
      <c r="AC162" s="1">
        <v>2.2999999999999998</v>
      </c>
      <c r="AD162" s="1">
        <v>0.36499999999999999</v>
      </c>
      <c r="AE162" s="1">
        <v>5.2999999999999999E-2</v>
      </c>
      <c r="AF162" s="1">
        <v>0.02</v>
      </c>
      <c r="AG162" s="1">
        <v>-0.5</v>
      </c>
      <c r="AI162" s="1">
        <v>0</v>
      </c>
      <c r="AJ162" s="1">
        <v>0</v>
      </c>
      <c r="AK162" s="1">
        <v>0</v>
      </c>
      <c r="AL162" s="1">
        <v>1</v>
      </c>
      <c r="AM162" s="1">
        <v>52935</v>
      </c>
      <c r="AN162" s="1">
        <v>8953</v>
      </c>
      <c r="AO162" s="1">
        <v>43982</v>
      </c>
      <c r="AP162" s="1">
        <v>49524</v>
      </c>
      <c r="AQ162" s="1">
        <v>1.6133676293600641</v>
      </c>
    </row>
    <row r="163" spans="1:43" x14ac:dyDescent="0.45">
      <c r="A163" s="1">
        <v>155</v>
      </c>
      <c r="B163" s="1">
        <v>142</v>
      </c>
      <c r="C163" s="1">
        <v>78</v>
      </c>
      <c r="D163" s="1" t="s">
        <v>67</v>
      </c>
      <c r="E163" s="1" t="s">
        <v>68</v>
      </c>
      <c r="F163" s="1" t="s">
        <v>69</v>
      </c>
      <c r="G163" s="1" t="s">
        <v>46</v>
      </c>
      <c r="H163" s="1" t="s">
        <v>47</v>
      </c>
      <c r="I163" s="1">
        <v>1163</v>
      </c>
      <c r="J163" s="1">
        <v>33073</v>
      </c>
      <c r="K163" s="1">
        <v>1</v>
      </c>
      <c r="L163" s="1">
        <v>77</v>
      </c>
      <c r="M163" s="1">
        <v>2252</v>
      </c>
      <c r="N163" s="1" t="s">
        <v>48</v>
      </c>
      <c r="O163" s="1">
        <v>194312</v>
      </c>
      <c r="P163" s="1">
        <v>95</v>
      </c>
      <c r="Q163" s="1" t="s">
        <v>127</v>
      </c>
      <c r="R163" s="1" t="s">
        <v>50</v>
      </c>
      <c r="S163" s="1">
        <v>0</v>
      </c>
      <c r="T163" s="1">
        <v>0</v>
      </c>
      <c r="U163" s="1">
        <v>570.83799999999997</v>
      </c>
      <c r="V163" s="1">
        <v>25.484000000000002</v>
      </c>
      <c r="W163" s="1">
        <v>0.56000000000000005</v>
      </c>
      <c r="X163" s="1">
        <v>0.35699999999999998</v>
      </c>
      <c r="Y163" s="1">
        <v>25.841000000000001</v>
      </c>
      <c r="Z163" s="1">
        <v>0.13</v>
      </c>
      <c r="AA163" s="1">
        <v>-1.6</v>
      </c>
      <c r="AB163" s="1">
        <v>-1.6</v>
      </c>
      <c r="AC163" s="1">
        <v>-1.6</v>
      </c>
      <c r="AD163" s="1">
        <v>0.35699999999999998</v>
      </c>
      <c r="AE163" s="1">
        <v>0.13</v>
      </c>
      <c r="AF163" s="1">
        <v>4.5999999999999999E-2</v>
      </c>
      <c r="AG163" s="1">
        <v>-1.6</v>
      </c>
      <c r="AI163" s="1">
        <v>0</v>
      </c>
      <c r="AJ163" s="1">
        <v>0</v>
      </c>
      <c r="AK163" s="1">
        <v>0</v>
      </c>
      <c r="AL163" s="1">
        <v>1</v>
      </c>
      <c r="AM163" s="1">
        <v>86400</v>
      </c>
      <c r="AN163" s="1">
        <v>80635</v>
      </c>
      <c r="AO163" s="1">
        <v>5765</v>
      </c>
      <c r="AP163" s="1">
        <v>46963</v>
      </c>
      <c r="AQ163" s="1">
        <v>1.131743174433216</v>
      </c>
    </row>
    <row r="164" spans="1:43" x14ac:dyDescent="0.45">
      <c r="A164" s="1">
        <v>281</v>
      </c>
      <c r="B164" s="1">
        <v>454</v>
      </c>
      <c r="C164" s="1">
        <v>23</v>
      </c>
      <c r="D164" s="1" t="s">
        <v>88</v>
      </c>
      <c r="E164" s="1" t="s">
        <v>89</v>
      </c>
      <c r="F164" s="1" t="s">
        <v>90</v>
      </c>
      <c r="G164" s="1" t="s">
        <v>91</v>
      </c>
      <c r="H164" s="1" t="s">
        <v>47</v>
      </c>
      <c r="I164" s="1">
        <v>330</v>
      </c>
      <c r="J164" s="1">
        <v>5916</v>
      </c>
      <c r="K164" s="1">
        <v>1</v>
      </c>
      <c r="L164" s="1">
        <v>22</v>
      </c>
      <c r="M164" s="1">
        <v>2040</v>
      </c>
      <c r="N164" s="1" t="s">
        <v>48</v>
      </c>
      <c r="O164" s="1">
        <v>175913</v>
      </c>
      <c r="P164" s="1">
        <v>95</v>
      </c>
      <c r="Q164" s="1" t="s">
        <v>127</v>
      </c>
      <c r="R164" s="1" t="s">
        <v>50</v>
      </c>
      <c r="S164" s="1">
        <v>0</v>
      </c>
      <c r="T164" s="1">
        <v>0</v>
      </c>
      <c r="U164" s="1">
        <v>73.203000000000003</v>
      </c>
      <c r="V164" s="1">
        <v>25.163</v>
      </c>
      <c r="W164" s="1">
        <v>0.56000000000000005</v>
      </c>
      <c r="X164" s="1">
        <v>0.35</v>
      </c>
      <c r="Y164" s="1">
        <v>25.513999999999999</v>
      </c>
      <c r="Z164" s="1">
        <v>7.3999999999999996E-2</v>
      </c>
      <c r="AA164" s="1">
        <v>-1.4</v>
      </c>
      <c r="AB164" s="1">
        <v>-1.4</v>
      </c>
      <c r="AC164" s="1">
        <v>-1.4</v>
      </c>
      <c r="AD164" s="1">
        <v>0.35</v>
      </c>
      <c r="AE164" s="1">
        <v>7.3999999999999996E-2</v>
      </c>
      <c r="AF164" s="1">
        <v>2.5999999999999999E-2</v>
      </c>
      <c r="AG164" s="1">
        <v>-1.4</v>
      </c>
      <c r="AI164" s="1">
        <v>0</v>
      </c>
      <c r="AJ164" s="1">
        <v>0</v>
      </c>
      <c r="AK164" s="1">
        <v>0</v>
      </c>
      <c r="AL164" s="1">
        <v>1</v>
      </c>
      <c r="AM164" s="1">
        <v>86400</v>
      </c>
      <c r="AN164" s="1">
        <v>81464</v>
      </c>
      <c r="AO164" s="1">
        <v>4936</v>
      </c>
      <c r="AP164" s="1">
        <v>46853</v>
      </c>
      <c r="AQ164" s="1">
        <v>12.51607896382912</v>
      </c>
    </row>
    <row r="165" spans="1:43" x14ac:dyDescent="0.45">
      <c r="A165" s="1">
        <v>101</v>
      </c>
      <c r="B165" s="1">
        <v>101</v>
      </c>
      <c r="C165" s="1">
        <v>74</v>
      </c>
      <c r="D165" s="1" t="s">
        <v>61</v>
      </c>
      <c r="E165" s="1" t="s">
        <v>62</v>
      </c>
      <c r="F165" s="1" t="s">
        <v>63</v>
      </c>
      <c r="G165" s="1" t="s">
        <v>46</v>
      </c>
      <c r="H165" s="1" t="s">
        <v>47</v>
      </c>
      <c r="I165" s="1">
        <v>1175</v>
      </c>
      <c r="J165" s="1">
        <v>30642</v>
      </c>
      <c r="K165" s="1">
        <v>1</v>
      </c>
      <c r="L165" s="1">
        <v>73</v>
      </c>
      <c r="M165" s="1">
        <v>2546</v>
      </c>
      <c r="N165" s="1" t="s">
        <v>48</v>
      </c>
      <c r="O165" s="1">
        <v>198488</v>
      </c>
      <c r="P165" s="1">
        <v>95</v>
      </c>
      <c r="Q165" s="1" t="s">
        <v>127</v>
      </c>
      <c r="R165" s="1" t="s">
        <v>50</v>
      </c>
      <c r="S165" s="1">
        <v>0</v>
      </c>
      <c r="T165" s="1">
        <v>0</v>
      </c>
      <c r="U165" s="1">
        <v>104.85</v>
      </c>
      <c r="V165" s="1">
        <v>25.422999999999998</v>
      </c>
      <c r="W165" s="1">
        <v>0.56000000000000005</v>
      </c>
      <c r="X165" s="1">
        <v>0.34899999999999998</v>
      </c>
      <c r="Y165" s="1">
        <v>25.771999999999998</v>
      </c>
      <c r="Z165" s="1">
        <v>0.47099999999999997</v>
      </c>
      <c r="AA165" s="1">
        <v>1.5</v>
      </c>
      <c r="AB165" s="1">
        <v>1.4</v>
      </c>
      <c r="AC165" s="1">
        <v>1.4</v>
      </c>
      <c r="AD165" s="1">
        <v>0.34799999999999998</v>
      </c>
      <c r="AE165" s="1">
        <v>0.245</v>
      </c>
      <c r="AF165" s="1">
        <v>8.7999999999999995E-2</v>
      </c>
      <c r="AG165" s="1">
        <v>1.5</v>
      </c>
      <c r="AI165" s="1">
        <v>0</v>
      </c>
      <c r="AJ165" s="1">
        <v>0</v>
      </c>
      <c r="AK165" s="1">
        <v>0</v>
      </c>
      <c r="AL165" s="1">
        <v>1</v>
      </c>
      <c r="AM165" s="1">
        <v>54127</v>
      </c>
      <c r="AN165" s="1">
        <v>10320</v>
      </c>
      <c r="AO165" s="1">
        <v>43807</v>
      </c>
      <c r="AP165" s="1">
        <v>49660</v>
      </c>
      <c r="AQ165" s="1">
        <v>12.635674096245801</v>
      </c>
    </row>
    <row r="166" spans="1:43" x14ac:dyDescent="0.45">
      <c r="A166" s="1">
        <v>230</v>
      </c>
      <c r="B166" s="1">
        <v>181</v>
      </c>
      <c r="C166" s="1">
        <v>75</v>
      </c>
      <c r="D166" s="1" t="s">
        <v>64</v>
      </c>
      <c r="E166" s="1" t="s">
        <v>65</v>
      </c>
      <c r="F166" s="1" t="s">
        <v>66</v>
      </c>
      <c r="G166" s="1" t="s">
        <v>46</v>
      </c>
      <c r="H166" s="1" t="s">
        <v>47</v>
      </c>
      <c r="I166" s="1">
        <v>1170</v>
      </c>
      <c r="J166" s="1">
        <v>33499</v>
      </c>
      <c r="K166" s="1">
        <v>1</v>
      </c>
      <c r="L166" s="1">
        <v>74</v>
      </c>
      <c r="M166" s="1">
        <v>2570</v>
      </c>
      <c r="N166" s="1" t="s">
        <v>48</v>
      </c>
      <c r="O166" s="1">
        <v>198616</v>
      </c>
      <c r="P166" s="1">
        <v>95</v>
      </c>
      <c r="Q166" s="1" t="s">
        <v>127</v>
      </c>
      <c r="R166" s="1" t="s">
        <v>50</v>
      </c>
      <c r="S166" s="1">
        <v>0</v>
      </c>
      <c r="T166" s="1">
        <v>0</v>
      </c>
      <c r="U166" s="1">
        <v>155.554</v>
      </c>
      <c r="V166" s="1">
        <v>25.196999999999999</v>
      </c>
      <c r="W166" s="1">
        <v>0.56999999999999995</v>
      </c>
      <c r="X166" s="1">
        <v>0.34699999999999998</v>
      </c>
      <c r="Y166" s="1">
        <v>25.544</v>
      </c>
      <c r="Z166" s="1">
        <v>0.53300000000000003</v>
      </c>
      <c r="AA166" s="1">
        <v>-2.7</v>
      </c>
      <c r="AB166" s="1">
        <v>-2.7</v>
      </c>
      <c r="AC166" s="1">
        <v>-2.7</v>
      </c>
      <c r="AD166" s="1">
        <v>0.34699999999999998</v>
      </c>
      <c r="AE166" s="1">
        <v>0.53200000000000003</v>
      </c>
      <c r="AF166" s="1">
        <v>0.185</v>
      </c>
      <c r="AG166" s="1">
        <v>-2.7</v>
      </c>
      <c r="AI166" s="1">
        <v>0</v>
      </c>
      <c r="AJ166" s="1">
        <v>0</v>
      </c>
      <c r="AK166" s="1">
        <v>0</v>
      </c>
      <c r="AL166" s="1">
        <v>1</v>
      </c>
      <c r="AM166" s="1">
        <v>86400</v>
      </c>
      <c r="AN166" s="1">
        <v>80125</v>
      </c>
      <c r="AO166" s="1">
        <v>6275</v>
      </c>
      <c r="AP166" s="1">
        <v>50144</v>
      </c>
      <c r="AQ166" s="1">
        <v>0.49721296494119721</v>
      </c>
    </row>
    <row r="167" spans="1:43" x14ac:dyDescent="0.45">
      <c r="A167" s="1">
        <v>57</v>
      </c>
      <c r="B167" s="1">
        <v>73</v>
      </c>
      <c r="C167" s="1">
        <v>83</v>
      </c>
      <c r="D167" s="1" t="s">
        <v>55</v>
      </c>
      <c r="E167" s="1" t="s">
        <v>56</v>
      </c>
      <c r="F167" s="1" t="s">
        <v>57</v>
      </c>
      <c r="G167" s="1" t="s">
        <v>46</v>
      </c>
      <c r="H167" s="1" t="s">
        <v>47</v>
      </c>
      <c r="I167" s="1">
        <v>1176</v>
      </c>
      <c r="J167" s="1">
        <v>30288</v>
      </c>
      <c r="K167" s="1">
        <v>1</v>
      </c>
      <c r="L167" s="1">
        <v>82</v>
      </c>
      <c r="M167" s="1">
        <v>2445</v>
      </c>
      <c r="N167" s="1" t="s">
        <v>48</v>
      </c>
      <c r="O167" s="1">
        <v>197623</v>
      </c>
      <c r="P167" s="1">
        <v>95</v>
      </c>
      <c r="Q167" s="1" t="s">
        <v>127</v>
      </c>
      <c r="R167" s="1" t="s">
        <v>50</v>
      </c>
      <c r="S167" s="1">
        <v>0</v>
      </c>
      <c r="T167" s="1">
        <v>0</v>
      </c>
      <c r="U167" s="1">
        <v>51.329000000000001</v>
      </c>
      <c r="V167" s="1">
        <v>25.263000000000002</v>
      </c>
      <c r="W167" s="1">
        <v>0.56000000000000005</v>
      </c>
      <c r="X167" s="1">
        <v>0.34599999999999997</v>
      </c>
      <c r="Y167" s="1">
        <v>25.61</v>
      </c>
      <c r="Z167" s="1">
        <v>0.35899999999999999</v>
      </c>
      <c r="AA167" s="1">
        <v>0.4</v>
      </c>
      <c r="AB167" s="1">
        <v>0.4</v>
      </c>
      <c r="AC167" s="1">
        <v>0.4</v>
      </c>
      <c r="AD167" s="1">
        <v>0.34599999999999997</v>
      </c>
      <c r="AE167" s="1">
        <v>0.35899999999999999</v>
      </c>
      <c r="AF167" s="1">
        <v>0.124</v>
      </c>
      <c r="AG167" s="1">
        <v>0.4</v>
      </c>
      <c r="AI167" s="1">
        <v>0</v>
      </c>
      <c r="AJ167" s="1">
        <v>0</v>
      </c>
      <c r="AK167" s="1">
        <v>0</v>
      </c>
      <c r="AL167" s="1">
        <v>1</v>
      </c>
      <c r="AM167" s="1">
        <v>86400</v>
      </c>
      <c r="AN167" s="1">
        <v>81841</v>
      </c>
      <c r="AO167" s="1">
        <v>4559</v>
      </c>
      <c r="AP167" s="1">
        <v>47475</v>
      </c>
      <c r="AQ167" s="1">
        <v>2.298754340804646</v>
      </c>
    </row>
    <row r="168" spans="1:43" x14ac:dyDescent="0.45">
      <c r="A168" s="1">
        <v>268</v>
      </c>
      <c r="B168" s="1">
        <v>439</v>
      </c>
      <c r="C168" s="1">
        <v>94</v>
      </c>
      <c r="D168" s="1" t="s">
        <v>82</v>
      </c>
      <c r="E168" s="1" t="s">
        <v>83</v>
      </c>
      <c r="F168" s="1" t="s">
        <v>84</v>
      </c>
      <c r="G168" s="1" t="s">
        <v>46</v>
      </c>
      <c r="H168" s="1" t="s">
        <v>47</v>
      </c>
      <c r="I168" s="1">
        <v>490</v>
      </c>
      <c r="J168" s="1">
        <v>12595</v>
      </c>
      <c r="K168" s="1">
        <v>1</v>
      </c>
      <c r="L168" s="1">
        <v>93</v>
      </c>
      <c r="M168" s="1">
        <v>2111</v>
      </c>
      <c r="N168" s="1" t="s">
        <v>48</v>
      </c>
      <c r="O168" s="1">
        <v>185086</v>
      </c>
      <c r="P168" s="1">
        <v>95</v>
      </c>
      <c r="Q168" s="1" t="s">
        <v>127</v>
      </c>
      <c r="R168" s="1" t="s">
        <v>50</v>
      </c>
      <c r="S168" s="1">
        <v>0</v>
      </c>
      <c r="T168" s="1">
        <v>0</v>
      </c>
      <c r="U168" s="1">
        <v>153.83099999999999</v>
      </c>
      <c r="V168" s="1">
        <v>24.013000000000002</v>
      </c>
      <c r="W168" s="1">
        <v>0.56000000000000005</v>
      </c>
      <c r="X168" s="1">
        <v>0.34499999999999997</v>
      </c>
      <c r="Y168" s="1">
        <v>24.359000000000002</v>
      </c>
      <c r="Z168" s="1">
        <v>0.245</v>
      </c>
      <c r="AA168" s="1">
        <v>-1.4</v>
      </c>
      <c r="AB168" s="1">
        <v>-1.4</v>
      </c>
      <c r="AC168" s="1">
        <v>-1.4</v>
      </c>
      <c r="AD168" s="1">
        <v>0.34499999999999997</v>
      </c>
      <c r="AE168" s="1">
        <v>0.23499999999999999</v>
      </c>
      <c r="AF168" s="1">
        <v>8.1000000000000003E-2</v>
      </c>
      <c r="AG168" s="1">
        <v>-1.4</v>
      </c>
      <c r="AI168" s="1">
        <v>0</v>
      </c>
      <c r="AJ168" s="1">
        <v>0</v>
      </c>
      <c r="AK168" s="1">
        <v>0</v>
      </c>
      <c r="AL168" s="1">
        <v>1</v>
      </c>
      <c r="AM168" s="1">
        <v>86400</v>
      </c>
      <c r="AN168" s="1">
        <v>81165</v>
      </c>
      <c r="AO168" s="1">
        <v>5235</v>
      </c>
      <c r="AP168" s="1">
        <v>46991</v>
      </c>
      <c r="AQ168" s="1">
        <v>1.6394359583819851</v>
      </c>
    </row>
    <row r="169" spans="1:43" x14ac:dyDescent="0.45">
      <c r="A169" s="1">
        <v>261</v>
      </c>
      <c r="B169" s="1">
        <v>439</v>
      </c>
      <c r="C169" s="1">
        <v>94</v>
      </c>
      <c r="D169" s="1" t="s">
        <v>82</v>
      </c>
      <c r="E169" s="1" t="s">
        <v>83</v>
      </c>
      <c r="F169" s="1" t="s">
        <v>84</v>
      </c>
      <c r="G169" s="1" t="s">
        <v>46</v>
      </c>
      <c r="H169" s="1" t="s">
        <v>47</v>
      </c>
      <c r="I169" s="1">
        <v>490</v>
      </c>
      <c r="J169" s="1">
        <v>12595</v>
      </c>
      <c r="K169" s="1">
        <v>1</v>
      </c>
      <c r="L169" s="1">
        <v>93</v>
      </c>
      <c r="M169" s="1">
        <v>2097</v>
      </c>
      <c r="N169" s="1" t="s">
        <v>48</v>
      </c>
      <c r="O169" s="1">
        <v>185064</v>
      </c>
      <c r="P169" s="1">
        <v>95</v>
      </c>
      <c r="Q169" s="1" t="s">
        <v>127</v>
      </c>
      <c r="R169" s="1" t="s">
        <v>50</v>
      </c>
      <c r="S169" s="1">
        <v>0</v>
      </c>
      <c r="T169" s="1">
        <v>0</v>
      </c>
      <c r="U169" s="1">
        <v>177.54</v>
      </c>
      <c r="V169" s="1">
        <v>23.756</v>
      </c>
      <c r="W169" s="1">
        <v>0.59</v>
      </c>
      <c r="X169" s="1">
        <v>0.34100000000000003</v>
      </c>
      <c r="Y169" s="1">
        <v>24.097000000000001</v>
      </c>
      <c r="Z169" s="1">
        <v>1.234</v>
      </c>
      <c r="AA169" s="1">
        <v>-3.1</v>
      </c>
      <c r="AB169" s="1">
        <v>-3.1</v>
      </c>
      <c r="AC169" s="1">
        <v>-3.1</v>
      </c>
      <c r="AD169" s="1">
        <v>0.34100000000000003</v>
      </c>
      <c r="AE169" s="1">
        <v>1.2310000000000001</v>
      </c>
      <c r="AF169" s="1">
        <v>0.42</v>
      </c>
      <c r="AG169" s="1">
        <v>-3.1</v>
      </c>
      <c r="AI169" s="1">
        <v>0</v>
      </c>
      <c r="AJ169" s="1">
        <v>0</v>
      </c>
      <c r="AK169" s="1">
        <v>0</v>
      </c>
      <c r="AL169" s="1">
        <v>1</v>
      </c>
      <c r="AM169" s="1">
        <v>86400</v>
      </c>
      <c r="AN169" s="1">
        <v>82017</v>
      </c>
      <c r="AO169" s="1">
        <v>4383</v>
      </c>
      <c r="AP169" s="1">
        <v>46964</v>
      </c>
      <c r="AQ169" s="1">
        <v>1.259733542848309</v>
      </c>
    </row>
    <row r="170" spans="1:43" x14ac:dyDescent="0.45">
      <c r="A170" s="1">
        <v>36</v>
      </c>
      <c r="B170" s="1">
        <v>26</v>
      </c>
      <c r="C170" s="1">
        <v>126</v>
      </c>
      <c r="D170" s="1" t="s">
        <v>51</v>
      </c>
      <c r="E170" s="1" t="s">
        <v>52</v>
      </c>
      <c r="F170" s="1" t="s">
        <v>53</v>
      </c>
      <c r="G170" s="1" t="s">
        <v>54</v>
      </c>
      <c r="H170" s="1" t="s">
        <v>47</v>
      </c>
      <c r="I170" s="1">
        <v>1113</v>
      </c>
      <c r="J170" s="1">
        <v>60690</v>
      </c>
      <c r="K170" s="1">
        <v>1</v>
      </c>
      <c r="L170" s="1">
        <v>125</v>
      </c>
      <c r="M170" s="1">
        <v>1697</v>
      </c>
      <c r="N170" s="1" t="s">
        <v>48</v>
      </c>
      <c r="O170" s="1">
        <v>15204</v>
      </c>
      <c r="P170" s="1">
        <v>95</v>
      </c>
      <c r="Q170" s="1" t="s">
        <v>127</v>
      </c>
      <c r="R170" s="1" t="s">
        <v>50</v>
      </c>
      <c r="S170" s="1">
        <v>0</v>
      </c>
      <c r="T170" s="1">
        <v>0</v>
      </c>
      <c r="U170" s="1">
        <v>79.594999999999999</v>
      </c>
      <c r="V170" s="1">
        <v>24.753</v>
      </c>
      <c r="W170" s="1">
        <v>0.68</v>
      </c>
      <c r="X170" s="1">
        <v>0.32500000000000001</v>
      </c>
      <c r="Y170" s="1">
        <v>25.077999999999999</v>
      </c>
      <c r="Z170" s="1">
        <v>4.3</v>
      </c>
      <c r="AA170" s="1">
        <v>-0.4</v>
      </c>
      <c r="AB170" s="1">
        <v>-0.4</v>
      </c>
      <c r="AC170" s="1">
        <v>-0.4</v>
      </c>
      <c r="AD170" s="1">
        <v>0.32500000000000001</v>
      </c>
      <c r="AE170" s="1">
        <v>4.2930000000000001</v>
      </c>
      <c r="AF170" s="1">
        <v>1.395</v>
      </c>
      <c r="AG170" s="1">
        <v>-0.4</v>
      </c>
      <c r="AI170" s="1">
        <v>0</v>
      </c>
      <c r="AJ170" s="1">
        <v>0</v>
      </c>
      <c r="AK170" s="1">
        <v>0</v>
      </c>
      <c r="AL170" s="1">
        <v>1</v>
      </c>
      <c r="AM170" s="1">
        <v>58378</v>
      </c>
      <c r="AN170" s="1">
        <v>17588</v>
      </c>
      <c r="AO170" s="1">
        <v>40790</v>
      </c>
      <c r="AP170" s="1">
        <v>47944</v>
      </c>
      <c r="AQ170" s="1">
        <v>19.459536924004158</v>
      </c>
    </row>
    <row r="171" spans="1:43" x14ac:dyDescent="0.45">
      <c r="A171" s="1">
        <v>56</v>
      </c>
      <c r="B171" s="1">
        <v>73</v>
      </c>
      <c r="C171" s="1">
        <v>83</v>
      </c>
      <c r="D171" s="1" t="s">
        <v>55</v>
      </c>
      <c r="E171" s="1" t="s">
        <v>56</v>
      </c>
      <c r="F171" s="1" t="s">
        <v>57</v>
      </c>
      <c r="G171" s="1" t="s">
        <v>46</v>
      </c>
      <c r="H171" s="1" t="s">
        <v>47</v>
      </c>
      <c r="I171" s="1">
        <v>1176</v>
      </c>
      <c r="J171" s="1">
        <v>30288</v>
      </c>
      <c r="K171" s="1">
        <v>1</v>
      </c>
      <c r="L171" s="1">
        <v>82</v>
      </c>
      <c r="M171" s="1">
        <v>2444</v>
      </c>
      <c r="N171" s="1" t="s">
        <v>48</v>
      </c>
      <c r="O171" s="1">
        <v>197622</v>
      </c>
      <c r="P171" s="1">
        <v>95</v>
      </c>
      <c r="Q171" s="1" t="s">
        <v>127</v>
      </c>
      <c r="R171" s="1" t="s">
        <v>50</v>
      </c>
      <c r="S171" s="1">
        <v>0</v>
      </c>
      <c r="T171" s="1">
        <v>0</v>
      </c>
      <c r="U171" s="1">
        <v>74.367000000000004</v>
      </c>
      <c r="V171" s="1">
        <v>25.289000000000001</v>
      </c>
      <c r="W171" s="1">
        <v>0.56000000000000005</v>
      </c>
      <c r="X171" s="1">
        <v>0.32</v>
      </c>
      <c r="Y171" s="1">
        <v>25.609000000000002</v>
      </c>
      <c r="Z171" s="1">
        <v>0.35</v>
      </c>
      <c r="AA171" s="1">
        <v>0.4</v>
      </c>
      <c r="AB171" s="1">
        <v>0.4</v>
      </c>
      <c r="AC171" s="1">
        <v>0.4</v>
      </c>
      <c r="AD171" s="1">
        <v>0.32</v>
      </c>
      <c r="AE171" s="1">
        <v>0.34899999999999998</v>
      </c>
      <c r="AF171" s="1">
        <v>0.112</v>
      </c>
      <c r="AG171" s="1">
        <v>0.4</v>
      </c>
      <c r="AI171" s="1">
        <v>0</v>
      </c>
      <c r="AJ171" s="1">
        <v>0</v>
      </c>
      <c r="AK171" s="1">
        <v>0</v>
      </c>
      <c r="AL171" s="1">
        <v>1</v>
      </c>
      <c r="AM171" s="1">
        <v>86400</v>
      </c>
      <c r="AN171" s="1">
        <v>81431</v>
      </c>
      <c r="AO171" s="1">
        <v>4969</v>
      </c>
      <c r="AP171" s="1">
        <v>46957</v>
      </c>
      <c r="AQ171" s="1">
        <v>16.15653130558637</v>
      </c>
    </row>
    <row r="172" spans="1:43" x14ac:dyDescent="0.45">
      <c r="A172" s="1">
        <v>33</v>
      </c>
      <c r="B172" s="1">
        <v>26</v>
      </c>
      <c r="C172" s="1">
        <v>126</v>
      </c>
      <c r="D172" s="1" t="s">
        <v>51</v>
      </c>
      <c r="E172" s="1" t="s">
        <v>52</v>
      </c>
      <c r="F172" s="1" t="s">
        <v>53</v>
      </c>
      <c r="G172" s="1" t="s">
        <v>54</v>
      </c>
      <c r="H172" s="1" t="s">
        <v>47</v>
      </c>
      <c r="I172" s="1">
        <v>1113</v>
      </c>
      <c r="J172" s="1">
        <v>60690</v>
      </c>
      <c r="K172" s="1">
        <v>1</v>
      </c>
      <c r="L172" s="1">
        <v>125</v>
      </c>
      <c r="M172" s="1">
        <v>1686</v>
      </c>
      <c r="N172" s="1" t="s">
        <v>48</v>
      </c>
      <c r="O172" s="1">
        <v>15184</v>
      </c>
      <c r="P172" s="1">
        <v>95</v>
      </c>
      <c r="Q172" s="1" t="s">
        <v>127</v>
      </c>
      <c r="R172" s="1" t="s">
        <v>50</v>
      </c>
      <c r="S172" s="1">
        <v>0</v>
      </c>
      <c r="T172" s="1">
        <v>0</v>
      </c>
      <c r="U172" s="1">
        <v>94.39</v>
      </c>
      <c r="V172" s="1">
        <v>24.486000000000001</v>
      </c>
      <c r="W172" s="1">
        <v>0.68</v>
      </c>
      <c r="X172" s="1">
        <v>0.31900000000000001</v>
      </c>
      <c r="Y172" s="1">
        <v>24.805</v>
      </c>
      <c r="Z172" s="1">
        <v>4.55</v>
      </c>
      <c r="AA172" s="1">
        <v>-0.6</v>
      </c>
      <c r="AB172" s="1">
        <v>-0.6</v>
      </c>
      <c r="AC172" s="1">
        <v>-0.6</v>
      </c>
      <c r="AD172" s="1">
        <v>0.31900000000000001</v>
      </c>
      <c r="AE172" s="1">
        <v>4.5439999999999996</v>
      </c>
      <c r="AF172" s="1">
        <v>1.4510000000000001</v>
      </c>
      <c r="AG172" s="1">
        <v>-0.6</v>
      </c>
      <c r="AI172" s="1">
        <v>0</v>
      </c>
      <c r="AJ172" s="1">
        <v>0</v>
      </c>
      <c r="AK172" s="1">
        <v>0</v>
      </c>
      <c r="AL172" s="1">
        <v>1</v>
      </c>
      <c r="AM172" s="1">
        <v>59326</v>
      </c>
      <c r="AN172" s="1">
        <v>23046</v>
      </c>
      <c r="AO172" s="1">
        <v>36280</v>
      </c>
      <c r="AP172" s="1">
        <v>47698</v>
      </c>
      <c r="AQ172" s="1">
        <v>12.83758631169958</v>
      </c>
    </row>
    <row r="173" spans="1:43" x14ac:dyDescent="0.45">
      <c r="A173" s="1">
        <v>12</v>
      </c>
      <c r="B173" s="1">
        <v>26</v>
      </c>
      <c r="C173" s="1">
        <v>126</v>
      </c>
      <c r="D173" s="1" t="s">
        <v>51</v>
      </c>
      <c r="E173" s="1" t="s">
        <v>52</v>
      </c>
      <c r="F173" s="1" t="s">
        <v>53</v>
      </c>
      <c r="G173" s="1" t="s">
        <v>54</v>
      </c>
      <c r="H173" s="1" t="s">
        <v>47</v>
      </c>
      <c r="I173" s="1">
        <v>1113</v>
      </c>
      <c r="J173" s="1">
        <v>60690</v>
      </c>
      <c r="K173" s="1">
        <v>1</v>
      </c>
      <c r="L173" s="1">
        <v>125</v>
      </c>
      <c r="M173" s="1">
        <v>956</v>
      </c>
      <c r="N173" s="1" t="s">
        <v>48</v>
      </c>
      <c r="O173" s="1">
        <v>13939</v>
      </c>
      <c r="P173" s="1">
        <v>95</v>
      </c>
      <c r="Q173" s="1" t="s">
        <v>127</v>
      </c>
      <c r="R173" s="1" t="s">
        <v>50</v>
      </c>
      <c r="S173" s="1">
        <v>0</v>
      </c>
      <c r="T173" s="1">
        <v>0</v>
      </c>
      <c r="U173" s="1">
        <v>50.188000000000002</v>
      </c>
      <c r="V173" s="1">
        <v>26.661999999999999</v>
      </c>
      <c r="W173" s="1">
        <v>0.59</v>
      </c>
      <c r="X173" s="1">
        <v>0.317</v>
      </c>
      <c r="Y173" s="1">
        <v>26.978999999999999</v>
      </c>
      <c r="Z173" s="1">
        <v>1.3129999999999999</v>
      </c>
      <c r="AA173" s="1">
        <v>0.5</v>
      </c>
      <c r="AB173" s="1">
        <v>0.5</v>
      </c>
      <c r="AC173" s="1">
        <v>0.5</v>
      </c>
      <c r="AD173" s="1">
        <v>0.317</v>
      </c>
      <c r="AE173" s="1">
        <v>1.3120000000000001</v>
      </c>
      <c r="AF173" s="1">
        <v>0.41599999999999998</v>
      </c>
      <c r="AG173" s="1">
        <v>0.5</v>
      </c>
      <c r="AI173" s="1">
        <v>0</v>
      </c>
      <c r="AJ173" s="1">
        <v>0</v>
      </c>
      <c r="AK173" s="1">
        <v>0</v>
      </c>
      <c r="AL173" s="1">
        <v>1</v>
      </c>
      <c r="AM173" s="1">
        <v>86400</v>
      </c>
      <c r="AN173" s="1">
        <v>78078</v>
      </c>
      <c r="AO173" s="1">
        <v>8322</v>
      </c>
      <c r="AP173" s="1">
        <v>47031</v>
      </c>
      <c r="AQ173" s="1">
        <v>2.0159687930275378</v>
      </c>
    </row>
    <row r="174" spans="1:43" x14ac:dyDescent="0.45">
      <c r="A174" s="1">
        <v>5</v>
      </c>
      <c r="B174" s="1">
        <v>1</v>
      </c>
      <c r="C174" s="1">
        <v>90</v>
      </c>
      <c r="D174" s="1" t="s">
        <v>43</v>
      </c>
      <c r="E174" s="1" t="s">
        <v>44</v>
      </c>
      <c r="F174" s="1" t="s">
        <v>45</v>
      </c>
      <c r="G174" s="1" t="s">
        <v>46</v>
      </c>
      <c r="H174" s="1" t="s">
        <v>47</v>
      </c>
      <c r="I174" s="1">
        <v>535</v>
      </c>
      <c r="J174" s="1">
        <v>12723</v>
      </c>
      <c r="K174" s="1">
        <v>1</v>
      </c>
      <c r="L174" s="1">
        <v>89</v>
      </c>
      <c r="M174" s="1">
        <v>1853</v>
      </c>
      <c r="N174" s="1" t="s">
        <v>48</v>
      </c>
      <c r="O174" s="1">
        <v>20411</v>
      </c>
      <c r="P174" s="1">
        <v>95</v>
      </c>
      <c r="Q174" s="1" t="s">
        <v>127</v>
      </c>
      <c r="R174" s="1" t="s">
        <v>50</v>
      </c>
      <c r="S174" s="1">
        <v>0</v>
      </c>
      <c r="T174" s="1">
        <v>0</v>
      </c>
      <c r="U174" s="1">
        <v>128.02099999999999</v>
      </c>
      <c r="V174" s="1">
        <v>24.83</v>
      </c>
      <c r="W174" s="1">
        <v>0.55000000000000004</v>
      </c>
      <c r="X174" s="1">
        <v>0.313</v>
      </c>
      <c r="Y174" s="1">
        <v>25.143000000000001</v>
      </c>
      <c r="Z174" s="1">
        <v>0.24099999999999999</v>
      </c>
      <c r="AA174" s="1">
        <v>-1.4</v>
      </c>
      <c r="AB174" s="1">
        <v>-1.4</v>
      </c>
      <c r="AC174" s="1">
        <v>-1.4</v>
      </c>
      <c r="AD174" s="1">
        <v>0.313</v>
      </c>
      <c r="AE174" s="1">
        <v>0.24099999999999999</v>
      </c>
      <c r="AF174" s="1">
        <v>7.4999999999999997E-2</v>
      </c>
      <c r="AG174" s="1">
        <v>-1.4</v>
      </c>
      <c r="AI174" s="1">
        <v>0</v>
      </c>
      <c r="AJ174" s="1">
        <v>0</v>
      </c>
      <c r="AK174" s="1">
        <v>0</v>
      </c>
      <c r="AL174" s="1">
        <v>1</v>
      </c>
      <c r="AM174" s="1">
        <v>86400</v>
      </c>
      <c r="AN174" s="1">
        <v>81752</v>
      </c>
      <c r="AO174" s="1">
        <v>4648</v>
      </c>
      <c r="AP174" s="1">
        <v>43371</v>
      </c>
      <c r="AQ174" s="1">
        <v>28.711608171234531</v>
      </c>
    </row>
    <row r="175" spans="1:43" x14ac:dyDescent="0.45">
      <c r="A175" s="1">
        <v>149</v>
      </c>
      <c r="B175" s="1">
        <v>128</v>
      </c>
      <c r="C175" s="1">
        <v>88</v>
      </c>
      <c r="D175" s="1" t="s">
        <v>115</v>
      </c>
      <c r="E175" s="1" t="s">
        <v>116</v>
      </c>
      <c r="F175" s="1" t="s">
        <v>117</v>
      </c>
      <c r="G175" s="1" t="s">
        <v>54</v>
      </c>
      <c r="H175" s="1" t="s">
        <v>47</v>
      </c>
      <c r="I175" s="1">
        <v>830</v>
      </c>
      <c r="J175" s="1">
        <v>39746</v>
      </c>
      <c r="K175" s="1">
        <v>1</v>
      </c>
      <c r="L175" s="1">
        <v>87</v>
      </c>
      <c r="M175" s="1">
        <v>2367</v>
      </c>
      <c r="N175" s="1" t="s">
        <v>48</v>
      </c>
      <c r="O175" s="1">
        <v>195325</v>
      </c>
      <c r="P175" s="1">
        <v>95</v>
      </c>
      <c r="Q175" s="1" t="s">
        <v>127</v>
      </c>
      <c r="R175" s="1" t="s">
        <v>50</v>
      </c>
      <c r="S175" s="1">
        <v>0</v>
      </c>
      <c r="T175" s="1">
        <v>0</v>
      </c>
      <c r="U175" s="1">
        <v>69.257000000000005</v>
      </c>
      <c r="V175" s="1">
        <v>25.234000000000002</v>
      </c>
      <c r="W175" s="1">
        <v>0.56999999999999995</v>
      </c>
      <c r="X175" s="1">
        <v>0.312</v>
      </c>
      <c r="Y175" s="1">
        <v>25.545999999999999</v>
      </c>
      <c r="Z175" s="1">
        <v>0.60799999999999998</v>
      </c>
      <c r="AA175" s="1">
        <v>-1.2</v>
      </c>
      <c r="AB175" s="1">
        <v>-1.2</v>
      </c>
      <c r="AC175" s="1">
        <v>-1.2</v>
      </c>
      <c r="AD175" s="1">
        <v>0.312</v>
      </c>
      <c r="AE175" s="1">
        <v>0.60799999999999998</v>
      </c>
      <c r="AF175" s="1">
        <v>0.19</v>
      </c>
      <c r="AG175" s="1">
        <v>-1.2</v>
      </c>
      <c r="AI175" s="1">
        <v>0</v>
      </c>
      <c r="AJ175" s="1">
        <v>0</v>
      </c>
      <c r="AK175" s="1">
        <v>0</v>
      </c>
      <c r="AL175" s="1">
        <v>1</v>
      </c>
      <c r="AM175" s="1">
        <v>51617</v>
      </c>
      <c r="AN175" s="1">
        <v>4480</v>
      </c>
      <c r="AO175" s="1">
        <v>47137</v>
      </c>
      <c r="AP175" s="1">
        <v>48713</v>
      </c>
      <c r="AQ175" s="1">
        <v>16.41623868931535</v>
      </c>
    </row>
    <row r="176" spans="1:43" x14ac:dyDescent="0.45">
      <c r="A176" s="1">
        <v>220</v>
      </c>
      <c r="B176" s="1">
        <v>181</v>
      </c>
      <c r="C176" s="1">
        <v>75</v>
      </c>
      <c r="D176" s="1" t="s">
        <v>64</v>
      </c>
      <c r="E176" s="1" t="s">
        <v>65</v>
      </c>
      <c r="F176" s="1" t="s">
        <v>66</v>
      </c>
      <c r="G176" s="1" t="s">
        <v>46</v>
      </c>
      <c r="H176" s="1" t="s">
        <v>47</v>
      </c>
      <c r="I176" s="1">
        <v>1170</v>
      </c>
      <c r="J176" s="1">
        <v>33499</v>
      </c>
      <c r="K176" s="1">
        <v>1</v>
      </c>
      <c r="L176" s="1">
        <v>74</v>
      </c>
      <c r="M176" s="1">
        <v>2138</v>
      </c>
      <c r="N176" s="1" t="s">
        <v>48</v>
      </c>
      <c r="O176" s="1">
        <v>194036</v>
      </c>
      <c r="P176" s="1">
        <v>95</v>
      </c>
      <c r="Q176" s="1" t="s">
        <v>127</v>
      </c>
      <c r="R176" s="1" t="s">
        <v>50</v>
      </c>
      <c r="S176" s="1">
        <v>0</v>
      </c>
      <c r="T176" s="1">
        <v>0</v>
      </c>
      <c r="U176" s="1">
        <v>97.998000000000005</v>
      </c>
      <c r="V176" s="1">
        <v>25.119</v>
      </c>
      <c r="W176" s="1">
        <v>0.55000000000000004</v>
      </c>
      <c r="X176" s="1">
        <v>0.311</v>
      </c>
      <c r="Y176" s="1">
        <v>25.43</v>
      </c>
      <c r="Z176" s="1">
        <v>0.24</v>
      </c>
      <c r="AA176" s="1">
        <v>-0.3</v>
      </c>
      <c r="AB176" s="1">
        <v>-1.2</v>
      </c>
      <c r="AC176" s="1">
        <v>-1.2</v>
      </c>
      <c r="AD176" s="1">
        <v>0.311</v>
      </c>
      <c r="AE176" s="1">
        <v>9.5000000000000001E-2</v>
      </c>
      <c r="AF176" s="1">
        <v>3.4000000000000002E-2</v>
      </c>
      <c r="AG176" s="1">
        <v>-0.3</v>
      </c>
      <c r="AI176" s="1">
        <v>0</v>
      </c>
      <c r="AJ176" s="1">
        <v>0</v>
      </c>
      <c r="AK176" s="1">
        <v>0</v>
      </c>
      <c r="AL176" s="1">
        <v>1</v>
      </c>
      <c r="AM176" s="1">
        <v>54969</v>
      </c>
      <c r="AN176" s="1">
        <v>11648</v>
      </c>
      <c r="AO176" s="1">
        <v>43321</v>
      </c>
      <c r="AP176" s="1">
        <v>50216</v>
      </c>
      <c r="AQ176" s="1">
        <v>18.226786881918109</v>
      </c>
    </row>
    <row r="177" spans="1:43" x14ac:dyDescent="0.45">
      <c r="A177" s="1">
        <v>259</v>
      </c>
      <c r="B177" s="1">
        <v>439</v>
      </c>
      <c r="C177" s="1">
        <v>94</v>
      </c>
      <c r="D177" s="1" t="s">
        <v>82</v>
      </c>
      <c r="E177" s="1" t="s">
        <v>83</v>
      </c>
      <c r="F177" s="1" t="s">
        <v>84</v>
      </c>
      <c r="G177" s="1" t="s">
        <v>46</v>
      </c>
      <c r="H177" s="1" t="s">
        <v>47</v>
      </c>
      <c r="I177" s="1">
        <v>490</v>
      </c>
      <c r="J177" s="1">
        <v>12595</v>
      </c>
      <c r="K177" s="1">
        <v>1</v>
      </c>
      <c r="L177" s="1">
        <v>93</v>
      </c>
      <c r="M177" s="1">
        <v>2095</v>
      </c>
      <c r="N177" s="1" t="s">
        <v>48</v>
      </c>
      <c r="O177" s="1">
        <v>185062</v>
      </c>
      <c r="P177" s="1">
        <v>95</v>
      </c>
      <c r="Q177" s="1" t="s">
        <v>127</v>
      </c>
      <c r="R177" s="1" t="s">
        <v>50</v>
      </c>
      <c r="S177" s="1">
        <v>0</v>
      </c>
      <c r="T177" s="1">
        <v>0</v>
      </c>
      <c r="U177" s="1">
        <v>817.89</v>
      </c>
      <c r="V177" s="1">
        <v>23.803000000000001</v>
      </c>
      <c r="W177" s="1">
        <v>0.56999999999999995</v>
      </c>
      <c r="X177" s="1">
        <v>0.307</v>
      </c>
      <c r="Y177" s="1">
        <v>24.11</v>
      </c>
      <c r="Z177" s="1">
        <v>0.73299999999999998</v>
      </c>
      <c r="AA177" s="1">
        <v>-3</v>
      </c>
      <c r="AB177" s="1">
        <v>-3</v>
      </c>
      <c r="AC177" s="1">
        <v>-3</v>
      </c>
      <c r="AD177" s="1">
        <v>0.307</v>
      </c>
      <c r="AE177" s="1">
        <v>0.73099999999999998</v>
      </c>
      <c r="AF177" s="1">
        <v>0.224</v>
      </c>
      <c r="AG177" s="1">
        <v>-3</v>
      </c>
      <c r="AI177" s="1">
        <v>0</v>
      </c>
      <c r="AJ177" s="1">
        <v>0</v>
      </c>
      <c r="AK177" s="1">
        <v>0</v>
      </c>
      <c r="AL177" s="1">
        <v>1</v>
      </c>
      <c r="AM177" s="1">
        <v>86400</v>
      </c>
      <c r="AN177" s="1">
        <v>81946</v>
      </c>
      <c r="AO177" s="1">
        <v>4454</v>
      </c>
      <c r="AP177" s="1">
        <v>46886</v>
      </c>
      <c r="AQ177" s="1">
        <v>1.100552351128296</v>
      </c>
    </row>
    <row r="178" spans="1:43" x14ac:dyDescent="0.45">
      <c r="A178" s="1">
        <v>236</v>
      </c>
      <c r="B178" s="1">
        <v>332</v>
      </c>
      <c r="C178" s="1">
        <v>25</v>
      </c>
      <c r="D178" s="1" t="s">
        <v>70</v>
      </c>
      <c r="E178" s="1" t="s">
        <v>71</v>
      </c>
      <c r="F178" s="1" t="s">
        <v>72</v>
      </c>
      <c r="G178" s="1" t="s">
        <v>46</v>
      </c>
      <c r="H178" s="1" t="s">
        <v>47</v>
      </c>
      <c r="I178" s="1">
        <v>664</v>
      </c>
      <c r="J178" s="1">
        <v>19970</v>
      </c>
      <c r="K178" s="1">
        <v>1</v>
      </c>
      <c r="L178" s="1">
        <v>24</v>
      </c>
      <c r="M178" s="1">
        <v>2068</v>
      </c>
      <c r="N178" s="1" t="s">
        <v>48</v>
      </c>
      <c r="O178" s="1">
        <v>183857</v>
      </c>
      <c r="P178" s="1">
        <v>95</v>
      </c>
      <c r="Q178" s="1" t="s">
        <v>127</v>
      </c>
      <c r="R178" s="1" t="s">
        <v>50</v>
      </c>
      <c r="S178" s="1">
        <v>0</v>
      </c>
      <c r="T178" s="1">
        <v>0</v>
      </c>
      <c r="U178" s="1">
        <v>97.05</v>
      </c>
      <c r="V178" s="1">
        <v>27.024000000000001</v>
      </c>
      <c r="W178" s="1">
        <v>0.56000000000000005</v>
      </c>
      <c r="X178" s="1">
        <v>0.30599999999999999</v>
      </c>
      <c r="Y178" s="1">
        <v>27.33</v>
      </c>
      <c r="Z178" s="1">
        <v>0.34599999999999997</v>
      </c>
      <c r="AA178" s="1">
        <v>-1.9</v>
      </c>
      <c r="AB178" s="1">
        <v>-1.4</v>
      </c>
      <c r="AC178" s="1">
        <v>-1.4</v>
      </c>
      <c r="AD178" s="1">
        <v>0.30599999999999999</v>
      </c>
      <c r="AE178" s="1">
        <v>0.32600000000000001</v>
      </c>
      <c r="AF178" s="1">
        <v>0.1</v>
      </c>
      <c r="AG178" s="1">
        <v>-1.9</v>
      </c>
      <c r="AI178" s="1">
        <v>0</v>
      </c>
      <c r="AJ178" s="1">
        <v>0</v>
      </c>
      <c r="AK178" s="1">
        <v>0</v>
      </c>
      <c r="AL178" s="1">
        <v>1</v>
      </c>
      <c r="AM178" s="1">
        <v>86400</v>
      </c>
      <c r="AN178" s="1">
        <v>81622</v>
      </c>
      <c r="AO178" s="1">
        <v>4778</v>
      </c>
      <c r="AP178" s="1">
        <v>47083</v>
      </c>
      <c r="AQ178" s="1">
        <v>12.13985088347876</v>
      </c>
    </row>
    <row r="179" spans="1:43" x14ac:dyDescent="0.45">
      <c r="A179" s="1">
        <v>157</v>
      </c>
      <c r="B179" s="1">
        <v>142</v>
      </c>
      <c r="C179" s="1">
        <v>78</v>
      </c>
      <c r="D179" s="1" t="s">
        <v>67</v>
      </c>
      <c r="E179" s="1" t="s">
        <v>68</v>
      </c>
      <c r="F179" s="1" t="s">
        <v>69</v>
      </c>
      <c r="G179" s="1" t="s">
        <v>46</v>
      </c>
      <c r="H179" s="1" t="s">
        <v>47</v>
      </c>
      <c r="I179" s="1">
        <v>1163</v>
      </c>
      <c r="J179" s="1">
        <v>33073</v>
      </c>
      <c r="K179" s="1">
        <v>1</v>
      </c>
      <c r="L179" s="1">
        <v>77</v>
      </c>
      <c r="M179" s="1">
        <v>2254</v>
      </c>
      <c r="N179" s="1" t="s">
        <v>48</v>
      </c>
      <c r="O179" s="1">
        <v>194321</v>
      </c>
      <c r="P179" s="1">
        <v>95</v>
      </c>
      <c r="Q179" s="1" t="s">
        <v>127</v>
      </c>
      <c r="R179" s="1" t="s">
        <v>50</v>
      </c>
      <c r="S179" s="1">
        <v>0</v>
      </c>
      <c r="T179" s="1">
        <v>0</v>
      </c>
      <c r="U179" s="1">
        <v>430.35700000000003</v>
      </c>
      <c r="V179" s="1">
        <v>25.529</v>
      </c>
      <c r="W179" s="1">
        <v>0.55000000000000004</v>
      </c>
      <c r="X179" s="1">
        <v>0.3</v>
      </c>
      <c r="Y179" s="1">
        <v>25.829000000000001</v>
      </c>
      <c r="Z179" s="1">
        <v>0.157</v>
      </c>
      <c r="AA179" s="1">
        <v>-0.7</v>
      </c>
      <c r="AB179" s="1">
        <v>-0.7</v>
      </c>
      <c r="AC179" s="1">
        <v>-0.7</v>
      </c>
      <c r="AD179" s="1">
        <v>0.3</v>
      </c>
      <c r="AE179" s="1">
        <v>0.156</v>
      </c>
      <c r="AF179" s="1">
        <v>4.7E-2</v>
      </c>
      <c r="AG179" s="1">
        <v>-0.7</v>
      </c>
      <c r="AI179" s="1">
        <v>0</v>
      </c>
      <c r="AJ179" s="1">
        <v>0</v>
      </c>
      <c r="AK179" s="1">
        <v>0</v>
      </c>
      <c r="AL179" s="1">
        <v>1</v>
      </c>
      <c r="AM179" s="1">
        <v>86400</v>
      </c>
      <c r="AN179" s="1">
        <v>80222</v>
      </c>
      <c r="AO179" s="1">
        <v>6178</v>
      </c>
      <c r="AP179" s="1">
        <v>44099</v>
      </c>
      <c r="AQ179" s="1">
        <v>0.81082726490215773</v>
      </c>
    </row>
    <row r="180" spans="1:43" x14ac:dyDescent="0.45">
      <c r="A180" s="1">
        <v>62</v>
      </c>
      <c r="B180" s="1">
        <v>74</v>
      </c>
      <c r="C180" s="1">
        <v>83</v>
      </c>
      <c r="D180" s="1" t="s">
        <v>55</v>
      </c>
      <c r="E180" s="1" t="s">
        <v>56</v>
      </c>
      <c r="F180" s="1" t="s">
        <v>57</v>
      </c>
      <c r="G180" s="1" t="s">
        <v>46</v>
      </c>
      <c r="H180" s="1" t="s">
        <v>47</v>
      </c>
      <c r="I180" s="1">
        <v>1176</v>
      </c>
      <c r="J180" s="1">
        <v>30288</v>
      </c>
      <c r="K180" s="1">
        <v>1</v>
      </c>
      <c r="L180" s="1">
        <v>82</v>
      </c>
      <c r="M180" s="1">
        <v>2412</v>
      </c>
      <c r="N180" s="1" t="s">
        <v>48</v>
      </c>
      <c r="O180" s="1">
        <v>197520</v>
      </c>
      <c r="P180" s="1">
        <v>95</v>
      </c>
      <c r="Q180" s="1" t="s">
        <v>127</v>
      </c>
      <c r="R180" s="1" t="s">
        <v>50</v>
      </c>
      <c r="S180" s="1">
        <v>0</v>
      </c>
      <c r="T180" s="1">
        <v>0</v>
      </c>
      <c r="U180" s="1">
        <v>236.95699999999999</v>
      </c>
      <c r="V180" s="1">
        <v>25.372</v>
      </c>
      <c r="W180" s="1">
        <v>0.55000000000000004</v>
      </c>
      <c r="X180" s="1">
        <v>0.28499999999999998</v>
      </c>
      <c r="Y180" s="1">
        <v>25.657</v>
      </c>
      <c r="Z180" s="1">
        <v>0.115</v>
      </c>
      <c r="AA180" s="1">
        <v>0.1</v>
      </c>
      <c r="AB180" s="1">
        <v>0.1</v>
      </c>
      <c r="AC180" s="1">
        <v>0.1</v>
      </c>
      <c r="AD180" s="1">
        <v>0.28499999999999998</v>
      </c>
      <c r="AE180" s="1">
        <v>0.112</v>
      </c>
      <c r="AF180" s="1">
        <v>3.2000000000000001E-2</v>
      </c>
      <c r="AG180" s="1">
        <v>0.1</v>
      </c>
      <c r="AI180" s="1">
        <v>0</v>
      </c>
      <c r="AJ180" s="1">
        <v>0</v>
      </c>
      <c r="AK180" s="1">
        <v>0</v>
      </c>
      <c r="AL180" s="1">
        <v>1</v>
      </c>
      <c r="AM180" s="1">
        <v>86400</v>
      </c>
      <c r="AN180" s="1">
        <v>81582</v>
      </c>
      <c r="AO180" s="1">
        <v>4818</v>
      </c>
      <c r="AP180" s="1">
        <v>47198</v>
      </c>
      <c r="AQ180" s="1">
        <v>24.89810128895984</v>
      </c>
    </row>
    <row r="181" spans="1:43" x14ac:dyDescent="0.45">
      <c r="A181" s="1">
        <v>214</v>
      </c>
      <c r="B181" s="1">
        <v>181</v>
      </c>
      <c r="C181" s="1">
        <v>75</v>
      </c>
      <c r="D181" s="1" t="s">
        <v>64</v>
      </c>
      <c r="E181" s="1" t="s">
        <v>65</v>
      </c>
      <c r="F181" s="1" t="s">
        <v>66</v>
      </c>
      <c r="G181" s="1" t="s">
        <v>46</v>
      </c>
      <c r="H181" s="1" t="s">
        <v>47</v>
      </c>
      <c r="I181" s="1">
        <v>1170</v>
      </c>
      <c r="J181" s="1">
        <v>33499</v>
      </c>
      <c r="K181" s="1">
        <v>1</v>
      </c>
      <c r="L181" s="1">
        <v>74</v>
      </c>
      <c r="M181" s="1">
        <v>2127</v>
      </c>
      <c r="N181" s="1" t="s">
        <v>48</v>
      </c>
      <c r="O181" s="1">
        <v>194017</v>
      </c>
      <c r="P181" s="1">
        <v>95</v>
      </c>
      <c r="Q181" s="1" t="s">
        <v>127</v>
      </c>
      <c r="R181" s="1" t="s">
        <v>50</v>
      </c>
      <c r="S181" s="1">
        <v>0</v>
      </c>
      <c r="T181" s="1">
        <v>0</v>
      </c>
      <c r="U181" s="1">
        <v>727.47</v>
      </c>
      <c r="V181" s="1">
        <v>25.146000000000001</v>
      </c>
      <c r="W181" s="1">
        <v>0.55000000000000004</v>
      </c>
      <c r="X181" s="1">
        <v>0.28399999999999997</v>
      </c>
      <c r="Y181" s="1">
        <v>25.43</v>
      </c>
      <c r="Z181" s="1">
        <v>0.34200000000000003</v>
      </c>
      <c r="AA181" s="1">
        <v>2.1</v>
      </c>
      <c r="AB181" s="1">
        <v>2.9</v>
      </c>
      <c r="AC181" s="1">
        <v>2.9</v>
      </c>
      <c r="AD181" s="1">
        <v>0.28399999999999997</v>
      </c>
      <c r="AE181" s="1">
        <v>9.9000000000000005E-2</v>
      </c>
      <c r="AF181" s="1">
        <v>3.2000000000000001E-2</v>
      </c>
      <c r="AG181" s="1">
        <v>2.1</v>
      </c>
      <c r="AI181" s="1">
        <v>0</v>
      </c>
      <c r="AJ181" s="1">
        <v>0</v>
      </c>
      <c r="AK181" s="1">
        <v>0</v>
      </c>
      <c r="AL181" s="1">
        <v>1</v>
      </c>
      <c r="AM181" s="1">
        <v>54877</v>
      </c>
      <c r="AN181" s="1">
        <v>11616</v>
      </c>
      <c r="AO181" s="1">
        <v>43260</v>
      </c>
      <c r="AP181" s="1">
        <v>50262</v>
      </c>
      <c r="AQ181" s="1">
        <v>35.644168290790113</v>
      </c>
    </row>
    <row r="182" spans="1:43" x14ac:dyDescent="0.45">
      <c r="A182" s="1">
        <v>38</v>
      </c>
      <c r="B182" s="1">
        <v>26</v>
      </c>
      <c r="C182" s="1">
        <v>126</v>
      </c>
      <c r="D182" s="1" t="s">
        <v>51</v>
      </c>
      <c r="E182" s="1" t="s">
        <v>52</v>
      </c>
      <c r="F182" s="1" t="s">
        <v>53</v>
      </c>
      <c r="G182" s="1" t="s">
        <v>54</v>
      </c>
      <c r="H182" s="1" t="s">
        <v>47</v>
      </c>
      <c r="I182" s="1">
        <v>1113</v>
      </c>
      <c r="J182" s="1">
        <v>60690</v>
      </c>
      <c r="K182" s="1">
        <v>1</v>
      </c>
      <c r="L182" s="1">
        <v>125</v>
      </c>
      <c r="M182" s="1">
        <v>1701</v>
      </c>
      <c r="N182" s="1" t="s">
        <v>48</v>
      </c>
      <c r="O182" s="1">
        <v>15209</v>
      </c>
      <c r="P182" s="1">
        <v>95</v>
      </c>
      <c r="Q182" s="1" t="s">
        <v>127</v>
      </c>
      <c r="R182" s="1" t="s">
        <v>50</v>
      </c>
      <c r="S182" s="1">
        <v>0</v>
      </c>
      <c r="T182" s="1">
        <v>0</v>
      </c>
      <c r="U182" s="1">
        <v>81.462000000000003</v>
      </c>
      <c r="V182" s="1">
        <v>25.463000000000001</v>
      </c>
      <c r="W182" s="1">
        <v>0.65</v>
      </c>
      <c r="X182" s="1">
        <v>0.28299999999999997</v>
      </c>
      <c r="Y182" s="1">
        <v>25.745999999999999</v>
      </c>
      <c r="Z182" s="1">
        <v>4.0919999999999996</v>
      </c>
      <c r="AA182" s="1">
        <v>-0.4</v>
      </c>
      <c r="AB182" s="1">
        <v>-0.4</v>
      </c>
      <c r="AC182" s="1">
        <v>-0.4</v>
      </c>
      <c r="AD182" s="1">
        <v>0.28299999999999997</v>
      </c>
      <c r="AE182" s="1">
        <v>4.0860000000000003</v>
      </c>
      <c r="AF182" s="1">
        <v>1.155</v>
      </c>
      <c r="AG182" s="1">
        <v>-0.4</v>
      </c>
      <c r="AI182" s="1">
        <v>0</v>
      </c>
      <c r="AJ182" s="1">
        <v>0</v>
      </c>
      <c r="AK182" s="1">
        <v>0</v>
      </c>
      <c r="AL182" s="1">
        <v>1</v>
      </c>
      <c r="AM182" s="1">
        <v>59108</v>
      </c>
      <c r="AN182" s="1">
        <v>19426</v>
      </c>
      <c r="AO182" s="1">
        <v>39681</v>
      </c>
      <c r="AP182" s="1">
        <v>47583</v>
      </c>
      <c r="AQ182" s="1">
        <v>19.44385401632449</v>
      </c>
    </row>
    <row r="183" spans="1:43" x14ac:dyDescent="0.45">
      <c r="A183" s="1">
        <v>55</v>
      </c>
      <c r="B183" s="1">
        <v>73</v>
      </c>
      <c r="C183" s="1">
        <v>83</v>
      </c>
      <c r="D183" s="1" t="s">
        <v>55</v>
      </c>
      <c r="E183" s="1" t="s">
        <v>56</v>
      </c>
      <c r="F183" s="1" t="s">
        <v>57</v>
      </c>
      <c r="G183" s="1" t="s">
        <v>46</v>
      </c>
      <c r="H183" s="1" t="s">
        <v>47</v>
      </c>
      <c r="I183" s="1">
        <v>1176</v>
      </c>
      <c r="J183" s="1">
        <v>30288</v>
      </c>
      <c r="K183" s="1">
        <v>1</v>
      </c>
      <c r="L183" s="1">
        <v>82</v>
      </c>
      <c r="M183" s="1">
        <v>2443</v>
      </c>
      <c r="N183" s="1" t="s">
        <v>48</v>
      </c>
      <c r="O183" s="1">
        <v>197620</v>
      </c>
      <c r="P183" s="1">
        <v>95</v>
      </c>
      <c r="Q183" s="1" t="s">
        <v>127</v>
      </c>
      <c r="R183" s="1" t="s">
        <v>50</v>
      </c>
      <c r="S183" s="1">
        <v>0</v>
      </c>
      <c r="T183" s="1">
        <v>0</v>
      </c>
      <c r="U183" s="1">
        <v>87.173000000000002</v>
      </c>
      <c r="V183" s="1">
        <v>25.33</v>
      </c>
      <c r="W183" s="1">
        <v>0.55000000000000004</v>
      </c>
      <c r="X183" s="1">
        <v>0.28199999999999997</v>
      </c>
      <c r="Y183" s="1">
        <v>25.611999999999998</v>
      </c>
      <c r="Z183" s="1">
        <v>0.28599999999999998</v>
      </c>
      <c r="AA183" s="1">
        <v>0.3</v>
      </c>
      <c r="AB183" s="1">
        <v>0.3</v>
      </c>
      <c r="AC183" s="1">
        <v>0.3</v>
      </c>
      <c r="AD183" s="1">
        <v>0.28199999999999997</v>
      </c>
      <c r="AE183" s="1">
        <v>0.28499999999999998</v>
      </c>
      <c r="AF183" s="1">
        <v>8.1000000000000003E-2</v>
      </c>
      <c r="AG183" s="1">
        <v>0.3</v>
      </c>
      <c r="AI183" s="1">
        <v>0</v>
      </c>
      <c r="AJ183" s="1">
        <v>0</v>
      </c>
      <c r="AK183" s="1">
        <v>0</v>
      </c>
      <c r="AL183" s="1">
        <v>1</v>
      </c>
      <c r="AM183" s="1">
        <v>86400</v>
      </c>
      <c r="AN183" s="1">
        <v>80650</v>
      </c>
      <c r="AO183" s="1">
        <v>5750</v>
      </c>
      <c r="AP183" s="1">
        <v>47116</v>
      </c>
      <c r="AQ183" s="1">
        <v>3.5045953332990272</v>
      </c>
    </row>
    <row r="184" spans="1:43" x14ac:dyDescent="0.45">
      <c r="A184" s="1">
        <v>258</v>
      </c>
      <c r="B184" s="1">
        <v>439</v>
      </c>
      <c r="C184" s="1">
        <v>94</v>
      </c>
      <c r="D184" s="1" t="s">
        <v>82</v>
      </c>
      <c r="E184" s="1" t="s">
        <v>83</v>
      </c>
      <c r="F184" s="1" t="s">
        <v>84</v>
      </c>
      <c r="G184" s="1" t="s">
        <v>46</v>
      </c>
      <c r="H184" s="1" t="s">
        <v>47</v>
      </c>
      <c r="I184" s="1">
        <v>490</v>
      </c>
      <c r="J184" s="1">
        <v>12595</v>
      </c>
      <c r="K184" s="1">
        <v>1</v>
      </c>
      <c r="L184" s="1">
        <v>93</v>
      </c>
      <c r="M184" s="1">
        <v>2094</v>
      </c>
      <c r="N184" s="1" t="s">
        <v>48</v>
      </c>
      <c r="O184" s="1">
        <v>185061</v>
      </c>
      <c r="P184" s="1">
        <v>95</v>
      </c>
      <c r="Q184" s="1" t="s">
        <v>127</v>
      </c>
      <c r="R184" s="1" t="s">
        <v>50</v>
      </c>
      <c r="S184" s="1">
        <v>0</v>
      </c>
      <c r="T184" s="1">
        <v>0</v>
      </c>
      <c r="U184" s="1">
        <v>504.226</v>
      </c>
      <c r="V184" s="1">
        <v>23.829000000000001</v>
      </c>
      <c r="W184" s="1">
        <v>0.56000000000000005</v>
      </c>
      <c r="X184" s="1">
        <v>0.28199999999999997</v>
      </c>
      <c r="Y184" s="1">
        <v>24.111000000000001</v>
      </c>
      <c r="Z184" s="1">
        <v>0.68899999999999995</v>
      </c>
      <c r="AA184" s="1">
        <v>-3</v>
      </c>
      <c r="AB184" s="1">
        <v>-3</v>
      </c>
      <c r="AC184" s="1">
        <v>-3</v>
      </c>
      <c r="AD184" s="1">
        <v>0.28199999999999997</v>
      </c>
      <c r="AE184" s="1">
        <v>0.68700000000000006</v>
      </c>
      <c r="AF184" s="1">
        <v>0.19400000000000001</v>
      </c>
      <c r="AG184" s="1">
        <v>-3</v>
      </c>
      <c r="AI184" s="1">
        <v>0</v>
      </c>
      <c r="AJ184" s="1">
        <v>0</v>
      </c>
      <c r="AK184" s="1">
        <v>0</v>
      </c>
      <c r="AL184" s="1">
        <v>1</v>
      </c>
      <c r="AM184" s="1">
        <v>86400</v>
      </c>
      <c r="AN184" s="1">
        <v>81457</v>
      </c>
      <c r="AO184" s="1">
        <v>4943</v>
      </c>
      <c r="AP184" s="1">
        <v>47021</v>
      </c>
      <c r="AQ184" s="1">
        <v>0.85267399366333962</v>
      </c>
    </row>
    <row r="185" spans="1:43" x14ac:dyDescent="0.45">
      <c r="A185" s="1">
        <v>267</v>
      </c>
      <c r="B185" s="1">
        <v>439</v>
      </c>
      <c r="C185" s="1">
        <v>94</v>
      </c>
      <c r="D185" s="1" t="s">
        <v>82</v>
      </c>
      <c r="E185" s="1" t="s">
        <v>83</v>
      </c>
      <c r="F185" s="1" t="s">
        <v>84</v>
      </c>
      <c r="G185" s="1" t="s">
        <v>46</v>
      </c>
      <c r="H185" s="1" t="s">
        <v>47</v>
      </c>
      <c r="I185" s="1">
        <v>490</v>
      </c>
      <c r="J185" s="1">
        <v>12595</v>
      </c>
      <c r="K185" s="1">
        <v>1</v>
      </c>
      <c r="L185" s="1">
        <v>93</v>
      </c>
      <c r="M185" s="1">
        <v>2110</v>
      </c>
      <c r="N185" s="1" t="s">
        <v>48</v>
      </c>
      <c r="O185" s="1">
        <v>185085</v>
      </c>
      <c r="P185" s="1">
        <v>95</v>
      </c>
      <c r="Q185" s="1" t="s">
        <v>127</v>
      </c>
      <c r="R185" s="1" t="s">
        <v>50</v>
      </c>
      <c r="S185" s="1">
        <v>0</v>
      </c>
      <c r="T185" s="1">
        <v>0</v>
      </c>
      <c r="U185" s="1">
        <v>144.268</v>
      </c>
      <c r="V185" s="1">
        <v>24.087</v>
      </c>
      <c r="W185" s="1">
        <v>0.55000000000000004</v>
      </c>
      <c r="X185" s="1">
        <v>0.27800000000000002</v>
      </c>
      <c r="Y185" s="1">
        <v>24.364999999999998</v>
      </c>
      <c r="Z185" s="1">
        <v>0.26200000000000001</v>
      </c>
      <c r="AA185" s="1">
        <v>-1.1000000000000001</v>
      </c>
      <c r="AB185" s="1">
        <v>-1</v>
      </c>
      <c r="AC185" s="1">
        <v>-1</v>
      </c>
      <c r="AD185" s="1">
        <v>0.27800000000000002</v>
      </c>
      <c r="AE185" s="1">
        <v>0.185</v>
      </c>
      <c r="AF185" s="1">
        <v>5.6000000000000001E-2</v>
      </c>
      <c r="AG185" s="1">
        <v>-1.1000000000000001</v>
      </c>
      <c r="AI185" s="1">
        <v>0</v>
      </c>
      <c r="AJ185" s="1">
        <v>0</v>
      </c>
      <c r="AK185" s="1">
        <v>0</v>
      </c>
      <c r="AL185" s="1">
        <v>1</v>
      </c>
      <c r="AM185" s="1">
        <v>86400</v>
      </c>
      <c r="AN185" s="1">
        <v>80570</v>
      </c>
      <c r="AO185" s="1">
        <v>5830</v>
      </c>
      <c r="AP185" s="1">
        <v>47149</v>
      </c>
      <c r="AQ185" s="1">
        <v>20.343053902491771</v>
      </c>
    </row>
    <row r="186" spans="1:43" x14ac:dyDescent="0.45">
      <c r="A186" s="1">
        <v>213</v>
      </c>
      <c r="B186" s="1">
        <v>181</v>
      </c>
      <c r="C186" s="1">
        <v>75</v>
      </c>
      <c r="D186" s="1" t="s">
        <v>64</v>
      </c>
      <c r="E186" s="1" t="s">
        <v>65</v>
      </c>
      <c r="F186" s="1" t="s">
        <v>66</v>
      </c>
      <c r="G186" s="1" t="s">
        <v>46</v>
      </c>
      <c r="H186" s="1" t="s">
        <v>47</v>
      </c>
      <c r="I186" s="1">
        <v>1170</v>
      </c>
      <c r="J186" s="1">
        <v>33499</v>
      </c>
      <c r="K186" s="1">
        <v>1</v>
      </c>
      <c r="L186" s="1">
        <v>74</v>
      </c>
      <c r="M186" s="1">
        <v>2125</v>
      </c>
      <c r="N186" s="1" t="s">
        <v>48</v>
      </c>
      <c r="O186" s="1">
        <v>194015</v>
      </c>
      <c r="P186" s="1">
        <v>95</v>
      </c>
      <c r="Q186" s="1" t="s">
        <v>127</v>
      </c>
      <c r="R186" s="1" t="s">
        <v>50</v>
      </c>
      <c r="S186" s="1">
        <v>0</v>
      </c>
      <c r="T186" s="1">
        <v>0</v>
      </c>
      <c r="U186" s="1">
        <v>864.10699999999997</v>
      </c>
      <c r="V186" s="1">
        <v>25.154</v>
      </c>
      <c r="W186" s="1">
        <v>0.54</v>
      </c>
      <c r="X186" s="1">
        <v>0.27700000000000002</v>
      </c>
      <c r="Y186" s="1">
        <v>25.431999999999999</v>
      </c>
      <c r="Z186" s="1">
        <v>0.126</v>
      </c>
      <c r="AA186" s="1">
        <v>1.6</v>
      </c>
      <c r="AB186" s="1">
        <v>0.4</v>
      </c>
      <c r="AC186" s="1">
        <v>0.4</v>
      </c>
      <c r="AD186" s="1">
        <v>0.27700000000000002</v>
      </c>
      <c r="AE186" s="1">
        <v>2.5000000000000001E-2</v>
      </c>
      <c r="AF186" s="1">
        <v>1.4999999999999999E-2</v>
      </c>
      <c r="AG186" s="1">
        <v>1.6</v>
      </c>
      <c r="AI186" s="1">
        <v>0</v>
      </c>
      <c r="AJ186" s="1">
        <v>0</v>
      </c>
      <c r="AK186" s="1">
        <v>0</v>
      </c>
      <c r="AL186" s="1">
        <v>1</v>
      </c>
      <c r="AM186" s="1">
        <v>54884</v>
      </c>
      <c r="AN186" s="1">
        <v>11650</v>
      </c>
      <c r="AO186" s="1">
        <v>43234</v>
      </c>
      <c r="AP186" s="1">
        <v>50387</v>
      </c>
      <c r="AQ186" s="1">
        <v>1.6721516986454721</v>
      </c>
    </row>
    <row r="187" spans="1:43" x14ac:dyDescent="0.45">
      <c r="A187" s="1">
        <v>263</v>
      </c>
      <c r="B187" s="1">
        <v>439</v>
      </c>
      <c r="C187" s="1">
        <v>94</v>
      </c>
      <c r="D187" s="1" t="s">
        <v>82</v>
      </c>
      <c r="E187" s="1" t="s">
        <v>83</v>
      </c>
      <c r="F187" s="1" t="s">
        <v>84</v>
      </c>
      <c r="G187" s="1" t="s">
        <v>46</v>
      </c>
      <c r="H187" s="1" t="s">
        <v>47</v>
      </c>
      <c r="I187" s="1">
        <v>490</v>
      </c>
      <c r="J187" s="1">
        <v>12595</v>
      </c>
      <c r="K187" s="1">
        <v>1</v>
      </c>
      <c r="L187" s="1">
        <v>93</v>
      </c>
      <c r="M187" s="1">
        <v>2104</v>
      </c>
      <c r="N187" s="1" t="s">
        <v>48</v>
      </c>
      <c r="O187" s="1">
        <v>185078</v>
      </c>
      <c r="P187" s="1">
        <v>95</v>
      </c>
      <c r="Q187" s="1" t="s">
        <v>127</v>
      </c>
      <c r="R187" s="1" t="s">
        <v>50</v>
      </c>
      <c r="S187" s="1">
        <v>0</v>
      </c>
      <c r="T187" s="1">
        <v>0</v>
      </c>
      <c r="U187" s="1">
        <v>88.46</v>
      </c>
      <c r="V187" s="1">
        <v>24.093</v>
      </c>
      <c r="W187" s="1">
        <v>0.56999999999999995</v>
      </c>
      <c r="X187" s="1">
        <v>0.27300000000000002</v>
      </c>
      <c r="Y187" s="1">
        <v>24.366</v>
      </c>
      <c r="Z187" s="1">
        <v>1.044</v>
      </c>
      <c r="AA187" s="1">
        <v>-3.1</v>
      </c>
      <c r="AB187" s="1">
        <v>-2.9</v>
      </c>
      <c r="AC187" s="1">
        <v>-2.9</v>
      </c>
      <c r="AD187" s="1">
        <v>0.27300000000000002</v>
      </c>
      <c r="AE187" s="1">
        <v>1.0229999999999999</v>
      </c>
      <c r="AF187" s="1">
        <v>0.27900000000000003</v>
      </c>
      <c r="AG187" s="1">
        <v>-3.1</v>
      </c>
      <c r="AI187" s="1">
        <v>0</v>
      </c>
      <c r="AJ187" s="1">
        <v>0</v>
      </c>
      <c r="AK187" s="1">
        <v>0</v>
      </c>
      <c r="AL187" s="1">
        <v>1</v>
      </c>
      <c r="AM187" s="1">
        <v>86400</v>
      </c>
      <c r="AN187" s="1">
        <v>79907</v>
      </c>
      <c r="AO187" s="1">
        <v>6493</v>
      </c>
      <c r="AP187" s="1">
        <v>47013</v>
      </c>
      <c r="AQ187" s="1">
        <v>13.972522455192079</v>
      </c>
    </row>
    <row r="188" spans="1:43" x14ac:dyDescent="0.45">
      <c r="A188" s="1">
        <v>256</v>
      </c>
      <c r="B188" s="1">
        <v>439</v>
      </c>
      <c r="C188" s="1">
        <v>94</v>
      </c>
      <c r="D188" s="1" t="s">
        <v>82</v>
      </c>
      <c r="E188" s="1" t="s">
        <v>83</v>
      </c>
      <c r="F188" s="1" t="s">
        <v>84</v>
      </c>
      <c r="G188" s="1" t="s">
        <v>46</v>
      </c>
      <c r="H188" s="1" t="s">
        <v>47</v>
      </c>
      <c r="I188" s="1">
        <v>490</v>
      </c>
      <c r="J188" s="1">
        <v>12595</v>
      </c>
      <c r="K188" s="1">
        <v>1</v>
      </c>
      <c r="L188" s="1">
        <v>93</v>
      </c>
      <c r="M188" s="1">
        <v>2090</v>
      </c>
      <c r="N188" s="1" t="s">
        <v>48</v>
      </c>
      <c r="O188" s="1">
        <v>185014</v>
      </c>
      <c r="P188" s="1">
        <v>95</v>
      </c>
      <c r="Q188" s="1" t="s">
        <v>127</v>
      </c>
      <c r="R188" s="1" t="s">
        <v>50</v>
      </c>
      <c r="S188" s="1">
        <v>0</v>
      </c>
      <c r="T188" s="1">
        <v>0</v>
      </c>
      <c r="U188" s="1">
        <v>475.46899999999999</v>
      </c>
      <c r="V188" s="1">
        <v>23.841000000000001</v>
      </c>
      <c r="W188" s="1">
        <v>0.56000000000000005</v>
      </c>
      <c r="X188" s="1">
        <v>0.26900000000000002</v>
      </c>
      <c r="Y188" s="1">
        <v>24.109000000000002</v>
      </c>
      <c r="Z188" s="1">
        <v>0.71599999999999997</v>
      </c>
      <c r="AA188" s="1">
        <v>-2.9</v>
      </c>
      <c r="AB188" s="1">
        <v>-2.9</v>
      </c>
      <c r="AC188" s="1">
        <v>-2.9</v>
      </c>
      <c r="AD188" s="1">
        <v>0.26900000000000002</v>
      </c>
      <c r="AE188" s="1">
        <v>0.71299999999999997</v>
      </c>
      <c r="AF188" s="1">
        <v>0.191</v>
      </c>
      <c r="AG188" s="1">
        <v>-2.9</v>
      </c>
      <c r="AI188" s="1">
        <v>0</v>
      </c>
      <c r="AJ188" s="1">
        <v>0</v>
      </c>
      <c r="AK188" s="1">
        <v>0</v>
      </c>
      <c r="AL188" s="1">
        <v>1</v>
      </c>
      <c r="AM188" s="1">
        <v>86400</v>
      </c>
      <c r="AN188" s="1">
        <v>81273</v>
      </c>
      <c r="AO188" s="1">
        <v>5127</v>
      </c>
      <c r="AP188" s="1">
        <v>47013</v>
      </c>
      <c r="AQ188" s="1">
        <v>45.30645802650001</v>
      </c>
    </row>
    <row r="189" spans="1:43" x14ac:dyDescent="0.45">
      <c r="A189" s="1">
        <v>232</v>
      </c>
      <c r="B189" s="1">
        <v>181</v>
      </c>
      <c r="C189" s="1">
        <v>75</v>
      </c>
      <c r="D189" s="1" t="s">
        <v>64</v>
      </c>
      <c r="E189" s="1" t="s">
        <v>65</v>
      </c>
      <c r="F189" s="1" t="s">
        <v>66</v>
      </c>
      <c r="G189" s="1" t="s">
        <v>46</v>
      </c>
      <c r="H189" s="1" t="s">
        <v>47</v>
      </c>
      <c r="I189" s="1">
        <v>1170</v>
      </c>
      <c r="J189" s="1">
        <v>33499</v>
      </c>
      <c r="K189" s="1">
        <v>1</v>
      </c>
      <c r="L189" s="1">
        <v>74</v>
      </c>
      <c r="M189" s="1">
        <v>2572</v>
      </c>
      <c r="N189" s="1" t="s">
        <v>48</v>
      </c>
      <c r="O189" s="1">
        <v>198619</v>
      </c>
      <c r="P189" s="1">
        <v>95</v>
      </c>
      <c r="Q189" s="1" t="s">
        <v>127</v>
      </c>
      <c r="R189" s="1" t="s">
        <v>50</v>
      </c>
      <c r="S189" s="1">
        <v>0</v>
      </c>
      <c r="T189" s="1">
        <v>0</v>
      </c>
      <c r="U189" s="1">
        <v>74.703000000000003</v>
      </c>
      <c r="V189" s="1">
        <v>25.427</v>
      </c>
      <c r="W189" s="1">
        <v>0.56000000000000005</v>
      </c>
      <c r="X189" s="1">
        <v>0.26100000000000001</v>
      </c>
      <c r="Y189" s="1">
        <v>25.689</v>
      </c>
      <c r="Z189" s="1">
        <v>0.85699999999999998</v>
      </c>
      <c r="AA189" s="1">
        <v>-2.2000000000000002</v>
      </c>
      <c r="AB189" s="1">
        <v>-2.2000000000000002</v>
      </c>
      <c r="AC189" s="1">
        <v>-2.2000000000000002</v>
      </c>
      <c r="AD189" s="1">
        <v>0.26100000000000001</v>
      </c>
      <c r="AE189" s="1">
        <v>0.85699999999999998</v>
      </c>
      <c r="AF189" s="1">
        <v>0.224</v>
      </c>
      <c r="AG189" s="1">
        <v>-2.2000000000000002</v>
      </c>
      <c r="AI189" s="1">
        <v>0</v>
      </c>
      <c r="AJ189" s="1">
        <v>0</v>
      </c>
      <c r="AK189" s="1">
        <v>0</v>
      </c>
      <c r="AL189" s="1">
        <v>1</v>
      </c>
      <c r="AM189" s="1">
        <v>53078</v>
      </c>
      <c r="AN189" s="1">
        <v>9294</v>
      </c>
      <c r="AO189" s="1">
        <v>43784</v>
      </c>
      <c r="AP189" s="1">
        <v>50157</v>
      </c>
      <c r="AQ189" s="1">
        <v>4.4465603367389193</v>
      </c>
    </row>
    <row r="190" spans="1:43" x14ac:dyDescent="0.45">
      <c r="A190" s="1">
        <v>243</v>
      </c>
      <c r="B190" s="1">
        <v>351</v>
      </c>
      <c r="C190" s="1">
        <v>63</v>
      </c>
      <c r="D190" s="1" t="s">
        <v>76</v>
      </c>
      <c r="E190" s="1" t="s">
        <v>77</v>
      </c>
      <c r="F190" s="1" t="s">
        <v>78</v>
      </c>
      <c r="G190" s="1" t="s">
        <v>46</v>
      </c>
      <c r="H190" s="1" t="s">
        <v>47</v>
      </c>
      <c r="I190" s="1">
        <v>1247</v>
      </c>
      <c r="J190" s="1">
        <v>27398</v>
      </c>
      <c r="K190" s="1">
        <v>1</v>
      </c>
      <c r="L190" s="1">
        <v>62</v>
      </c>
      <c r="M190" s="1">
        <v>2070</v>
      </c>
      <c r="N190" s="1" t="s">
        <v>48</v>
      </c>
      <c r="O190" s="1">
        <v>184182</v>
      </c>
      <c r="P190" s="1">
        <v>95</v>
      </c>
      <c r="Q190" s="1" t="s">
        <v>127</v>
      </c>
      <c r="R190" s="1" t="s">
        <v>50</v>
      </c>
      <c r="S190" s="1">
        <v>0</v>
      </c>
      <c r="T190" s="1">
        <v>0</v>
      </c>
      <c r="U190" s="1">
        <v>51.722999999999999</v>
      </c>
      <c r="V190" s="1">
        <v>24.972999999999999</v>
      </c>
      <c r="W190" s="1">
        <v>0.54</v>
      </c>
      <c r="X190" s="1">
        <v>0.26</v>
      </c>
      <c r="Y190" s="1">
        <v>25.234000000000002</v>
      </c>
      <c r="Z190" s="1">
        <v>0.183</v>
      </c>
      <c r="AA190" s="1">
        <v>-2.9</v>
      </c>
      <c r="AB190" s="1">
        <v>-2.9</v>
      </c>
      <c r="AC190" s="1">
        <v>-2.9</v>
      </c>
      <c r="AD190" s="1">
        <v>0.26</v>
      </c>
      <c r="AE190" s="1">
        <v>0.183</v>
      </c>
      <c r="AF190" s="1">
        <v>4.8000000000000001E-2</v>
      </c>
      <c r="AG190" s="1">
        <v>-2.9</v>
      </c>
      <c r="AI190" s="1">
        <v>0</v>
      </c>
      <c r="AJ190" s="1">
        <v>0</v>
      </c>
      <c r="AK190" s="1">
        <v>0</v>
      </c>
      <c r="AL190" s="1">
        <v>1</v>
      </c>
      <c r="AM190" s="1">
        <v>86400</v>
      </c>
      <c r="AN190" s="1">
        <v>82075</v>
      </c>
      <c r="AO190" s="1">
        <v>4325</v>
      </c>
      <c r="AP190" s="1">
        <v>43715</v>
      </c>
      <c r="AQ190" s="1">
        <v>12.851985611736319</v>
      </c>
    </row>
    <row r="191" spans="1:43" x14ac:dyDescent="0.45">
      <c r="A191" s="1">
        <v>161</v>
      </c>
      <c r="B191" s="1">
        <v>142</v>
      </c>
      <c r="C191" s="1">
        <v>78</v>
      </c>
      <c r="D191" s="1" t="s">
        <v>67</v>
      </c>
      <c r="E191" s="1" t="s">
        <v>68</v>
      </c>
      <c r="F191" s="1" t="s">
        <v>69</v>
      </c>
      <c r="G191" s="1" t="s">
        <v>46</v>
      </c>
      <c r="H191" s="1" t="s">
        <v>47</v>
      </c>
      <c r="I191" s="1">
        <v>1163</v>
      </c>
      <c r="J191" s="1">
        <v>33073</v>
      </c>
      <c r="K191" s="1">
        <v>1</v>
      </c>
      <c r="L191" s="1">
        <v>77</v>
      </c>
      <c r="M191" s="1">
        <v>2258</v>
      </c>
      <c r="N191" s="1" t="s">
        <v>48</v>
      </c>
      <c r="O191" s="1">
        <v>194522</v>
      </c>
      <c r="P191" s="1">
        <v>95</v>
      </c>
      <c r="Q191" s="1" t="s">
        <v>127</v>
      </c>
      <c r="R191" s="1" t="s">
        <v>50</v>
      </c>
      <c r="S191" s="1">
        <v>0</v>
      </c>
      <c r="T191" s="1">
        <v>0</v>
      </c>
      <c r="U191" s="1">
        <v>257.673</v>
      </c>
      <c r="V191" s="1">
        <v>25.335000000000001</v>
      </c>
      <c r="W191" s="1">
        <v>0.54</v>
      </c>
      <c r="X191" s="1">
        <v>0.25900000000000001</v>
      </c>
      <c r="Y191" s="1">
        <v>25.594000000000001</v>
      </c>
      <c r="Z191" s="1">
        <v>0.21199999999999999</v>
      </c>
      <c r="AA191" s="1">
        <v>1.9</v>
      </c>
      <c r="AB191" s="1">
        <v>1.8</v>
      </c>
      <c r="AC191" s="1">
        <v>1.8</v>
      </c>
      <c r="AD191" s="1">
        <v>0.25900000000000001</v>
      </c>
      <c r="AE191" s="1">
        <v>0.11899999999999999</v>
      </c>
      <c r="AF191" s="1">
        <v>3.1E-2</v>
      </c>
      <c r="AG191" s="1">
        <v>1.9</v>
      </c>
      <c r="AI191" s="1">
        <v>0</v>
      </c>
      <c r="AJ191" s="1">
        <v>0</v>
      </c>
      <c r="AK191" s="1">
        <v>0</v>
      </c>
      <c r="AL191" s="1">
        <v>1</v>
      </c>
      <c r="AM191" s="1">
        <v>51945</v>
      </c>
      <c r="AN191" s="1">
        <v>8676</v>
      </c>
      <c r="AO191" s="1">
        <v>43269</v>
      </c>
      <c r="AP191" s="1">
        <v>47585</v>
      </c>
      <c r="AQ191" s="1">
        <v>22.689816183403011</v>
      </c>
    </row>
    <row r="192" spans="1:43" x14ac:dyDescent="0.45">
      <c r="A192" s="1">
        <v>260</v>
      </c>
      <c r="B192" s="1">
        <v>439</v>
      </c>
      <c r="C192" s="1">
        <v>94</v>
      </c>
      <c r="D192" s="1" t="s">
        <v>82</v>
      </c>
      <c r="E192" s="1" t="s">
        <v>83</v>
      </c>
      <c r="F192" s="1" t="s">
        <v>84</v>
      </c>
      <c r="G192" s="1" t="s">
        <v>46</v>
      </c>
      <c r="H192" s="1" t="s">
        <v>47</v>
      </c>
      <c r="I192" s="1">
        <v>490</v>
      </c>
      <c r="J192" s="1">
        <v>12595</v>
      </c>
      <c r="K192" s="1">
        <v>1</v>
      </c>
      <c r="L192" s="1">
        <v>93</v>
      </c>
      <c r="M192" s="1">
        <v>2096</v>
      </c>
      <c r="N192" s="1" t="s">
        <v>48</v>
      </c>
      <c r="O192" s="1">
        <v>185063</v>
      </c>
      <c r="P192" s="1">
        <v>95</v>
      </c>
      <c r="Q192" s="1" t="s">
        <v>127</v>
      </c>
      <c r="R192" s="1" t="s">
        <v>50</v>
      </c>
      <c r="S192" s="1">
        <v>0</v>
      </c>
      <c r="T192" s="1">
        <v>0</v>
      </c>
      <c r="U192" s="1">
        <v>330.41199999999998</v>
      </c>
      <c r="V192" s="1">
        <v>23.858000000000001</v>
      </c>
      <c r="W192" s="1">
        <v>0.56000000000000005</v>
      </c>
      <c r="X192" s="1">
        <v>0.25700000000000001</v>
      </c>
      <c r="Y192" s="1">
        <v>24.114999999999998</v>
      </c>
      <c r="Z192" s="1">
        <v>0.91200000000000003</v>
      </c>
      <c r="AA192" s="1">
        <v>-3.1</v>
      </c>
      <c r="AB192" s="1">
        <v>-3.1</v>
      </c>
      <c r="AC192" s="1">
        <v>-3.1</v>
      </c>
      <c r="AD192" s="1">
        <v>0.25700000000000001</v>
      </c>
      <c r="AE192" s="1">
        <v>0.91</v>
      </c>
      <c r="AF192" s="1">
        <v>0.23400000000000001</v>
      </c>
      <c r="AG192" s="1">
        <v>-3.1</v>
      </c>
      <c r="AI192" s="1">
        <v>0</v>
      </c>
      <c r="AJ192" s="1">
        <v>0</v>
      </c>
      <c r="AK192" s="1">
        <v>0</v>
      </c>
      <c r="AL192" s="1">
        <v>1</v>
      </c>
      <c r="AM192" s="1">
        <v>86400</v>
      </c>
      <c r="AN192" s="1">
        <v>81031</v>
      </c>
      <c r="AO192" s="1">
        <v>5369</v>
      </c>
      <c r="AP192" s="1">
        <v>46901</v>
      </c>
      <c r="AQ192" s="1">
        <v>25.41992129785066</v>
      </c>
    </row>
    <row r="193" spans="1:43" x14ac:dyDescent="0.45">
      <c r="A193" s="1">
        <v>211</v>
      </c>
      <c r="B193" s="1">
        <v>181</v>
      </c>
      <c r="C193" s="1">
        <v>75</v>
      </c>
      <c r="D193" s="1" t="s">
        <v>64</v>
      </c>
      <c r="E193" s="1" t="s">
        <v>65</v>
      </c>
      <c r="F193" s="1" t="s">
        <v>66</v>
      </c>
      <c r="G193" s="1" t="s">
        <v>46</v>
      </c>
      <c r="H193" s="1" t="s">
        <v>47</v>
      </c>
      <c r="I193" s="1">
        <v>1170</v>
      </c>
      <c r="J193" s="1">
        <v>33499</v>
      </c>
      <c r="K193" s="1">
        <v>1</v>
      </c>
      <c r="L193" s="1">
        <v>74</v>
      </c>
      <c r="M193" s="1">
        <v>2121</v>
      </c>
      <c r="N193" s="1" t="s">
        <v>48</v>
      </c>
      <c r="O193" s="1">
        <v>194009</v>
      </c>
      <c r="P193" s="1">
        <v>95</v>
      </c>
      <c r="Q193" s="1" t="s">
        <v>127</v>
      </c>
      <c r="R193" s="1" t="s">
        <v>50</v>
      </c>
      <c r="S193" s="1">
        <v>0</v>
      </c>
      <c r="T193" s="1">
        <v>0</v>
      </c>
      <c r="U193" s="1">
        <v>279.00900000000001</v>
      </c>
      <c r="V193" s="1">
        <v>25.175999999999998</v>
      </c>
      <c r="W193" s="1">
        <v>0.54</v>
      </c>
      <c r="X193" s="1">
        <v>0.25600000000000001</v>
      </c>
      <c r="Y193" s="1">
        <v>25.433</v>
      </c>
      <c r="Z193" s="1">
        <v>0.221</v>
      </c>
      <c r="AA193" s="1">
        <v>3</v>
      </c>
      <c r="AB193" s="1">
        <v>-1.4</v>
      </c>
      <c r="AC193" s="1">
        <v>-1.4</v>
      </c>
      <c r="AD193" s="1">
        <v>0.25600000000000001</v>
      </c>
      <c r="AE193" s="1">
        <v>3.3000000000000002E-2</v>
      </c>
      <c r="AF193" s="1">
        <v>2.8000000000000001E-2</v>
      </c>
      <c r="AG193" s="1">
        <v>3</v>
      </c>
      <c r="AI193" s="1">
        <v>0</v>
      </c>
      <c r="AJ193" s="1">
        <v>0</v>
      </c>
      <c r="AK193" s="1">
        <v>0</v>
      </c>
      <c r="AL193" s="1">
        <v>1</v>
      </c>
      <c r="AM193" s="1">
        <v>54611</v>
      </c>
      <c r="AN193" s="1">
        <v>11325</v>
      </c>
      <c r="AO193" s="1">
        <v>43285</v>
      </c>
      <c r="AP193" s="1">
        <v>50407</v>
      </c>
      <c r="AQ193" s="1">
        <v>19.91914324497959</v>
      </c>
    </row>
    <row r="194" spans="1:43" x14ac:dyDescent="0.45">
      <c r="A194" s="1">
        <v>44</v>
      </c>
      <c r="B194" s="1">
        <v>73</v>
      </c>
      <c r="C194" s="1">
        <v>83</v>
      </c>
      <c r="D194" s="1" t="s">
        <v>55</v>
      </c>
      <c r="E194" s="1" t="s">
        <v>56</v>
      </c>
      <c r="F194" s="1" t="s">
        <v>57</v>
      </c>
      <c r="G194" s="1" t="s">
        <v>46</v>
      </c>
      <c r="H194" s="1" t="s">
        <v>47</v>
      </c>
      <c r="I194" s="1">
        <v>1176</v>
      </c>
      <c r="J194" s="1">
        <v>30288</v>
      </c>
      <c r="K194" s="1">
        <v>1</v>
      </c>
      <c r="L194" s="1">
        <v>82</v>
      </c>
      <c r="M194" s="1">
        <v>2405</v>
      </c>
      <c r="N194" s="1" t="s">
        <v>48</v>
      </c>
      <c r="O194" s="1">
        <v>197186</v>
      </c>
      <c r="P194" s="1">
        <v>95</v>
      </c>
      <c r="Q194" s="1" t="s">
        <v>127</v>
      </c>
      <c r="R194" s="1" t="s">
        <v>50</v>
      </c>
      <c r="S194" s="1">
        <v>0</v>
      </c>
      <c r="T194" s="1">
        <v>0</v>
      </c>
      <c r="U194" s="1">
        <v>86.650999999999996</v>
      </c>
      <c r="V194" s="1">
        <v>25.417000000000002</v>
      </c>
      <c r="W194" s="1">
        <v>0.54</v>
      </c>
      <c r="X194" s="1">
        <v>0.248</v>
      </c>
      <c r="Y194" s="1">
        <v>25.666</v>
      </c>
      <c r="Z194" s="1">
        <v>0.16800000000000001</v>
      </c>
      <c r="AA194" s="1">
        <v>0.6</v>
      </c>
      <c r="AB194" s="1">
        <v>0.7</v>
      </c>
      <c r="AC194" s="1">
        <v>0.7</v>
      </c>
      <c r="AD194" s="1">
        <v>0.248</v>
      </c>
      <c r="AE194" s="1">
        <v>0.13800000000000001</v>
      </c>
      <c r="AF194" s="1">
        <v>3.6999999999999998E-2</v>
      </c>
      <c r="AG194" s="1">
        <v>0.6</v>
      </c>
      <c r="AI194" s="1">
        <v>0</v>
      </c>
      <c r="AJ194" s="1">
        <v>0</v>
      </c>
      <c r="AK194" s="1">
        <v>0</v>
      </c>
      <c r="AL194" s="1">
        <v>1</v>
      </c>
      <c r="AM194" s="1">
        <v>86400</v>
      </c>
      <c r="AN194" s="1">
        <v>82045</v>
      </c>
      <c r="AO194" s="1">
        <v>4355</v>
      </c>
      <c r="AP194" s="1">
        <v>47259</v>
      </c>
      <c r="AQ194" s="1">
        <v>18.19739861676883</v>
      </c>
    </row>
    <row r="195" spans="1:43" x14ac:dyDescent="0.45">
      <c r="A195" s="1">
        <v>151</v>
      </c>
      <c r="B195" s="1">
        <v>128</v>
      </c>
      <c r="C195" s="1">
        <v>88</v>
      </c>
      <c r="D195" s="1" t="s">
        <v>115</v>
      </c>
      <c r="E195" s="1" t="s">
        <v>116</v>
      </c>
      <c r="F195" s="1" t="s">
        <v>117</v>
      </c>
      <c r="G195" s="1" t="s">
        <v>54</v>
      </c>
      <c r="H195" s="1" t="s">
        <v>47</v>
      </c>
      <c r="I195" s="1">
        <v>830</v>
      </c>
      <c r="J195" s="1">
        <v>39746</v>
      </c>
      <c r="K195" s="1">
        <v>1</v>
      </c>
      <c r="L195" s="1">
        <v>87</v>
      </c>
      <c r="M195" s="1">
        <v>2384</v>
      </c>
      <c r="N195" s="1" t="s">
        <v>48</v>
      </c>
      <c r="O195" s="1">
        <v>195372</v>
      </c>
      <c r="P195" s="1">
        <v>95</v>
      </c>
      <c r="Q195" s="1" t="s">
        <v>127</v>
      </c>
      <c r="R195" s="1" t="s">
        <v>50</v>
      </c>
      <c r="S195" s="1">
        <v>0</v>
      </c>
      <c r="T195" s="1">
        <v>0</v>
      </c>
      <c r="U195" s="1">
        <v>335.548</v>
      </c>
      <c r="V195" s="1">
        <v>25.24</v>
      </c>
      <c r="W195" s="1">
        <v>0.56000000000000005</v>
      </c>
      <c r="X195" s="1">
        <v>0.245</v>
      </c>
      <c r="Y195" s="1">
        <v>25.484999999999999</v>
      </c>
      <c r="Z195" s="1">
        <v>0.95199999999999996</v>
      </c>
      <c r="AA195" s="1">
        <v>-0.9</v>
      </c>
      <c r="AB195" s="1">
        <v>-0.9</v>
      </c>
      <c r="AC195" s="1">
        <v>-0.9</v>
      </c>
      <c r="AD195" s="1">
        <v>0.245</v>
      </c>
      <c r="AE195" s="1">
        <v>0.95199999999999996</v>
      </c>
      <c r="AF195" s="1">
        <v>0.23300000000000001</v>
      </c>
      <c r="AG195" s="1">
        <v>-0.9</v>
      </c>
      <c r="AI195" s="1">
        <v>0</v>
      </c>
      <c r="AJ195" s="1">
        <v>0</v>
      </c>
      <c r="AK195" s="1">
        <v>0</v>
      </c>
      <c r="AL195" s="1">
        <v>1</v>
      </c>
      <c r="AM195" s="1">
        <v>51530</v>
      </c>
      <c r="AN195" s="1">
        <v>4376</v>
      </c>
      <c r="AO195" s="1">
        <v>47154</v>
      </c>
      <c r="AP195" s="1">
        <v>49278</v>
      </c>
      <c r="AQ195" s="1">
        <v>0.85005359735964148</v>
      </c>
    </row>
    <row r="196" spans="1:43" x14ac:dyDescent="0.45">
      <c r="A196" s="1">
        <v>45</v>
      </c>
      <c r="B196" s="1">
        <v>73</v>
      </c>
      <c r="C196" s="1">
        <v>83</v>
      </c>
      <c r="D196" s="1" t="s">
        <v>55</v>
      </c>
      <c r="E196" s="1" t="s">
        <v>56</v>
      </c>
      <c r="F196" s="1" t="s">
        <v>57</v>
      </c>
      <c r="G196" s="1" t="s">
        <v>46</v>
      </c>
      <c r="H196" s="1" t="s">
        <v>47</v>
      </c>
      <c r="I196" s="1">
        <v>1176</v>
      </c>
      <c r="J196" s="1">
        <v>30288</v>
      </c>
      <c r="K196" s="1">
        <v>1</v>
      </c>
      <c r="L196" s="1">
        <v>82</v>
      </c>
      <c r="M196" s="1">
        <v>2406</v>
      </c>
      <c r="N196" s="1" t="s">
        <v>48</v>
      </c>
      <c r="O196" s="1">
        <v>197191</v>
      </c>
      <c r="P196" s="1">
        <v>95</v>
      </c>
      <c r="Q196" s="1" t="s">
        <v>127</v>
      </c>
      <c r="R196" s="1" t="s">
        <v>50</v>
      </c>
      <c r="S196" s="1">
        <v>0</v>
      </c>
      <c r="T196" s="1">
        <v>0</v>
      </c>
      <c r="U196" s="1">
        <v>337.67399999999998</v>
      </c>
      <c r="V196" s="1">
        <v>25.428000000000001</v>
      </c>
      <c r="W196" s="1">
        <v>0.54</v>
      </c>
      <c r="X196" s="1">
        <v>0.23699999999999999</v>
      </c>
      <c r="Y196" s="1">
        <v>25.664000000000001</v>
      </c>
      <c r="Z196" s="1">
        <v>0.151</v>
      </c>
      <c r="AA196" s="1">
        <v>1</v>
      </c>
      <c r="AB196" s="1">
        <v>1.1000000000000001</v>
      </c>
      <c r="AC196" s="1">
        <v>1.1000000000000001</v>
      </c>
      <c r="AD196" s="1">
        <v>0.23699999999999999</v>
      </c>
      <c r="AE196" s="1">
        <v>0.14000000000000001</v>
      </c>
      <c r="AF196" s="1">
        <v>3.3000000000000002E-2</v>
      </c>
      <c r="AG196" s="1">
        <v>1</v>
      </c>
      <c r="AI196" s="1">
        <v>0</v>
      </c>
      <c r="AJ196" s="1">
        <v>0</v>
      </c>
      <c r="AK196" s="1">
        <v>0</v>
      </c>
      <c r="AL196" s="1">
        <v>1</v>
      </c>
      <c r="AM196" s="1">
        <v>86400</v>
      </c>
      <c r="AN196" s="1">
        <v>81015</v>
      </c>
      <c r="AO196" s="1">
        <v>5385</v>
      </c>
      <c r="AP196" s="1">
        <v>46977</v>
      </c>
      <c r="AQ196" s="1">
        <v>22.042314828065258</v>
      </c>
    </row>
    <row r="197" spans="1:43" x14ac:dyDescent="0.45">
      <c r="A197" s="1">
        <v>51</v>
      </c>
      <c r="B197" s="1">
        <v>73</v>
      </c>
      <c r="C197" s="1">
        <v>83</v>
      </c>
      <c r="D197" s="1" t="s">
        <v>55</v>
      </c>
      <c r="E197" s="1" t="s">
        <v>56</v>
      </c>
      <c r="F197" s="1" t="s">
        <v>57</v>
      </c>
      <c r="G197" s="1" t="s">
        <v>46</v>
      </c>
      <c r="H197" s="1" t="s">
        <v>47</v>
      </c>
      <c r="I197" s="1">
        <v>1176</v>
      </c>
      <c r="J197" s="1">
        <v>30288</v>
      </c>
      <c r="K197" s="1">
        <v>1</v>
      </c>
      <c r="L197" s="1">
        <v>82</v>
      </c>
      <c r="M197" s="1">
        <v>2435</v>
      </c>
      <c r="N197" s="1" t="s">
        <v>48</v>
      </c>
      <c r="O197" s="1">
        <v>197609</v>
      </c>
      <c r="P197" s="1">
        <v>95</v>
      </c>
      <c r="Q197" s="1" t="s">
        <v>127</v>
      </c>
      <c r="R197" s="1" t="s">
        <v>50</v>
      </c>
      <c r="S197" s="1">
        <v>0</v>
      </c>
      <c r="T197" s="1">
        <v>0</v>
      </c>
      <c r="U197" s="1">
        <v>222.179</v>
      </c>
      <c r="V197" s="1">
        <v>25.413</v>
      </c>
      <c r="W197" s="1">
        <v>0.54</v>
      </c>
      <c r="X197" s="1">
        <v>0.23699999999999999</v>
      </c>
      <c r="Y197" s="1">
        <v>25.65</v>
      </c>
      <c r="Z197" s="1">
        <v>0.184</v>
      </c>
      <c r="AA197" s="1">
        <v>1.2</v>
      </c>
      <c r="AB197" s="1">
        <v>1.2</v>
      </c>
      <c r="AC197" s="1">
        <v>1.2</v>
      </c>
      <c r="AD197" s="1">
        <v>0.23699999999999999</v>
      </c>
      <c r="AE197" s="1">
        <v>0.17599999999999999</v>
      </c>
      <c r="AF197" s="1">
        <v>4.2000000000000003E-2</v>
      </c>
      <c r="AG197" s="1">
        <v>1.2</v>
      </c>
      <c r="AI197" s="1">
        <v>0</v>
      </c>
      <c r="AJ197" s="1">
        <v>0</v>
      </c>
      <c r="AK197" s="1">
        <v>0</v>
      </c>
      <c r="AL197" s="1">
        <v>1</v>
      </c>
      <c r="AM197" s="1">
        <v>86400</v>
      </c>
      <c r="AN197" s="1">
        <v>81003</v>
      </c>
      <c r="AO197" s="1">
        <v>5397</v>
      </c>
      <c r="AP197" s="1">
        <v>47032</v>
      </c>
      <c r="AQ197" s="1">
        <v>3.2914653154281028</v>
      </c>
    </row>
    <row r="198" spans="1:43" x14ac:dyDescent="0.45">
      <c r="A198" s="1">
        <v>160</v>
      </c>
      <c r="B198" s="1">
        <v>142</v>
      </c>
      <c r="C198" s="1">
        <v>78</v>
      </c>
      <c r="D198" s="1" t="s">
        <v>67</v>
      </c>
      <c r="E198" s="1" t="s">
        <v>68</v>
      </c>
      <c r="F198" s="1" t="s">
        <v>69</v>
      </c>
      <c r="G198" s="1" t="s">
        <v>46</v>
      </c>
      <c r="H198" s="1" t="s">
        <v>47</v>
      </c>
      <c r="I198" s="1">
        <v>1163</v>
      </c>
      <c r="J198" s="1">
        <v>33073</v>
      </c>
      <c r="K198" s="1">
        <v>1</v>
      </c>
      <c r="L198" s="1">
        <v>77</v>
      </c>
      <c r="M198" s="1">
        <v>2257</v>
      </c>
      <c r="N198" s="1" t="s">
        <v>48</v>
      </c>
      <c r="O198" s="1">
        <v>194521</v>
      </c>
      <c r="P198" s="1">
        <v>95</v>
      </c>
      <c r="Q198" s="1" t="s">
        <v>127</v>
      </c>
      <c r="R198" s="1" t="s">
        <v>50</v>
      </c>
      <c r="S198" s="1">
        <v>0</v>
      </c>
      <c r="T198" s="1">
        <v>0</v>
      </c>
      <c r="U198" s="1">
        <v>220.93799999999999</v>
      </c>
      <c r="V198" s="1">
        <v>25.358000000000001</v>
      </c>
      <c r="W198" s="1">
        <v>0.54</v>
      </c>
      <c r="X198" s="1">
        <v>0.23699999999999999</v>
      </c>
      <c r="Y198" s="1">
        <v>25.594999999999999</v>
      </c>
      <c r="Z198" s="1">
        <v>0.188</v>
      </c>
      <c r="AA198" s="1">
        <v>2.4</v>
      </c>
      <c r="AB198" s="1">
        <v>2.2999999999999998</v>
      </c>
      <c r="AC198" s="1">
        <v>2.2999999999999998</v>
      </c>
      <c r="AD198" s="1">
        <v>0.23699999999999999</v>
      </c>
      <c r="AE198" s="1">
        <v>9.1999999999999998E-2</v>
      </c>
      <c r="AF198" s="1">
        <v>2.1999999999999999E-2</v>
      </c>
      <c r="AG198" s="1">
        <v>2.4</v>
      </c>
      <c r="AI198" s="1">
        <v>0</v>
      </c>
      <c r="AJ198" s="1">
        <v>0</v>
      </c>
      <c r="AK198" s="1">
        <v>0</v>
      </c>
      <c r="AL198" s="1">
        <v>1</v>
      </c>
      <c r="AM198" s="1">
        <v>51903</v>
      </c>
      <c r="AN198" s="1">
        <v>8621</v>
      </c>
      <c r="AO198" s="1">
        <v>43283</v>
      </c>
      <c r="AP198" s="1">
        <v>47355</v>
      </c>
      <c r="AQ198" s="1">
        <v>1.47174704749596</v>
      </c>
    </row>
    <row r="199" spans="1:43" x14ac:dyDescent="0.45">
      <c r="A199" s="1">
        <v>4</v>
      </c>
      <c r="B199" s="1">
        <v>1</v>
      </c>
      <c r="C199" s="1">
        <v>90</v>
      </c>
      <c r="D199" s="1" t="s">
        <v>43</v>
      </c>
      <c r="E199" s="1" t="s">
        <v>44</v>
      </c>
      <c r="F199" s="1" t="s">
        <v>45</v>
      </c>
      <c r="G199" s="1" t="s">
        <v>46</v>
      </c>
      <c r="H199" s="1" t="s">
        <v>47</v>
      </c>
      <c r="I199" s="1">
        <v>535</v>
      </c>
      <c r="J199" s="1">
        <v>12723</v>
      </c>
      <c r="K199" s="1">
        <v>1</v>
      </c>
      <c r="L199" s="1">
        <v>89</v>
      </c>
      <c r="M199" s="1">
        <v>1852</v>
      </c>
      <c r="N199" s="1" t="s">
        <v>48</v>
      </c>
      <c r="O199" s="1">
        <v>20409</v>
      </c>
      <c r="P199" s="1">
        <v>95</v>
      </c>
      <c r="Q199" s="1" t="s">
        <v>127</v>
      </c>
      <c r="R199" s="1" t="s">
        <v>50</v>
      </c>
      <c r="S199" s="1">
        <v>0</v>
      </c>
      <c r="T199" s="1">
        <v>0</v>
      </c>
      <c r="U199" s="1">
        <v>197.97900000000001</v>
      </c>
      <c r="V199" s="1">
        <v>24.911999999999999</v>
      </c>
      <c r="W199" s="1">
        <v>0.54</v>
      </c>
      <c r="X199" s="1">
        <v>0.23599999999999999</v>
      </c>
      <c r="Y199" s="1">
        <v>25.148</v>
      </c>
      <c r="Z199" s="1">
        <v>0.27100000000000002</v>
      </c>
      <c r="AA199" s="1">
        <v>-2.2999999999999998</v>
      </c>
      <c r="AB199" s="1">
        <v>-2.4</v>
      </c>
      <c r="AC199" s="1">
        <v>-2.4</v>
      </c>
      <c r="AD199" s="1">
        <v>0.23599999999999999</v>
      </c>
      <c r="AE199" s="1">
        <v>0.27</v>
      </c>
      <c r="AF199" s="1">
        <v>6.4000000000000001E-2</v>
      </c>
      <c r="AG199" s="1">
        <v>-2.2999999999999998</v>
      </c>
      <c r="AI199" s="1">
        <v>0</v>
      </c>
      <c r="AJ199" s="1">
        <v>0</v>
      </c>
      <c r="AK199" s="1">
        <v>0</v>
      </c>
      <c r="AL199" s="1">
        <v>1</v>
      </c>
      <c r="AM199" s="1">
        <v>86400</v>
      </c>
      <c r="AN199" s="1">
        <v>81600</v>
      </c>
      <c r="AO199" s="1">
        <v>4800</v>
      </c>
      <c r="AP199" s="1">
        <v>44303</v>
      </c>
      <c r="AQ199" s="1">
        <v>15.34256373566652</v>
      </c>
    </row>
    <row r="200" spans="1:43" x14ac:dyDescent="0.45">
      <c r="A200" s="1">
        <v>257</v>
      </c>
      <c r="B200" s="1">
        <v>439</v>
      </c>
      <c r="C200" s="1">
        <v>94</v>
      </c>
      <c r="D200" s="1" t="s">
        <v>82</v>
      </c>
      <c r="E200" s="1" t="s">
        <v>83</v>
      </c>
      <c r="F200" s="1" t="s">
        <v>84</v>
      </c>
      <c r="G200" s="1" t="s">
        <v>46</v>
      </c>
      <c r="H200" s="1" t="s">
        <v>47</v>
      </c>
      <c r="I200" s="1">
        <v>490</v>
      </c>
      <c r="J200" s="1">
        <v>12595</v>
      </c>
      <c r="K200" s="1">
        <v>1</v>
      </c>
      <c r="L200" s="1">
        <v>93</v>
      </c>
      <c r="M200" s="1">
        <v>2091</v>
      </c>
      <c r="N200" s="1" t="s">
        <v>48</v>
      </c>
      <c r="O200" s="1">
        <v>185037</v>
      </c>
      <c r="P200" s="1">
        <v>95</v>
      </c>
      <c r="Q200" s="1" t="s">
        <v>127</v>
      </c>
      <c r="R200" s="1" t="s">
        <v>50</v>
      </c>
      <c r="S200" s="1">
        <v>0</v>
      </c>
      <c r="T200" s="1">
        <v>0</v>
      </c>
      <c r="U200" s="1">
        <v>407.60300000000001</v>
      </c>
      <c r="V200" s="1">
        <v>23.774000000000001</v>
      </c>
      <c r="W200" s="1">
        <v>0.56000000000000005</v>
      </c>
      <c r="X200" s="1">
        <v>0.23599999999999999</v>
      </c>
      <c r="Y200" s="1">
        <v>24.01</v>
      </c>
      <c r="Z200" s="1">
        <v>0.93400000000000005</v>
      </c>
      <c r="AA200" s="1">
        <v>2.9</v>
      </c>
      <c r="AB200" s="1">
        <v>2.9</v>
      </c>
      <c r="AC200" s="1">
        <v>2.9</v>
      </c>
      <c r="AD200" s="1">
        <v>0.23599999999999999</v>
      </c>
      <c r="AE200" s="1">
        <v>0.93100000000000005</v>
      </c>
      <c r="AF200" s="1">
        <v>0.22</v>
      </c>
      <c r="AG200" s="1">
        <v>2.9</v>
      </c>
      <c r="AI200" s="1">
        <v>0</v>
      </c>
      <c r="AJ200" s="1">
        <v>0</v>
      </c>
      <c r="AK200" s="1">
        <v>0</v>
      </c>
      <c r="AL200" s="1">
        <v>1</v>
      </c>
      <c r="AM200" s="1">
        <v>86400</v>
      </c>
      <c r="AN200" s="1">
        <v>81738</v>
      </c>
      <c r="AO200" s="1">
        <v>4662</v>
      </c>
      <c r="AP200" s="1">
        <v>46949</v>
      </c>
      <c r="AQ200" s="1">
        <v>1.272595674080397</v>
      </c>
    </row>
    <row r="201" spans="1:43" x14ac:dyDescent="0.45">
      <c r="A201" s="1">
        <v>162</v>
      </c>
      <c r="B201" s="1">
        <v>142</v>
      </c>
      <c r="C201" s="1">
        <v>78</v>
      </c>
      <c r="D201" s="1" t="s">
        <v>67</v>
      </c>
      <c r="E201" s="1" t="s">
        <v>68</v>
      </c>
      <c r="F201" s="1" t="s">
        <v>69</v>
      </c>
      <c r="G201" s="1" t="s">
        <v>46</v>
      </c>
      <c r="H201" s="1" t="s">
        <v>47</v>
      </c>
      <c r="I201" s="1">
        <v>1163</v>
      </c>
      <c r="J201" s="1">
        <v>33073</v>
      </c>
      <c r="K201" s="1">
        <v>1</v>
      </c>
      <c r="L201" s="1">
        <v>77</v>
      </c>
      <c r="M201" s="1">
        <v>2259</v>
      </c>
      <c r="N201" s="1" t="s">
        <v>48</v>
      </c>
      <c r="O201" s="1">
        <v>194524</v>
      </c>
      <c r="P201" s="1">
        <v>95</v>
      </c>
      <c r="Q201" s="1" t="s">
        <v>127</v>
      </c>
      <c r="R201" s="1" t="s">
        <v>50</v>
      </c>
      <c r="S201" s="1">
        <v>0</v>
      </c>
      <c r="T201" s="1">
        <v>0</v>
      </c>
      <c r="U201" s="1">
        <v>184.20400000000001</v>
      </c>
      <c r="V201" s="1">
        <v>25.36</v>
      </c>
      <c r="W201" s="1">
        <v>0.54</v>
      </c>
      <c r="X201" s="1">
        <v>0.23499999999999999</v>
      </c>
      <c r="Y201" s="1">
        <v>25.594999999999999</v>
      </c>
      <c r="Z201" s="1">
        <v>0.2</v>
      </c>
      <c r="AA201" s="1">
        <v>1.4</v>
      </c>
      <c r="AB201" s="1">
        <v>1.3</v>
      </c>
      <c r="AC201" s="1">
        <v>1.3</v>
      </c>
      <c r="AD201" s="1">
        <v>0.23499999999999999</v>
      </c>
      <c r="AE201" s="1">
        <v>5.8000000000000003E-2</v>
      </c>
      <c r="AF201" s="1">
        <v>1.4E-2</v>
      </c>
      <c r="AG201" s="1">
        <v>1.4</v>
      </c>
      <c r="AI201" s="1">
        <v>0</v>
      </c>
      <c r="AJ201" s="1">
        <v>0</v>
      </c>
      <c r="AK201" s="1">
        <v>0</v>
      </c>
      <c r="AL201" s="1">
        <v>1</v>
      </c>
      <c r="AM201" s="1">
        <v>51961</v>
      </c>
      <c r="AN201" s="1">
        <v>8701</v>
      </c>
      <c r="AO201" s="1">
        <v>43260</v>
      </c>
      <c r="AP201" s="1">
        <v>47828</v>
      </c>
      <c r="AQ201" s="1">
        <v>22.12004868858822</v>
      </c>
    </row>
    <row r="202" spans="1:43" x14ac:dyDescent="0.45">
      <c r="A202" s="1">
        <v>32</v>
      </c>
      <c r="B202" s="1">
        <v>26</v>
      </c>
      <c r="C202" s="1">
        <v>126</v>
      </c>
      <c r="D202" s="1" t="s">
        <v>51</v>
      </c>
      <c r="E202" s="1" t="s">
        <v>52</v>
      </c>
      <c r="F202" s="1" t="s">
        <v>53</v>
      </c>
      <c r="G202" s="1" t="s">
        <v>54</v>
      </c>
      <c r="H202" s="1" t="s">
        <v>47</v>
      </c>
      <c r="I202" s="1">
        <v>1113</v>
      </c>
      <c r="J202" s="1">
        <v>60690</v>
      </c>
      <c r="K202" s="1">
        <v>1</v>
      </c>
      <c r="L202" s="1">
        <v>125</v>
      </c>
      <c r="M202" s="1">
        <v>1430</v>
      </c>
      <c r="N202" s="1" t="s">
        <v>48</v>
      </c>
      <c r="O202" s="1">
        <v>14686</v>
      </c>
      <c r="P202" s="1">
        <v>95</v>
      </c>
      <c r="Q202" s="1" t="s">
        <v>127</v>
      </c>
      <c r="R202" s="1" t="s">
        <v>50</v>
      </c>
      <c r="S202" s="1">
        <v>0</v>
      </c>
      <c r="T202" s="1">
        <v>0</v>
      </c>
      <c r="U202" s="1">
        <v>116.11799999999999</v>
      </c>
      <c r="V202" s="1">
        <v>26.023</v>
      </c>
      <c r="W202" s="1">
        <v>0.61</v>
      </c>
      <c r="X202" s="1">
        <v>0.23200000000000001</v>
      </c>
      <c r="Y202" s="1">
        <v>26.256</v>
      </c>
      <c r="Z202" s="1">
        <v>3.6509999999999998</v>
      </c>
      <c r="AA202" s="1">
        <v>-0.3</v>
      </c>
      <c r="AB202" s="1">
        <v>-0.3</v>
      </c>
      <c r="AC202" s="1">
        <v>-0.3</v>
      </c>
      <c r="AD202" s="1">
        <v>0.23200000000000001</v>
      </c>
      <c r="AE202" s="1">
        <v>3.6429999999999998</v>
      </c>
      <c r="AF202" s="1">
        <v>0.84499999999999997</v>
      </c>
      <c r="AG202" s="1">
        <v>-0.3</v>
      </c>
      <c r="AI202" s="1">
        <v>0</v>
      </c>
      <c r="AJ202" s="1">
        <v>0</v>
      </c>
      <c r="AK202" s="1">
        <v>0</v>
      </c>
      <c r="AL202" s="1">
        <v>1</v>
      </c>
      <c r="AM202" s="1">
        <v>58950</v>
      </c>
      <c r="AN202" s="1">
        <v>19204</v>
      </c>
      <c r="AO202" s="1">
        <v>39746</v>
      </c>
      <c r="AP202" s="1">
        <v>47887</v>
      </c>
      <c r="AQ202" s="1">
        <v>12.08164785479444</v>
      </c>
    </row>
    <row r="203" spans="1:43" x14ac:dyDescent="0.45">
      <c r="A203" s="1">
        <v>251</v>
      </c>
      <c r="B203" s="1">
        <v>425</v>
      </c>
      <c r="C203" s="1">
        <v>24</v>
      </c>
      <c r="D203" s="1" t="s">
        <v>73</v>
      </c>
      <c r="E203" s="1" t="s">
        <v>74</v>
      </c>
      <c r="F203" s="1" t="s">
        <v>75</v>
      </c>
      <c r="G203" s="1" t="s">
        <v>46</v>
      </c>
      <c r="H203" s="1" t="s">
        <v>47</v>
      </c>
      <c r="I203" s="1">
        <v>586</v>
      </c>
      <c r="J203" s="1">
        <v>18129</v>
      </c>
      <c r="K203" s="1">
        <v>1</v>
      </c>
      <c r="L203" s="1">
        <v>23</v>
      </c>
      <c r="M203" s="1">
        <v>2067</v>
      </c>
      <c r="N203" s="1" t="s">
        <v>48</v>
      </c>
      <c r="O203" s="1">
        <v>183771</v>
      </c>
      <c r="P203" s="1">
        <v>95</v>
      </c>
      <c r="Q203" s="1" t="s">
        <v>127</v>
      </c>
      <c r="R203" s="1" t="s">
        <v>50</v>
      </c>
      <c r="S203" s="1">
        <v>0</v>
      </c>
      <c r="T203" s="1">
        <v>0</v>
      </c>
      <c r="U203" s="1">
        <v>106.956</v>
      </c>
      <c r="V203" s="1">
        <v>27.111999999999998</v>
      </c>
      <c r="W203" s="1">
        <v>0.54</v>
      </c>
      <c r="X203" s="1">
        <v>0.23</v>
      </c>
      <c r="Y203" s="1">
        <v>27.341999999999999</v>
      </c>
      <c r="Z203" s="1">
        <v>0.27100000000000002</v>
      </c>
      <c r="AA203" s="1">
        <v>-1.1000000000000001</v>
      </c>
      <c r="AB203" s="1">
        <v>-0.9</v>
      </c>
      <c r="AC203" s="1">
        <v>-0.9</v>
      </c>
      <c r="AD203" s="1">
        <v>0.23</v>
      </c>
      <c r="AE203" s="1">
        <v>0.219</v>
      </c>
      <c r="AF203" s="1">
        <v>5.0999999999999997E-2</v>
      </c>
      <c r="AG203" s="1">
        <v>-1.1000000000000001</v>
      </c>
      <c r="AI203" s="1">
        <v>0</v>
      </c>
      <c r="AJ203" s="1">
        <v>0</v>
      </c>
      <c r="AK203" s="1">
        <v>0</v>
      </c>
      <c r="AL203" s="1">
        <v>1</v>
      </c>
      <c r="AM203" s="1">
        <v>86400</v>
      </c>
      <c r="AN203" s="1">
        <v>81412</v>
      </c>
      <c r="AO203" s="1">
        <v>4988</v>
      </c>
      <c r="AP203" s="1">
        <v>47098</v>
      </c>
      <c r="AQ203" s="1">
        <v>5.9693195119678606</v>
      </c>
    </row>
    <row r="204" spans="1:43" x14ac:dyDescent="0.45">
      <c r="A204" s="1">
        <v>249</v>
      </c>
      <c r="B204" s="1">
        <v>425</v>
      </c>
      <c r="C204" s="1">
        <v>24</v>
      </c>
      <c r="D204" s="1" t="s">
        <v>73</v>
      </c>
      <c r="E204" s="1" t="s">
        <v>74</v>
      </c>
      <c r="F204" s="1" t="s">
        <v>75</v>
      </c>
      <c r="G204" s="1" t="s">
        <v>46</v>
      </c>
      <c r="H204" s="1" t="s">
        <v>47</v>
      </c>
      <c r="I204" s="1">
        <v>586</v>
      </c>
      <c r="J204" s="1">
        <v>18129</v>
      </c>
      <c r="K204" s="1">
        <v>1</v>
      </c>
      <c r="L204" s="1">
        <v>23</v>
      </c>
      <c r="M204" s="1">
        <v>2065</v>
      </c>
      <c r="N204" s="1" t="s">
        <v>48</v>
      </c>
      <c r="O204" s="1">
        <v>183760</v>
      </c>
      <c r="P204" s="1">
        <v>95</v>
      </c>
      <c r="Q204" s="1" t="s">
        <v>127</v>
      </c>
      <c r="R204" s="1" t="s">
        <v>50</v>
      </c>
      <c r="S204" s="1">
        <v>0</v>
      </c>
      <c r="T204" s="1">
        <v>0</v>
      </c>
      <c r="U204" s="1">
        <v>463.62599999999998</v>
      </c>
      <c r="V204" s="1">
        <v>27.099</v>
      </c>
      <c r="W204" s="1">
        <v>0.54</v>
      </c>
      <c r="X204" s="1">
        <v>0.22900000000000001</v>
      </c>
      <c r="Y204" s="1">
        <v>27.327999999999999</v>
      </c>
      <c r="Z204" s="1">
        <v>0.216</v>
      </c>
      <c r="AA204" s="1">
        <v>-1.6</v>
      </c>
      <c r="AB204" s="1">
        <v>-1.6</v>
      </c>
      <c r="AC204" s="1">
        <v>-1.6</v>
      </c>
      <c r="AD204" s="1">
        <v>0.22900000000000001</v>
      </c>
      <c r="AE204" s="1">
        <v>0.215</v>
      </c>
      <c r="AF204" s="1">
        <v>4.9000000000000002E-2</v>
      </c>
      <c r="AG204" s="1">
        <v>-1.6</v>
      </c>
      <c r="AI204" s="1">
        <v>0</v>
      </c>
      <c r="AJ204" s="1">
        <v>0</v>
      </c>
      <c r="AK204" s="1">
        <v>0</v>
      </c>
      <c r="AL204" s="1">
        <v>1</v>
      </c>
      <c r="AM204" s="1">
        <v>86400</v>
      </c>
      <c r="AN204" s="1">
        <v>81302</v>
      </c>
      <c r="AO204" s="1">
        <v>5098</v>
      </c>
      <c r="AP204" s="1">
        <v>47148</v>
      </c>
      <c r="AQ204" s="1">
        <v>22.064773613282629</v>
      </c>
    </row>
    <row r="205" spans="1:43" x14ac:dyDescent="0.45">
      <c r="A205" s="1">
        <v>37</v>
      </c>
      <c r="B205" s="1">
        <v>26</v>
      </c>
      <c r="C205" s="1">
        <v>126</v>
      </c>
      <c r="D205" s="1" t="s">
        <v>51</v>
      </c>
      <c r="E205" s="1" t="s">
        <v>52</v>
      </c>
      <c r="F205" s="1" t="s">
        <v>53</v>
      </c>
      <c r="G205" s="1" t="s">
        <v>54</v>
      </c>
      <c r="H205" s="1" t="s">
        <v>47</v>
      </c>
      <c r="I205" s="1">
        <v>1113</v>
      </c>
      <c r="J205" s="1">
        <v>60690</v>
      </c>
      <c r="K205" s="1">
        <v>1</v>
      </c>
      <c r="L205" s="1">
        <v>125</v>
      </c>
      <c r="M205" s="1">
        <v>1698</v>
      </c>
      <c r="N205" s="1" t="s">
        <v>48</v>
      </c>
      <c r="O205" s="1">
        <v>15206</v>
      </c>
      <c r="P205" s="1">
        <v>95</v>
      </c>
      <c r="Q205" s="1" t="s">
        <v>127</v>
      </c>
      <c r="R205" s="1" t="s">
        <v>50</v>
      </c>
      <c r="S205" s="1">
        <v>0</v>
      </c>
      <c r="T205" s="1">
        <v>0</v>
      </c>
      <c r="U205" s="1">
        <v>97.302999999999997</v>
      </c>
      <c r="V205" s="1">
        <v>25.012</v>
      </c>
      <c r="W205" s="1">
        <v>0.62</v>
      </c>
      <c r="X205" s="1">
        <v>0.22700000000000001</v>
      </c>
      <c r="Y205" s="1">
        <v>25.239000000000001</v>
      </c>
      <c r="Z205" s="1">
        <v>4.0739999999999998</v>
      </c>
      <c r="AA205" s="1">
        <v>-0.6</v>
      </c>
      <c r="AB205" s="1">
        <v>-0.6</v>
      </c>
      <c r="AC205" s="1">
        <v>-0.6</v>
      </c>
      <c r="AD205" s="1">
        <v>0.22700000000000001</v>
      </c>
      <c r="AE205" s="1">
        <v>4.069</v>
      </c>
      <c r="AF205" s="1">
        <v>0.92500000000000004</v>
      </c>
      <c r="AG205" s="1">
        <v>-0.6</v>
      </c>
      <c r="AI205" s="1">
        <v>0</v>
      </c>
      <c r="AJ205" s="1">
        <v>0</v>
      </c>
      <c r="AK205" s="1">
        <v>0</v>
      </c>
      <c r="AL205" s="1">
        <v>1</v>
      </c>
      <c r="AM205" s="1">
        <v>57591</v>
      </c>
      <c r="AN205" s="1">
        <v>16145</v>
      </c>
      <c r="AO205" s="1">
        <v>41446</v>
      </c>
      <c r="AP205" s="1">
        <v>47569</v>
      </c>
      <c r="AQ205" s="1">
        <v>1.078657226174325</v>
      </c>
    </row>
    <row r="206" spans="1:43" x14ac:dyDescent="0.45">
      <c r="A206" s="1">
        <v>271</v>
      </c>
      <c r="B206" s="1">
        <v>446</v>
      </c>
      <c r="C206" s="1">
        <v>97</v>
      </c>
      <c r="D206" s="1" t="s">
        <v>85</v>
      </c>
      <c r="E206" s="1" t="s">
        <v>86</v>
      </c>
      <c r="F206" s="1" t="s">
        <v>87</v>
      </c>
      <c r="G206" s="1" t="s">
        <v>46</v>
      </c>
      <c r="H206" s="1" t="s">
        <v>47</v>
      </c>
      <c r="I206" s="1">
        <v>1089</v>
      </c>
      <c r="J206" s="1">
        <v>26566</v>
      </c>
      <c r="K206" s="1">
        <v>1</v>
      </c>
      <c r="L206" s="1">
        <v>96</v>
      </c>
      <c r="M206" s="1">
        <v>2078</v>
      </c>
      <c r="N206" s="1" t="s">
        <v>48</v>
      </c>
      <c r="O206" s="1">
        <v>184866</v>
      </c>
      <c r="P206" s="1">
        <v>95</v>
      </c>
      <c r="Q206" s="1" t="s">
        <v>127</v>
      </c>
      <c r="R206" s="1" t="s">
        <v>50</v>
      </c>
      <c r="S206" s="1">
        <v>0</v>
      </c>
      <c r="T206" s="1">
        <v>0</v>
      </c>
      <c r="U206" s="1">
        <v>867.36900000000003</v>
      </c>
      <c r="V206" s="1">
        <v>24.741</v>
      </c>
      <c r="W206" s="1">
        <v>0.54</v>
      </c>
      <c r="X206" s="1">
        <v>0.224</v>
      </c>
      <c r="Y206" s="1">
        <v>24.965</v>
      </c>
      <c r="Z206" s="1">
        <v>0.185</v>
      </c>
      <c r="AA206" s="1">
        <v>3.1</v>
      </c>
      <c r="AB206" s="1">
        <v>3.1</v>
      </c>
      <c r="AC206" s="1">
        <v>3.1</v>
      </c>
      <c r="AD206" s="1">
        <v>0.224</v>
      </c>
      <c r="AE206" s="1">
        <v>0.184</v>
      </c>
      <c r="AF206" s="1">
        <v>4.1000000000000002E-2</v>
      </c>
      <c r="AG206" s="1">
        <v>3.1</v>
      </c>
      <c r="AI206" s="1">
        <v>0</v>
      </c>
      <c r="AJ206" s="1">
        <v>0</v>
      </c>
      <c r="AK206" s="1">
        <v>0</v>
      </c>
      <c r="AL206" s="1">
        <v>1</v>
      </c>
      <c r="AM206" s="1">
        <v>86400</v>
      </c>
      <c r="AN206" s="1">
        <v>78751</v>
      </c>
      <c r="AO206" s="1">
        <v>7649</v>
      </c>
      <c r="AP206" s="1">
        <v>43525</v>
      </c>
      <c r="AQ206" s="1">
        <v>1.37213259683311</v>
      </c>
    </row>
    <row r="207" spans="1:43" x14ac:dyDescent="0.45">
      <c r="A207" s="1">
        <v>53</v>
      </c>
      <c r="B207" s="1">
        <v>73</v>
      </c>
      <c r="C207" s="1">
        <v>83</v>
      </c>
      <c r="D207" s="1" t="s">
        <v>55</v>
      </c>
      <c r="E207" s="1" t="s">
        <v>56</v>
      </c>
      <c r="F207" s="1" t="s">
        <v>57</v>
      </c>
      <c r="G207" s="1" t="s">
        <v>46</v>
      </c>
      <c r="H207" s="1" t="s">
        <v>47</v>
      </c>
      <c r="I207" s="1">
        <v>1176</v>
      </c>
      <c r="J207" s="1">
        <v>30288</v>
      </c>
      <c r="K207" s="1">
        <v>1</v>
      </c>
      <c r="L207" s="1">
        <v>82</v>
      </c>
      <c r="M207" s="1">
        <v>2437</v>
      </c>
      <c r="N207" s="1" t="s">
        <v>48</v>
      </c>
      <c r="O207" s="1">
        <v>197614</v>
      </c>
      <c r="P207" s="1">
        <v>95</v>
      </c>
      <c r="Q207" s="1" t="s">
        <v>127</v>
      </c>
      <c r="R207" s="1" t="s">
        <v>50</v>
      </c>
      <c r="S207" s="1">
        <v>0</v>
      </c>
      <c r="T207" s="1">
        <v>0</v>
      </c>
      <c r="U207" s="1">
        <v>103.658</v>
      </c>
      <c r="V207" s="1">
        <v>25.395</v>
      </c>
      <c r="W207" s="1">
        <v>0.54</v>
      </c>
      <c r="X207" s="1">
        <v>0.223</v>
      </c>
      <c r="Y207" s="1">
        <v>25.617999999999999</v>
      </c>
      <c r="Z207" s="1">
        <v>0.223</v>
      </c>
      <c r="AA207" s="1">
        <v>0.5</v>
      </c>
      <c r="AB207" s="1">
        <v>0.5</v>
      </c>
      <c r="AC207" s="1">
        <v>0.5</v>
      </c>
      <c r="AD207" s="1">
        <v>0.223</v>
      </c>
      <c r="AE207" s="1">
        <v>0.223</v>
      </c>
      <c r="AF207" s="1">
        <v>0.05</v>
      </c>
      <c r="AG207" s="1">
        <v>0.5</v>
      </c>
      <c r="AI207" s="1">
        <v>0</v>
      </c>
      <c r="AJ207" s="1">
        <v>0</v>
      </c>
      <c r="AK207" s="1">
        <v>0</v>
      </c>
      <c r="AL207" s="1">
        <v>1</v>
      </c>
      <c r="AM207" s="1">
        <v>86400</v>
      </c>
      <c r="AN207" s="1">
        <v>78274</v>
      </c>
      <c r="AO207" s="1">
        <v>8126</v>
      </c>
      <c r="AP207" s="1">
        <v>47147</v>
      </c>
      <c r="AQ207" s="1">
        <v>20.95314867485412</v>
      </c>
    </row>
    <row r="208" spans="1:43" x14ac:dyDescent="0.45">
      <c r="A208" s="1">
        <v>222</v>
      </c>
      <c r="B208" s="1">
        <v>181</v>
      </c>
      <c r="C208" s="1">
        <v>75</v>
      </c>
      <c r="D208" s="1" t="s">
        <v>64</v>
      </c>
      <c r="E208" s="1" t="s">
        <v>65</v>
      </c>
      <c r="F208" s="1" t="s">
        <v>66</v>
      </c>
      <c r="G208" s="1" t="s">
        <v>46</v>
      </c>
      <c r="H208" s="1" t="s">
        <v>47</v>
      </c>
      <c r="I208" s="1">
        <v>1170</v>
      </c>
      <c r="J208" s="1">
        <v>33499</v>
      </c>
      <c r="K208" s="1">
        <v>1</v>
      </c>
      <c r="L208" s="1">
        <v>74</v>
      </c>
      <c r="M208" s="1">
        <v>2167</v>
      </c>
      <c r="N208" s="1" t="s">
        <v>48</v>
      </c>
      <c r="O208" s="1">
        <v>194098</v>
      </c>
      <c r="P208" s="1">
        <v>95</v>
      </c>
      <c r="Q208" s="1" t="s">
        <v>127</v>
      </c>
      <c r="R208" s="1" t="s">
        <v>50</v>
      </c>
      <c r="S208" s="1">
        <v>0</v>
      </c>
      <c r="T208" s="1">
        <v>0</v>
      </c>
      <c r="U208" s="1">
        <v>590.79899999999998</v>
      </c>
      <c r="V208" s="1">
        <v>25.291</v>
      </c>
      <c r="W208" s="1">
        <v>0.54</v>
      </c>
      <c r="X208" s="1">
        <v>0.218</v>
      </c>
      <c r="Y208" s="1">
        <v>25.509</v>
      </c>
      <c r="Z208" s="1">
        <v>0.105</v>
      </c>
      <c r="AA208" s="1">
        <v>-3</v>
      </c>
      <c r="AB208" s="1">
        <v>-3</v>
      </c>
      <c r="AC208" s="1">
        <v>-3</v>
      </c>
      <c r="AD208" s="1">
        <v>0.218</v>
      </c>
      <c r="AE208" s="1">
        <v>0.105</v>
      </c>
      <c r="AF208" s="1">
        <v>2.3E-2</v>
      </c>
      <c r="AG208" s="1">
        <v>-3</v>
      </c>
      <c r="AI208" s="1">
        <v>0</v>
      </c>
      <c r="AJ208" s="1">
        <v>0</v>
      </c>
      <c r="AK208" s="1">
        <v>0</v>
      </c>
      <c r="AL208" s="1">
        <v>1</v>
      </c>
      <c r="AM208" s="1">
        <v>86400</v>
      </c>
      <c r="AN208" s="1">
        <v>80125</v>
      </c>
      <c r="AO208" s="1">
        <v>6275</v>
      </c>
      <c r="AP208" s="1">
        <v>47022</v>
      </c>
      <c r="AQ208" s="1">
        <v>2.1864718767746849</v>
      </c>
    </row>
    <row r="209" spans="1:43" x14ac:dyDescent="0.45">
      <c r="A209" s="1">
        <v>25</v>
      </c>
      <c r="B209" s="1">
        <v>26</v>
      </c>
      <c r="C209" s="1">
        <v>126</v>
      </c>
      <c r="D209" s="1" t="s">
        <v>51</v>
      </c>
      <c r="E209" s="1" t="s">
        <v>52</v>
      </c>
      <c r="F209" s="1" t="s">
        <v>53</v>
      </c>
      <c r="G209" s="1" t="s">
        <v>54</v>
      </c>
      <c r="H209" s="1" t="s">
        <v>47</v>
      </c>
      <c r="I209" s="1">
        <v>1113</v>
      </c>
      <c r="J209" s="1">
        <v>60690</v>
      </c>
      <c r="K209" s="1">
        <v>1</v>
      </c>
      <c r="L209" s="1">
        <v>125</v>
      </c>
      <c r="M209" s="1">
        <v>972</v>
      </c>
      <c r="N209" s="1" t="s">
        <v>48</v>
      </c>
      <c r="O209" s="1">
        <v>14003</v>
      </c>
      <c r="P209" s="1">
        <v>95</v>
      </c>
      <c r="Q209" s="1" t="s">
        <v>127</v>
      </c>
      <c r="R209" s="1" t="s">
        <v>50</v>
      </c>
      <c r="S209" s="1">
        <v>0</v>
      </c>
      <c r="T209" s="1">
        <v>0</v>
      </c>
      <c r="U209" s="1">
        <v>228.09399999999999</v>
      </c>
      <c r="V209" s="1">
        <v>27.916</v>
      </c>
      <c r="W209" s="1">
        <v>0.54</v>
      </c>
      <c r="X209" s="1">
        <v>0.216</v>
      </c>
      <c r="Y209" s="1">
        <v>28.132000000000001</v>
      </c>
      <c r="Z209" s="1">
        <v>0.55500000000000005</v>
      </c>
      <c r="AA209" s="1">
        <v>1</v>
      </c>
      <c r="AB209" s="1">
        <v>1</v>
      </c>
      <c r="AC209" s="1">
        <v>1</v>
      </c>
      <c r="AD209" s="1">
        <v>0.216</v>
      </c>
      <c r="AE209" s="1">
        <v>0.55400000000000005</v>
      </c>
      <c r="AF209" s="1">
        <v>0.12</v>
      </c>
      <c r="AG209" s="1">
        <v>1</v>
      </c>
      <c r="AI209" s="1">
        <v>0</v>
      </c>
      <c r="AJ209" s="1">
        <v>0</v>
      </c>
      <c r="AK209" s="1">
        <v>0</v>
      </c>
      <c r="AL209" s="1">
        <v>1</v>
      </c>
      <c r="AM209" s="1">
        <v>86400</v>
      </c>
      <c r="AN209" s="1">
        <v>81748</v>
      </c>
      <c r="AO209" s="1">
        <v>4652</v>
      </c>
      <c r="AP209" s="1">
        <v>46838</v>
      </c>
      <c r="AQ209" s="1">
        <v>19.374882702662571</v>
      </c>
    </row>
    <row r="210" spans="1:43" x14ac:dyDescent="0.45">
      <c r="A210" s="1">
        <v>13</v>
      </c>
      <c r="B210" s="1">
        <v>26</v>
      </c>
      <c r="C210" s="1">
        <v>126</v>
      </c>
      <c r="D210" s="1" t="s">
        <v>51</v>
      </c>
      <c r="E210" s="1" t="s">
        <v>52</v>
      </c>
      <c r="F210" s="1" t="s">
        <v>53</v>
      </c>
      <c r="G210" s="1" t="s">
        <v>54</v>
      </c>
      <c r="H210" s="1" t="s">
        <v>47</v>
      </c>
      <c r="I210" s="1">
        <v>1113</v>
      </c>
      <c r="J210" s="1">
        <v>60690</v>
      </c>
      <c r="K210" s="1">
        <v>1</v>
      </c>
      <c r="L210" s="1">
        <v>125</v>
      </c>
      <c r="M210" s="1">
        <v>957</v>
      </c>
      <c r="N210" s="1" t="s">
        <v>48</v>
      </c>
      <c r="O210" s="1">
        <v>13942</v>
      </c>
      <c r="P210" s="1">
        <v>95</v>
      </c>
      <c r="Q210" s="1" t="s">
        <v>127</v>
      </c>
      <c r="R210" s="1" t="s">
        <v>50</v>
      </c>
      <c r="S210" s="1">
        <v>0</v>
      </c>
      <c r="T210" s="1">
        <v>0</v>
      </c>
      <c r="U210" s="1">
        <v>103.935</v>
      </c>
      <c r="V210" s="1">
        <v>26.231999999999999</v>
      </c>
      <c r="W210" s="1">
        <v>0.56999999999999995</v>
      </c>
      <c r="X210" s="1">
        <v>0.21099999999999999</v>
      </c>
      <c r="Y210" s="1">
        <v>26.443000000000001</v>
      </c>
      <c r="Z210" s="1">
        <v>1.7669999999999999</v>
      </c>
      <c r="AA210" s="1">
        <v>0.7</v>
      </c>
      <c r="AB210" s="1">
        <v>0.7</v>
      </c>
      <c r="AC210" s="1">
        <v>0.7</v>
      </c>
      <c r="AD210" s="1">
        <v>0.21099999999999999</v>
      </c>
      <c r="AE210" s="1">
        <v>1.7629999999999999</v>
      </c>
      <c r="AF210" s="1">
        <v>0.373</v>
      </c>
      <c r="AG210" s="1">
        <v>0.7</v>
      </c>
      <c r="AI210" s="1">
        <v>0</v>
      </c>
      <c r="AJ210" s="1">
        <v>0</v>
      </c>
      <c r="AK210" s="1">
        <v>0</v>
      </c>
      <c r="AL210" s="1">
        <v>1</v>
      </c>
      <c r="AM210" s="1">
        <v>86400</v>
      </c>
      <c r="AN210" s="1">
        <v>81970</v>
      </c>
      <c r="AO210" s="1">
        <v>4430</v>
      </c>
      <c r="AP210" s="1">
        <v>46852</v>
      </c>
      <c r="AQ210" s="1">
        <v>13.86191296548439</v>
      </c>
    </row>
    <row r="211" spans="1:43" x14ac:dyDescent="0.45">
      <c r="A211" s="1">
        <v>15</v>
      </c>
      <c r="B211" s="1">
        <v>26</v>
      </c>
      <c r="C211" s="1">
        <v>126</v>
      </c>
      <c r="D211" s="1" t="s">
        <v>51</v>
      </c>
      <c r="E211" s="1" t="s">
        <v>52</v>
      </c>
      <c r="F211" s="1" t="s">
        <v>53</v>
      </c>
      <c r="G211" s="1" t="s">
        <v>54</v>
      </c>
      <c r="H211" s="1" t="s">
        <v>47</v>
      </c>
      <c r="I211" s="1">
        <v>1113</v>
      </c>
      <c r="J211" s="1">
        <v>60690</v>
      </c>
      <c r="K211" s="1">
        <v>1</v>
      </c>
      <c r="L211" s="1">
        <v>125</v>
      </c>
      <c r="M211" s="1">
        <v>959</v>
      </c>
      <c r="N211" s="1" t="s">
        <v>48</v>
      </c>
      <c r="O211" s="1">
        <v>13947</v>
      </c>
      <c r="P211" s="1">
        <v>95</v>
      </c>
      <c r="Q211" s="1" t="s">
        <v>127</v>
      </c>
      <c r="R211" s="1" t="s">
        <v>50</v>
      </c>
      <c r="S211" s="1">
        <v>0</v>
      </c>
      <c r="T211" s="1">
        <v>0</v>
      </c>
      <c r="U211" s="1">
        <v>65.254999999999995</v>
      </c>
      <c r="V211" s="1">
        <v>25.541</v>
      </c>
      <c r="W211" s="1">
        <v>0.56000000000000005</v>
      </c>
      <c r="X211" s="1">
        <v>0.21</v>
      </c>
      <c r="Y211" s="1">
        <v>25.751999999999999</v>
      </c>
      <c r="Z211" s="1">
        <v>1.536</v>
      </c>
      <c r="AA211" s="1">
        <v>1</v>
      </c>
      <c r="AB211" s="1">
        <v>1</v>
      </c>
      <c r="AC211" s="1">
        <v>1</v>
      </c>
      <c r="AD211" s="1">
        <v>0.21</v>
      </c>
      <c r="AE211" s="1">
        <v>1.5329999999999999</v>
      </c>
      <c r="AF211" s="1">
        <v>0.32300000000000001</v>
      </c>
      <c r="AG211" s="1">
        <v>1</v>
      </c>
      <c r="AI211" s="1">
        <v>0</v>
      </c>
      <c r="AJ211" s="1">
        <v>0</v>
      </c>
      <c r="AK211" s="1">
        <v>0</v>
      </c>
      <c r="AL211" s="1">
        <v>1</v>
      </c>
      <c r="AM211" s="1">
        <v>86400</v>
      </c>
      <c r="AN211" s="1">
        <v>82156</v>
      </c>
      <c r="AO211" s="1">
        <v>4244</v>
      </c>
      <c r="AP211" s="1">
        <v>46903</v>
      </c>
      <c r="AQ211" s="1">
        <v>8.1583103042716871</v>
      </c>
    </row>
    <row r="212" spans="1:43" x14ac:dyDescent="0.45">
      <c r="A212" s="1">
        <v>154</v>
      </c>
      <c r="B212" s="1">
        <v>142</v>
      </c>
      <c r="C212" s="1">
        <v>78</v>
      </c>
      <c r="D212" s="1" t="s">
        <v>67</v>
      </c>
      <c r="E212" s="1" t="s">
        <v>68</v>
      </c>
      <c r="F212" s="1" t="s">
        <v>69</v>
      </c>
      <c r="G212" s="1" t="s">
        <v>46</v>
      </c>
      <c r="H212" s="1" t="s">
        <v>47</v>
      </c>
      <c r="I212" s="1">
        <v>1163</v>
      </c>
      <c r="J212" s="1">
        <v>33073</v>
      </c>
      <c r="K212" s="1">
        <v>1</v>
      </c>
      <c r="L212" s="1">
        <v>77</v>
      </c>
      <c r="M212" s="1">
        <v>2249</v>
      </c>
      <c r="N212" s="1" t="s">
        <v>48</v>
      </c>
      <c r="O212" s="1">
        <v>194275</v>
      </c>
      <c r="P212" s="1">
        <v>95</v>
      </c>
      <c r="Q212" s="1" t="s">
        <v>127</v>
      </c>
      <c r="R212" s="1" t="s">
        <v>50</v>
      </c>
      <c r="S212" s="1">
        <v>0</v>
      </c>
      <c r="T212" s="1">
        <v>0</v>
      </c>
      <c r="U212" s="1">
        <v>87.491</v>
      </c>
      <c r="V212" s="1">
        <v>25.385000000000002</v>
      </c>
      <c r="W212" s="1">
        <v>0.53</v>
      </c>
      <c r="X212" s="1">
        <v>0.21</v>
      </c>
      <c r="Y212" s="1">
        <v>25.594999999999999</v>
      </c>
      <c r="Z212" s="1">
        <v>8.4000000000000005E-2</v>
      </c>
      <c r="AA212" s="1">
        <v>2.1</v>
      </c>
      <c r="AB212" s="1">
        <v>1.5</v>
      </c>
      <c r="AC212" s="1">
        <v>1.5</v>
      </c>
      <c r="AD212" s="1">
        <v>0.21</v>
      </c>
      <c r="AE212" s="1">
        <v>5.2999999999999999E-2</v>
      </c>
      <c r="AF212" s="1">
        <v>1.0999999999999999E-2</v>
      </c>
      <c r="AG212" s="1">
        <v>2.1</v>
      </c>
      <c r="AI212" s="1">
        <v>0</v>
      </c>
      <c r="AJ212" s="1">
        <v>0</v>
      </c>
      <c r="AK212" s="1">
        <v>0</v>
      </c>
      <c r="AL212" s="1">
        <v>1</v>
      </c>
      <c r="AM212" s="1">
        <v>51629</v>
      </c>
      <c r="AN212" s="1">
        <v>8210</v>
      </c>
      <c r="AO212" s="1">
        <v>43419</v>
      </c>
      <c r="AP212" s="1">
        <v>47487</v>
      </c>
      <c r="AQ212" s="1">
        <v>1.836567749218486</v>
      </c>
    </row>
    <row r="213" spans="1:43" x14ac:dyDescent="0.45">
      <c r="A213" s="1">
        <v>223</v>
      </c>
      <c r="B213" s="1">
        <v>181</v>
      </c>
      <c r="C213" s="1">
        <v>75</v>
      </c>
      <c r="D213" s="1" t="s">
        <v>64</v>
      </c>
      <c r="E213" s="1" t="s">
        <v>65</v>
      </c>
      <c r="F213" s="1" t="s">
        <v>66</v>
      </c>
      <c r="G213" s="1" t="s">
        <v>46</v>
      </c>
      <c r="H213" s="1" t="s">
        <v>47</v>
      </c>
      <c r="I213" s="1">
        <v>1170</v>
      </c>
      <c r="J213" s="1">
        <v>33499</v>
      </c>
      <c r="K213" s="1">
        <v>1</v>
      </c>
      <c r="L213" s="1">
        <v>74</v>
      </c>
      <c r="M213" s="1">
        <v>2168</v>
      </c>
      <c r="N213" s="1" t="s">
        <v>48</v>
      </c>
      <c r="O213" s="1">
        <v>194101</v>
      </c>
      <c r="P213" s="1">
        <v>95</v>
      </c>
      <c r="Q213" s="1" t="s">
        <v>127</v>
      </c>
      <c r="R213" s="1" t="s">
        <v>50</v>
      </c>
      <c r="S213" s="1">
        <v>0</v>
      </c>
      <c r="T213" s="1">
        <v>0</v>
      </c>
      <c r="U213" s="1">
        <v>715.21299999999997</v>
      </c>
      <c r="V213" s="1">
        <v>25.327000000000002</v>
      </c>
      <c r="W213" s="1">
        <v>0.53</v>
      </c>
      <c r="X213" s="1">
        <v>0.20799999999999999</v>
      </c>
      <c r="Y213" s="1">
        <v>25.536000000000001</v>
      </c>
      <c r="Z213" s="1">
        <v>0.159</v>
      </c>
      <c r="AA213" s="1">
        <v>3</v>
      </c>
      <c r="AB213" s="1">
        <v>3</v>
      </c>
      <c r="AC213" s="1">
        <v>3</v>
      </c>
      <c r="AD213" s="1">
        <v>0.20799999999999999</v>
      </c>
      <c r="AE213" s="1">
        <v>0.159</v>
      </c>
      <c r="AF213" s="1">
        <v>3.3000000000000002E-2</v>
      </c>
      <c r="AG213" s="1">
        <v>3</v>
      </c>
      <c r="AI213" s="1">
        <v>0</v>
      </c>
      <c r="AJ213" s="1">
        <v>0</v>
      </c>
      <c r="AK213" s="1">
        <v>0</v>
      </c>
      <c r="AL213" s="1">
        <v>1</v>
      </c>
      <c r="AM213" s="1">
        <v>86400</v>
      </c>
      <c r="AN213" s="1">
        <v>80651</v>
      </c>
      <c r="AO213" s="1">
        <v>5749</v>
      </c>
      <c r="AP213" s="1">
        <v>45024</v>
      </c>
      <c r="AQ213" s="1">
        <v>1.706065039508726</v>
      </c>
    </row>
    <row r="214" spans="1:43" x14ac:dyDescent="0.45">
      <c r="A214" s="1">
        <v>34</v>
      </c>
      <c r="B214" s="1">
        <v>26</v>
      </c>
      <c r="C214" s="1">
        <v>126</v>
      </c>
      <c r="D214" s="1" t="s">
        <v>51</v>
      </c>
      <c r="E214" s="1" t="s">
        <v>52</v>
      </c>
      <c r="F214" s="1" t="s">
        <v>53</v>
      </c>
      <c r="G214" s="1" t="s">
        <v>54</v>
      </c>
      <c r="H214" s="1" t="s">
        <v>47</v>
      </c>
      <c r="I214" s="1">
        <v>1113</v>
      </c>
      <c r="J214" s="1">
        <v>60690</v>
      </c>
      <c r="K214" s="1">
        <v>1</v>
      </c>
      <c r="L214" s="1">
        <v>125</v>
      </c>
      <c r="M214" s="1">
        <v>1687</v>
      </c>
      <c r="N214" s="1" t="s">
        <v>48</v>
      </c>
      <c r="O214" s="1">
        <v>15185</v>
      </c>
      <c r="P214" s="1">
        <v>95</v>
      </c>
      <c r="Q214" s="1" t="s">
        <v>127</v>
      </c>
      <c r="R214" s="1" t="s">
        <v>50</v>
      </c>
      <c r="S214" s="1">
        <v>0</v>
      </c>
      <c r="T214" s="1">
        <v>0</v>
      </c>
      <c r="U214" s="1">
        <v>93.272000000000006</v>
      </c>
      <c r="V214" s="1">
        <v>24.382000000000001</v>
      </c>
      <c r="W214" s="1">
        <v>0.62</v>
      </c>
      <c r="X214" s="1">
        <v>0.20599999999999999</v>
      </c>
      <c r="Y214" s="1">
        <v>24.587</v>
      </c>
      <c r="Z214" s="1">
        <v>4.7670000000000003</v>
      </c>
      <c r="AA214" s="1">
        <v>-0.8</v>
      </c>
      <c r="AB214" s="1">
        <v>-0.8</v>
      </c>
      <c r="AC214" s="1">
        <v>-0.8</v>
      </c>
      <c r="AD214" s="1">
        <v>0.20599999999999999</v>
      </c>
      <c r="AE214" s="1">
        <v>4.7610000000000001</v>
      </c>
      <c r="AF214" s="1">
        <v>0.97899999999999998</v>
      </c>
      <c r="AG214" s="1">
        <v>-0.8</v>
      </c>
      <c r="AI214" s="1">
        <v>0</v>
      </c>
      <c r="AJ214" s="1">
        <v>0</v>
      </c>
      <c r="AK214" s="1">
        <v>0</v>
      </c>
      <c r="AL214" s="1">
        <v>1</v>
      </c>
      <c r="AM214" s="1">
        <v>57642</v>
      </c>
      <c r="AN214" s="1">
        <v>16286</v>
      </c>
      <c r="AO214" s="1">
        <v>41355</v>
      </c>
      <c r="AP214" s="1">
        <v>48612</v>
      </c>
      <c r="AQ214" s="1">
        <v>12.84040706273565</v>
      </c>
    </row>
    <row r="215" spans="1:43" x14ac:dyDescent="0.45">
      <c r="A215" s="1">
        <v>60</v>
      </c>
      <c r="B215" s="1">
        <v>73</v>
      </c>
      <c r="C215" s="1">
        <v>83</v>
      </c>
      <c r="D215" s="1" t="s">
        <v>55</v>
      </c>
      <c r="E215" s="1" t="s">
        <v>56</v>
      </c>
      <c r="F215" s="1" t="s">
        <v>57</v>
      </c>
      <c r="G215" s="1" t="s">
        <v>46</v>
      </c>
      <c r="H215" s="1" t="s">
        <v>47</v>
      </c>
      <c r="I215" s="1">
        <v>1176</v>
      </c>
      <c r="J215" s="1">
        <v>30288</v>
      </c>
      <c r="K215" s="1">
        <v>1</v>
      </c>
      <c r="L215" s="1">
        <v>82</v>
      </c>
      <c r="M215" s="1">
        <v>2451</v>
      </c>
      <c r="N215" s="1" t="s">
        <v>48</v>
      </c>
      <c r="O215" s="1">
        <v>197648</v>
      </c>
      <c r="P215" s="1">
        <v>95</v>
      </c>
      <c r="Q215" s="1" t="s">
        <v>127</v>
      </c>
      <c r="R215" s="1" t="s">
        <v>50</v>
      </c>
      <c r="S215" s="1">
        <v>0</v>
      </c>
      <c r="T215" s="1">
        <v>0</v>
      </c>
      <c r="U215" s="1">
        <v>50.125999999999998</v>
      </c>
      <c r="V215" s="1">
        <v>25.39</v>
      </c>
      <c r="W215" s="1">
        <v>0.54</v>
      </c>
      <c r="X215" s="1">
        <v>0.20599999999999999</v>
      </c>
      <c r="Y215" s="1">
        <v>25.594999999999999</v>
      </c>
      <c r="Z215" s="1">
        <v>0.19500000000000001</v>
      </c>
      <c r="AA215" s="1">
        <v>0.7</v>
      </c>
      <c r="AB215" s="1">
        <v>0.7</v>
      </c>
      <c r="AC215" s="1">
        <v>0.7</v>
      </c>
      <c r="AD215" s="1">
        <v>0.20599999999999999</v>
      </c>
      <c r="AE215" s="1">
        <v>0.19500000000000001</v>
      </c>
      <c r="AF215" s="1">
        <v>0.04</v>
      </c>
      <c r="AG215" s="1">
        <v>0.7</v>
      </c>
      <c r="AI215" s="1">
        <v>0</v>
      </c>
      <c r="AJ215" s="1">
        <v>0</v>
      </c>
      <c r="AK215" s="1">
        <v>0</v>
      </c>
      <c r="AL215" s="1">
        <v>1</v>
      </c>
      <c r="AM215" s="1">
        <v>57892</v>
      </c>
      <c r="AN215" s="1">
        <v>20628</v>
      </c>
      <c r="AO215" s="1">
        <v>37264</v>
      </c>
      <c r="AP215" s="1">
        <v>47352</v>
      </c>
      <c r="AQ215" s="1">
        <v>3.8051731273319378</v>
      </c>
    </row>
    <row r="216" spans="1:43" x14ac:dyDescent="0.45">
      <c r="A216" s="1">
        <v>278</v>
      </c>
      <c r="B216" s="1">
        <v>450</v>
      </c>
      <c r="C216" s="1">
        <v>97</v>
      </c>
      <c r="D216" s="1" t="s">
        <v>85</v>
      </c>
      <c r="E216" s="1" t="s">
        <v>86</v>
      </c>
      <c r="F216" s="1" t="s">
        <v>87</v>
      </c>
      <c r="G216" s="1" t="s">
        <v>46</v>
      </c>
      <c r="H216" s="1" t="s">
        <v>47</v>
      </c>
      <c r="I216" s="1">
        <v>1089</v>
      </c>
      <c r="J216" s="1">
        <v>26566</v>
      </c>
      <c r="K216" s="1">
        <v>1</v>
      </c>
      <c r="L216" s="1">
        <v>96</v>
      </c>
      <c r="M216" s="1">
        <v>2083</v>
      </c>
      <c r="N216" s="1" t="s">
        <v>48</v>
      </c>
      <c r="O216" s="1">
        <v>184881</v>
      </c>
      <c r="P216" s="1">
        <v>95</v>
      </c>
      <c r="Q216" s="1" t="s">
        <v>127</v>
      </c>
      <c r="R216" s="1" t="s">
        <v>50</v>
      </c>
      <c r="S216" s="1">
        <v>0</v>
      </c>
      <c r="T216" s="1">
        <v>0</v>
      </c>
      <c r="U216" s="1">
        <v>126.512</v>
      </c>
      <c r="V216" s="1">
        <v>25.347999999999999</v>
      </c>
      <c r="W216" s="1">
        <v>0.55000000000000004</v>
      </c>
      <c r="X216" s="1">
        <v>0.20599999999999999</v>
      </c>
      <c r="Y216" s="1">
        <v>25.553999999999998</v>
      </c>
      <c r="Z216" s="1">
        <v>0.79300000000000004</v>
      </c>
      <c r="AA216" s="1">
        <v>0.1</v>
      </c>
      <c r="AB216" s="1">
        <v>0.1</v>
      </c>
      <c r="AC216" s="1">
        <v>0.1</v>
      </c>
      <c r="AD216" s="1">
        <v>0.20599999999999999</v>
      </c>
      <c r="AE216" s="1">
        <v>0.79200000000000004</v>
      </c>
      <c r="AF216" s="1">
        <v>0.16400000000000001</v>
      </c>
      <c r="AG216" s="1">
        <v>0.1</v>
      </c>
      <c r="AI216" s="1">
        <v>0</v>
      </c>
      <c r="AJ216" s="1">
        <v>0</v>
      </c>
      <c r="AK216" s="1">
        <v>0</v>
      </c>
      <c r="AL216" s="1">
        <v>1</v>
      </c>
      <c r="AM216" s="1">
        <v>71693</v>
      </c>
      <c r="AN216" s="1">
        <v>27768</v>
      </c>
      <c r="AO216" s="1">
        <v>43889</v>
      </c>
      <c r="AP216" s="1">
        <v>49709</v>
      </c>
      <c r="AQ216" s="1">
        <v>21.192493647705771</v>
      </c>
    </row>
    <row r="217" spans="1:43" x14ac:dyDescent="0.45">
      <c r="A217" s="1">
        <v>65</v>
      </c>
      <c r="B217" s="1">
        <v>74</v>
      </c>
      <c r="C217" s="1">
        <v>83</v>
      </c>
      <c r="D217" s="1" t="s">
        <v>55</v>
      </c>
      <c r="E217" s="1" t="s">
        <v>56</v>
      </c>
      <c r="F217" s="1" t="s">
        <v>57</v>
      </c>
      <c r="G217" s="1" t="s">
        <v>46</v>
      </c>
      <c r="H217" s="1" t="s">
        <v>47</v>
      </c>
      <c r="I217" s="1">
        <v>1176</v>
      </c>
      <c r="J217" s="1">
        <v>30288</v>
      </c>
      <c r="K217" s="1">
        <v>1</v>
      </c>
      <c r="L217" s="1">
        <v>82</v>
      </c>
      <c r="M217" s="1">
        <v>2420</v>
      </c>
      <c r="N217" s="1" t="s">
        <v>48</v>
      </c>
      <c r="O217" s="1">
        <v>197563</v>
      </c>
      <c r="P217" s="1">
        <v>95</v>
      </c>
      <c r="Q217" s="1" t="s">
        <v>127</v>
      </c>
      <c r="R217" s="1" t="s">
        <v>50</v>
      </c>
      <c r="S217" s="1">
        <v>0</v>
      </c>
      <c r="T217" s="1">
        <v>0</v>
      </c>
      <c r="U217" s="1">
        <v>552.46799999999996</v>
      </c>
      <c r="V217" s="1">
        <v>25.45</v>
      </c>
      <c r="W217" s="1">
        <v>0.53</v>
      </c>
      <c r="X217" s="1">
        <v>0.20499999999999999</v>
      </c>
      <c r="Y217" s="1">
        <v>25.655000000000001</v>
      </c>
      <c r="Z217" s="1">
        <v>0.17399999999999999</v>
      </c>
      <c r="AA217" s="1">
        <v>0.7</v>
      </c>
      <c r="AB217" s="1">
        <v>0.7</v>
      </c>
      <c r="AC217" s="1">
        <v>0.7</v>
      </c>
      <c r="AD217" s="1">
        <v>0.20499999999999999</v>
      </c>
      <c r="AE217" s="1">
        <v>0.17399999999999999</v>
      </c>
      <c r="AF217" s="1">
        <v>3.5999999999999997E-2</v>
      </c>
      <c r="AG217" s="1">
        <v>0.7</v>
      </c>
      <c r="AI217" s="1">
        <v>0</v>
      </c>
      <c r="AJ217" s="1">
        <v>0</v>
      </c>
      <c r="AK217" s="1">
        <v>0</v>
      </c>
      <c r="AL217" s="1">
        <v>1</v>
      </c>
      <c r="AM217" s="1">
        <v>86400</v>
      </c>
      <c r="AN217" s="1">
        <v>80750</v>
      </c>
      <c r="AO217" s="1">
        <v>5650</v>
      </c>
      <c r="AP217" s="1">
        <v>46901</v>
      </c>
      <c r="AQ217" s="1">
        <v>0.69662298424265845</v>
      </c>
    </row>
    <row r="218" spans="1:43" x14ac:dyDescent="0.45">
      <c r="A218" s="1">
        <v>265</v>
      </c>
      <c r="B218" s="1">
        <v>439</v>
      </c>
      <c r="C218" s="1">
        <v>94</v>
      </c>
      <c r="D218" s="1" t="s">
        <v>82</v>
      </c>
      <c r="E218" s="1" t="s">
        <v>83</v>
      </c>
      <c r="F218" s="1" t="s">
        <v>84</v>
      </c>
      <c r="G218" s="1" t="s">
        <v>46</v>
      </c>
      <c r="H218" s="1" t="s">
        <v>47</v>
      </c>
      <c r="I218" s="1">
        <v>490</v>
      </c>
      <c r="J218" s="1">
        <v>12595</v>
      </c>
      <c r="K218" s="1">
        <v>1</v>
      </c>
      <c r="L218" s="1">
        <v>93</v>
      </c>
      <c r="M218" s="1">
        <v>2106</v>
      </c>
      <c r="N218" s="1" t="s">
        <v>48</v>
      </c>
      <c r="O218" s="1">
        <v>185080</v>
      </c>
      <c r="P218" s="1">
        <v>95</v>
      </c>
      <c r="Q218" s="1" t="s">
        <v>127</v>
      </c>
      <c r="R218" s="1" t="s">
        <v>50</v>
      </c>
      <c r="S218" s="1">
        <v>0</v>
      </c>
      <c r="T218" s="1">
        <v>0</v>
      </c>
      <c r="U218" s="1">
        <v>129.07900000000001</v>
      </c>
      <c r="V218" s="1">
        <v>24.146999999999998</v>
      </c>
      <c r="W218" s="1">
        <v>0.55000000000000004</v>
      </c>
      <c r="X218" s="1">
        <v>0.20499999999999999</v>
      </c>
      <c r="Y218" s="1">
        <v>24.352</v>
      </c>
      <c r="Z218" s="1">
        <v>0.84599999999999997</v>
      </c>
      <c r="AA218" s="1">
        <v>-3.1</v>
      </c>
      <c r="AB218" s="1">
        <v>-2.9</v>
      </c>
      <c r="AC218" s="1">
        <v>-2.9</v>
      </c>
      <c r="AD218" s="1">
        <v>0.20499999999999999</v>
      </c>
      <c r="AE218" s="1">
        <v>0.82599999999999996</v>
      </c>
      <c r="AF218" s="1">
        <v>0.16900000000000001</v>
      </c>
      <c r="AG218" s="1">
        <v>-3.1</v>
      </c>
      <c r="AI218" s="1">
        <v>0</v>
      </c>
      <c r="AJ218" s="1">
        <v>0</v>
      </c>
      <c r="AK218" s="1">
        <v>0</v>
      </c>
      <c r="AL218" s="1">
        <v>1</v>
      </c>
      <c r="AM218" s="1">
        <v>61662</v>
      </c>
      <c r="AN218" s="1">
        <v>29011</v>
      </c>
      <c r="AO218" s="1">
        <v>32651</v>
      </c>
      <c r="AP218" s="1">
        <v>46973</v>
      </c>
      <c r="AQ218" s="1">
        <v>2.2360358767229358</v>
      </c>
    </row>
    <row r="219" spans="1:43" x14ac:dyDescent="0.45">
      <c r="A219" s="1">
        <v>50</v>
      </c>
      <c r="B219" s="1">
        <v>73</v>
      </c>
      <c r="C219" s="1">
        <v>83</v>
      </c>
      <c r="D219" s="1" t="s">
        <v>55</v>
      </c>
      <c r="E219" s="1" t="s">
        <v>56</v>
      </c>
      <c r="F219" s="1" t="s">
        <v>57</v>
      </c>
      <c r="G219" s="1" t="s">
        <v>46</v>
      </c>
      <c r="H219" s="1" t="s">
        <v>47</v>
      </c>
      <c r="I219" s="1">
        <v>1176</v>
      </c>
      <c r="J219" s="1">
        <v>30288</v>
      </c>
      <c r="K219" s="1">
        <v>1</v>
      </c>
      <c r="L219" s="1">
        <v>82</v>
      </c>
      <c r="M219" s="1">
        <v>2434</v>
      </c>
      <c r="N219" s="1" t="s">
        <v>48</v>
      </c>
      <c r="O219" s="1">
        <v>197607</v>
      </c>
      <c r="P219" s="1">
        <v>95</v>
      </c>
      <c r="Q219" s="1" t="s">
        <v>127</v>
      </c>
      <c r="R219" s="1" t="s">
        <v>50</v>
      </c>
      <c r="S219" s="1">
        <v>0</v>
      </c>
      <c r="T219" s="1">
        <v>0</v>
      </c>
      <c r="U219" s="1">
        <v>321.52999999999997</v>
      </c>
      <c r="V219" s="1">
        <v>25.452000000000002</v>
      </c>
      <c r="W219" s="1">
        <v>0.53</v>
      </c>
      <c r="X219" s="1">
        <v>0.19900000000000001</v>
      </c>
      <c r="Y219" s="1">
        <v>25.651</v>
      </c>
      <c r="Z219" s="1">
        <v>0.152</v>
      </c>
      <c r="AA219" s="1">
        <v>0.1</v>
      </c>
      <c r="AB219" s="1">
        <v>0.2</v>
      </c>
      <c r="AC219" s="1">
        <v>0.2</v>
      </c>
      <c r="AD219" s="1">
        <v>0.19900000000000001</v>
      </c>
      <c r="AE219" s="1">
        <v>0.14199999999999999</v>
      </c>
      <c r="AF219" s="1">
        <v>2.8000000000000001E-2</v>
      </c>
      <c r="AG219" s="1">
        <v>0.1</v>
      </c>
      <c r="AI219" s="1">
        <v>0</v>
      </c>
      <c r="AJ219" s="1">
        <v>0</v>
      </c>
      <c r="AK219" s="1">
        <v>0</v>
      </c>
      <c r="AL219" s="1">
        <v>1</v>
      </c>
      <c r="AM219" s="1">
        <v>86400</v>
      </c>
      <c r="AN219" s="1">
        <v>79376</v>
      </c>
      <c r="AO219" s="1">
        <v>7024</v>
      </c>
      <c r="AP219" s="1">
        <v>47377</v>
      </c>
      <c r="AQ219" s="1">
        <v>24.308660373477451</v>
      </c>
    </row>
    <row r="220" spans="1:43" x14ac:dyDescent="0.45">
      <c r="A220" s="1">
        <v>67</v>
      </c>
      <c r="B220" s="1">
        <v>77</v>
      </c>
      <c r="C220" s="1">
        <v>46</v>
      </c>
      <c r="D220" s="1" t="s">
        <v>58</v>
      </c>
      <c r="E220" s="1" t="s">
        <v>59</v>
      </c>
      <c r="F220" s="1" t="s">
        <v>60</v>
      </c>
      <c r="G220" s="1" t="s">
        <v>54</v>
      </c>
      <c r="H220" s="1" t="s">
        <v>47</v>
      </c>
      <c r="I220" s="1">
        <v>503</v>
      </c>
      <c r="J220" s="1">
        <v>17406</v>
      </c>
      <c r="K220" s="1">
        <v>1</v>
      </c>
      <c r="L220" s="1">
        <v>45</v>
      </c>
      <c r="M220" s="1">
        <v>2402</v>
      </c>
      <c r="N220" s="1" t="s">
        <v>48</v>
      </c>
      <c r="O220" s="1">
        <v>196200</v>
      </c>
      <c r="P220" s="1">
        <v>95</v>
      </c>
      <c r="Q220" s="1" t="s">
        <v>127</v>
      </c>
      <c r="R220" s="1" t="s">
        <v>50</v>
      </c>
      <c r="S220" s="1">
        <v>0</v>
      </c>
      <c r="T220" s="1">
        <v>0</v>
      </c>
      <c r="U220" s="1">
        <v>69.38</v>
      </c>
      <c r="V220" s="1">
        <v>25.478999999999999</v>
      </c>
      <c r="W220" s="1">
        <v>0.55000000000000004</v>
      </c>
      <c r="X220" s="1">
        <v>0.193</v>
      </c>
      <c r="Y220" s="1">
        <v>25.670999999999999</v>
      </c>
      <c r="Z220" s="1">
        <v>1.0169999999999999</v>
      </c>
      <c r="AA220" s="1">
        <v>2.2000000000000002</v>
      </c>
      <c r="AB220" s="1">
        <v>2.2999999999999998</v>
      </c>
      <c r="AC220" s="1">
        <v>2.2999999999999998</v>
      </c>
      <c r="AD220" s="1">
        <v>0.193</v>
      </c>
      <c r="AE220" s="1">
        <v>0.93799999999999994</v>
      </c>
      <c r="AF220" s="1">
        <v>0.183</v>
      </c>
      <c r="AG220" s="1">
        <v>2.2000000000000002</v>
      </c>
      <c r="AI220" s="1">
        <v>0</v>
      </c>
      <c r="AJ220" s="1">
        <v>0</v>
      </c>
      <c r="AK220" s="1">
        <v>0</v>
      </c>
      <c r="AL220" s="1">
        <v>1</v>
      </c>
      <c r="AM220" s="1">
        <v>51038</v>
      </c>
      <c r="AN220" s="1">
        <v>7783</v>
      </c>
      <c r="AO220" s="1">
        <v>43255</v>
      </c>
      <c r="AP220" s="1">
        <v>46938</v>
      </c>
      <c r="AQ220" s="1">
        <v>29.380944822880039</v>
      </c>
    </row>
    <row r="221" spans="1:43" x14ac:dyDescent="0.45">
      <c r="A221" s="1">
        <v>178</v>
      </c>
      <c r="B221" s="1">
        <v>142</v>
      </c>
      <c r="C221" s="1">
        <v>78</v>
      </c>
      <c r="D221" s="1" t="s">
        <v>67</v>
      </c>
      <c r="E221" s="1" t="s">
        <v>68</v>
      </c>
      <c r="F221" s="1" t="s">
        <v>69</v>
      </c>
      <c r="G221" s="1" t="s">
        <v>46</v>
      </c>
      <c r="H221" s="1" t="s">
        <v>47</v>
      </c>
      <c r="I221" s="1">
        <v>1163</v>
      </c>
      <c r="J221" s="1">
        <v>33073</v>
      </c>
      <c r="K221" s="1">
        <v>1</v>
      </c>
      <c r="L221" s="1">
        <v>77</v>
      </c>
      <c r="M221" s="1">
        <v>2414</v>
      </c>
      <c r="N221" s="1" t="s">
        <v>48</v>
      </c>
      <c r="O221" s="1">
        <v>197554</v>
      </c>
      <c r="P221" s="1">
        <v>95</v>
      </c>
      <c r="Q221" s="1" t="s">
        <v>127</v>
      </c>
      <c r="R221" s="1" t="s">
        <v>50</v>
      </c>
      <c r="S221" s="1">
        <v>0</v>
      </c>
      <c r="T221" s="1">
        <v>0</v>
      </c>
      <c r="U221" s="1">
        <v>145.07400000000001</v>
      </c>
      <c r="V221" s="1">
        <v>25.436</v>
      </c>
      <c r="W221" s="1">
        <v>0.53</v>
      </c>
      <c r="X221" s="1">
        <v>0.191</v>
      </c>
      <c r="Y221" s="1">
        <v>25.626999999999999</v>
      </c>
      <c r="Z221" s="1">
        <v>7.0000000000000007E-2</v>
      </c>
      <c r="AA221" s="1">
        <v>-0.1</v>
      </c>
      <c r="AB221" s="1">
        <v>-0.1</v>
      </c>
      <c r="AC221" s="1">
        <v>-0.1</v>
      </c>
      <c r="AD221" s="1">
        <v>0.191</v>
      </c>
      <c r="AE221" s="1">
        <v>7.0000000000000007E-2</v>
      </c>
      <c r="AF221" s="1">
        <v>1.2999999999999999E-2</v>
      </c>
      <c r="AG221" s="1">
        <v>-0.1</v>
      </c>
      <c r="AI221" s="1">
        <v>0</v>
      </c>
      <c r="AJ221" s="1">
        <v>0</v>
      </c>
      <c r="AK221" s="1">
        <v>0</v>
      </c>
      <c r="AL221" s="1">
        <v>1</v>
      </c>
      <c r="AM221" s="1">
        <v>61966</v>
      </c>
      <c r="AN221" s="1">
        <v>29234</v>
      </c>
      <c r="AO221" s="1">
        <v>32732</v>
      </c>
      <c r="AP221" s="1">
        <v>47007</v>
      </c>
      <c r="AQ221" s="1">
        <v>0.29438601974343598</v>
      </c>
    </row>
    <row r="222" spans="1:43" x14ac:dyDescent="0.45">
      <c r="A222" s="1">
        <v>24</v>
      </c>
      <c r="B222" s="1">
        <v>26</v>
      </c>
      <c r="C222" s="1">
        <v>126</v>
      </c>
      <c r="D222" s="1" t="s">
        <v>51</v>
      </c>
      <c r="E222" s="1" t="s">
        <v>52</v>
      </c>
      <c r="F222" s="1" t="s">
        <v>53</v>
      </c>
      <c r="G222" s="1" t="s">
        <v>54</v>
      </c>
      <c r="H222" s="1" t="s">
        <v>47</v>
      </c>
      <c r="I222" s="1">
        <v>1113</v>
      </c>
      <c r="J222" s="1">
        <v>60690</v>
      </c>
      <c r="K222" s="1">
        <v>1</v>
      </c>
      <c r="L222" s="1">
        <v>125</v>
      </c>
      <c r="M222" s="1">
        <v>971</v>
      </c>
      <c r="N222" s="1" t="s">
        <v>48</v>
      </c>
      <c r="O222" s="1">
        <v>13998</v>
      </c>
      <c r="P222" s="1">
        <v>95</v>
      </c>
      <c r="Q222" s="1" t="s">
        <v>127</v>
      </c>
      <c r="R222" s="1" t="s">
        <v>50</v>
      </c>
      <c r="S222" s="1">
        <v>0</v>
      </c>
      <c r="T222" s="1">
        <v>0</v>
      </c>
      <c r="U222" s="1">
        <v>119.096</v>
      </c>
      <c r="V222" s="1">
        <v>27.666</v>
      </c>
      <c r="W222" s="1">
        <v>0.54</v>
      </c>
      <c r="X222" s="1">
        <v>0.189</v>
      </c>
      <c r="Y222" s="1">
        <v>27.855</v>
      </c>
      <c r="Z222" s="1">
        <v>0.65500000000000003</v>
      </c>
      <c r="AA222" s="1">
        <v>1</v>
      </c>
      <c r="AB222" s="1">
        <v>0.9</v>
      </c>
      <c r="AC222" s="1">
        <v>0.9</v>
      </c>
      <c r="AD222" s="1">
        <v>0.189</v>
      </c>
      <c r="AE222" s="1">
        <v>0.55700000000000005</v>
      </c>
      <c r="AF222" s="1">
        <v>0.105</v>
      </c>
      <c r="AG222" s="1">
        <v>1</v>
      </c>
      <c r="AI222" s="1">
        <v>0</v>
      </c>
      <c r="AJ222" s="1">
        <v>0</v>
      </c>
      <c r="AK222" s="1">
        <v>0</v>
      </c>
      <c r="AL222" s="1">
        <v>1</v>
      </c>
      <c r="AM222" s="1">
        <v>86400</v>
      </c>
      <c r="AN222" s="1">
        <v>81557</v>
      </c>
      <c r="AO222" s="1">
        <v>4843</v>
      </c>
      <c r="AP222" s="1">
        <v>47141</v>
      </c>
      <c r="AQ222" s="1">
        <v>10.97122603180012</v>
      </c>
    </row>
    <row r="223" spans="1:43" x14ac:dyDescent="0.45">
      <c r="A223" s="1">
        <v>39</v>
      </c>
      <c r="B223" s="1">
        <v>26</v>
      </c>
      <c r="C223" s="1">
        <v>126</v>
      </c>
      <c r="D223" s="1" t="s">
        <v>51</v>
      </c>
      <c r="E223" s="1" t="s">
        <v>52</v>
      </c>
      <c r="F223" s="1" t="s">
        <v>53</v>
      </c>
      <c r="G223" s="1" t="s">
        <v>54</v>
      </c>
      <c r="H223" s="1" t="s">
        <v>47</v>
      </c>
      <c r="I223" s="1">
        <v>1113</v>
      </c>
      <c r="J223" s="1">
        <v>60690</v>
      </c>
      <c r="K223" s="1">
        <v>1</v>
      </c>
      <c r="L223" s="1">
        <v>125</v>
      </c>
      <c r="M223" s="1">
        <v>1702</v>
      </c>
      <c r="N223" s="1" t="s">
        <v>48</v>
      </c>
      <c r="O223" s="1">
        <v>15210</v>
      </c>
      <c r="P223" s="1">
        <v>95</v>
      </c>
      <c r="Q223" s="1" t="s">
        <v>127</v>
      </c>
      <c r="R223" s="1" t="s">
        <v>50</v>
      </c>
      <c r="S223" s="1">
        <v>0</v>
      </c>
      <c r="T223" s="1">
        <v>0</v>
      </c>
      <c r="U223" s="1">
        <v>105.574</v>
      </c>
      <c r="V223" s="1">
        <v>25.87</v>
      </c>
      <c r="W223" s="1">
        <v>0.59</v>
      </c>
      <c r="X223" s="1">
        <v>0.188</v>
      </c>
      <c r="Y223" s="1">
        <v>26.058</v>
      </c>
      <c r="Z223" s="1">
        <v>3.7639999999999998</v>
      </c>
      <c r="AA223" s="1">
        <v>-0.3</v>
      </c>
      <c r="AB223" s="1">
        <v>-0.3</v>
      </c>
      <c r="AC223" s="1">
        <v>-0.3</v>
      </c>
      <c r="AD223" s="1">
        <v>0.188</v>
      </c>
      <c r="AE223" s="1">
        <v>3.7589999999999999</v>
      </c>
      <c r="AF223" s="1">
        <v>0.70599999999999996</v>
      </c>
      <c r="AG223" s="1">
        <v>-0.3</v>
      </c>
      <c r="AI223" s="1">
        <v>0</v>
      </c>
      <c r="AJ223" s="1">
        <v>0</v>
      </c>
      <c r="AK223" s="1">
        <v>0</v>
      </c>
      <c r="AL223" s="1">
        <v>1</v>
      </c>
      <c r="AM223" s="1">
        <v>58203</v>
      </c>
      <c r="AN223" s="1">
        <v>17119</v>
      </c>
      <c r="AO223" s="1">
        <v>41084</v>
      </c>
      <c r="AP223" s="1">
        <v>47324</v>
      </c>
      <c r="AQ223" s="1">
        <v>11.96136608012406</v>
      </c>
    </row>
    <row r="224" spans="1:43" x14ac:dyDescent="0.45">
      <c r="A224" s="1">
        <v>54</v>
      </c>
      <c r="B224" s="1">
        <v>73</v>
      </c>
      <c r="C224" s="1">
        <v>83</v>
      </c>
      <c r="D224" s="1" t="s">
        <v>55</v>
      </c>
      <c r="E224" s="1" t="s">
        <v>56</v>
      </c>
      <c r="F224" s="1" t="s">
        <v>57</v>
      </c>
      <c r="G224" s="1" t="s">
        <v>46</v>
      </c>
      <c r="H224" s="1" t="s">
        <v>47</v>
      </c>
      <c r="I224" s="1">
        <v>1176</v>
      </c>
      <c r="J224" s="1">
        <v>30288</v>
      </c>
      <c r="K224" s="1">
        <v>1</v>
      </c>
      <c r="L224" s="1">
        <v>82</v>
      </c>
      <c r="M224" s="1">
        <v>2438</v>
      </c>
      <c r="N224" s="1" t="s">
        <v>48</v>
      </c>
      <c r="O224" s="1">
        <v>197615</v>
      </c>
      <c r="P224" s="1">
        <v>95</v>
      </c>
      <c r="Q224" s="1" t="s">
        <v>127</v>
      </c>
      <c r="R224" s="1" t="s">
        <v>50</v>
      </c>
      <c r="S224" s="1">
        <v>0</v>
      </c>
      <c r="T224" s="1">
        <v>0</v>
      </c>
      <c r="U224" s="1">
        <v>56.435000000000002</v>
      </c>
      <c r="V224" s="1">
        <v>25.431999999999999</v>
      </c>
      <c r="W224" s="1">
        <v>0.53</v>
      </c>
      <c r="X224" s="1">
        <v>0.188</v>
      </c>
      <c r="Y224" s="1">
        <v>25.620999999999999</v>
      </c>
      <c r="Z224" s="1">
        <v>0.20300000000000001</v>
      </c>
      <c r="AA224" s="1">
        <v>0.1</v>
      </c>
      <c r="AB224" s="1">
        <v>0.1</v>
      </c>
      <c r="AC224" s="1">
        <v>0.1</v>
      </c>
      <c r="AD224" s="1">
        <v>0.188</v>
      </c>
      <c r="AE224" s="1">
        <v>0.20200000000000001</v>
      </c>
      <c r="AF224" s="1">
        <v>3.7999999999999999E-2</v>
      </c>
      <c r="AG224" s="1">
        <v>0.1</v>
      </c>
      <c r="AI224" s="1">
        <v>0</v>
      </c>
      <c r="AJ224" s="1">
        <v>0</v>
      </c>
      <c r="AK224" s="1">
        <v>0</v>
      </c>
      <c r="AL224" s="1">
        <v>1</v>
      </c>
      <c r="AM224" s="1">
        <v>61652</v>
      </c>
      <c r="AN224" s="1">
        <v>28974</v>
      </c>
      <c r="AO224" s="1">
        <v>32678</v>
      </c>
      <c r="AP224" s="1">
        <v>46961</v>
      </c>
      <c r="AQ224" s="1">
        <v>2.9781913905105362</v>
      </c>
    </row>
    <row r="225" spans="1:43" x14ac:dyDescent="0.45">
      <c r="A225" s="1">
        <v>58</v>
      </c>
      <c r="B225" s="1">
        <v>73</v>
      </c>
      <c r="C225" s="1">
        <v>83</v>
      </c>
      <c r="D225" s="1" t="s">
        <v>55</v>
      </c>
      <c r="E225" s="1" t="s">
        <v>56</v>
      </c>
      <c r="F225" s="1" t="s">
        <v>57</v>
      </c>
      <c r="G225" s="1" t="s">
        <v>46</v>
      </c>
      <c r="H225" s="1" t="s">
        <v>47</v>
      </c>
      <c r="I225" s="1">
        <v>1176</v>
      </c>
      <c r="J225" s="1">
        <v>30288</v>
      </c>
      <c r="K225" s="1">
        <v>1</v>
      </c>
      <c r="L225" s="1">
        <v>82</v>
      </c>
      <c r="M225" s="1">
        <v>2449</v>
      </c>
      <c r="N225" s="1" t="s">
        <v>48</v>
      </c>
      <c r="O225" s="1">
        <v>197627</v>
      </c>
      <c r="P225" s="1">
        <v>95</v>
      </c>
      <c r="Q225" s="1" t="s">
        <v>127</v>
      </c>
      <c r="R225" s="1" t="s">
        <v>50</v>
      </c>
      <c r="S225" s="1">
        <v>0</v>
      </c>
      <c r="T225" s="1">
        <v>0</v>
      </c>
      <c r="U225" s="1">
        <v>136.291</v>
      </c>
      <c r="V225" s="1">
        <v>25.402999999999999</v>
      </c>
      <c r="W225" s="1">
        <v>0.53</v>
      </c>
      <c r="X225" s="1">
        <v>0.188</v>
      </c>
      <c r="Y225" s="1">
        <v>25.591000000000001</v>
      </c>
      <c r="Z225" s="1">
        <v>0.45300000000000001</v>
      </c>
      <c r="AA225" s="1">
        <v>0.2</v>
      </c>
      <c r="AB225" s="1">
        <v>-0.1</v>
      </c>
      <c r="AC225" s="1">
        <v>-0.1</v>
      </c>
      <c r="AD225" s="1">
        <v>0.188</v>
      </c>
      <c r="AE225" s="1">
        <v>0.32100000000000001</v>
      </c>
      <c r="AF225" s="1">
        <v>6.0999999999999999E-2</v>
      </c>
      <c r="AI225" s="1">
        <v>0</v>
      </c>
      <c r="AJ225" s="1">
        <v>0</v>
      </c>
      <c r="AK225" s="1">
        <v>0</v>
      </c>
      <c r="AL225" s="1">
        <v>1</v>
      </c>
      <c r="AM225" s="1">
        <v>55436</v>
      </c>
      <c r="AN225" s="1">
        <v>15558</v>
      </c>
      <c r="AO225" s="1">
        <v>39878</v>
      </c>
      <c r="AP225" s="1">
        <v>46954</v>
      </c>
      <c r="AQ225" s="1">
        <v>21.6510233080981</v>
      </c>
    </row>
    <row r="226" spans="1:43" x14ac:dyDescent="0.45">
      <c r="A226" s="1">
        <v>200</v>
      </c>
      <c r="B226" s="1">
        <v>168</v>
      </c>
      <c r="C226" s="1">
        <v>76</v>
      </c>
      <c r="D226" s="1" t="s">
        <v>118</v>
      </c>
      <c r="E226" s="1" t="s">
        <v>119</v>
      </c>
      <c r="F226" s="1" t="s">
        <v>120</v>
      </c>
      <c r="G226" s="1" t="s">
        <v>46</v>
      </c>
      <c r="H226" s="1" t="s">
        <v>47</v>
      </c>
      <c r="I226" s="1">
        <v>679</v>
      </c>
      <c r="J226" s="1">
        <v>24380</v>
      </c>
      <c r="K226" s="1">
        <v>1</v>
      </c>
      <c r="L226" s="1">
        <v>75</v>
      </c>
      <c r="M226" s="1">
        <v>2141</v>
      </c>
      <c r="N226" s="1" t="s">
        <v>48</v>
      </c>
      <c r="O226" s="1">
        <v>194050</v>
      </c>
      <c r="P226" s="1">
        <v>95</v>
      </c>
      <c r="Q226" s="1" t="s">
        <v>127</v>
      </c>
      <c r="R226" s="1" t="s">
        <v>50</v>
      </c>
      <c r="S226" s="1">
        <v>0</v>
      </c>
      <c r="T226" s="1">
        <v>0</v>
      </c>
      <c r="U226" s="1">
        <v>681.69200000000001</v>
      </c>
      <c r="V226" s="1">
        <v>25.199000000000002</v>
      </c>
      <c r="W226" s="1">
        <v>0.53</v>
      </c>
      <c r="X226" s="1">
        <v>0.186</v>
      </c>
      <c r="Y226" s="1">
        <v>25.385000000000002</v>
      </c>
      <c r="Z226" s="1">
        <v>8.4000000000000005E-2</v>
      </c>
      <c r="AA226" s="1">
        <v>-0.8</v>
      </c>
      <c r="AB226" s="1">
        <v>-1</v>
      </c>
      <c r="AC226" s="1">
        <v>-1</v>
      </c>
      <c r="AD226" s="1">
        <v>0.186</v>
      </c>
      <c r="AE226" s="1">
        <v>7.0000000000000007E-2</v>
      </c>
      <c r="AF226" s="1">
        <v>1.2999999999999999E-2</v>
      </c>
      <c r="AG226" s="1">
        <v>-0.8</v>
      </c>
      <c r="AI226" s="1">
        <v>0</v>
      </c>
      <c r="AJ226" s="1">
        <v>0</v>
      </c>
      <c r="AK226" s="1">
        <v>0</v>
      </c>
      <c r="AL226" s="1">
        <v>1</v>
      </c>
      <c r="AM226" s="1">
        <v>61217</v>
      </c>
      <c r="AN226" s="1">
        <v>25127</v>
      </c>
      <c r="AO226" s="1">
        <v>36090</v>
      </c>
      <c r="AP226" s="1">
        <v>50179</v>
      </c>
      <c r="AQ226" s="1">
        <v>0.28784801782867719</v>
      </c>
    </row>
    <row r="227" spans="1:43" x14ac:dyDescent="0.45">
      <c r="A227" s="1">
        <v>252</v>
      </c>
      <c r="B227" s="1">
        <v>431</v>
      </c>
      <c r="C227" s="1">
        <v>91</v>
      </c>
      <c r="D227" s="1" t="s">
        <v>79</v>
      </c>
      <c r="E227" s="1" t="s">
        <v>80</v>
      </c>
      <c r="F227" s="1" t="s">
        <v>81</v>
      </c>
      <c r="G227" s="1" t="s">
        <v>54</v>
      </c>
      <c r="H227" s="1" t="s">
        <v>47</v>
      </c>
      <c r="I227" s="1">
        <v>764</v>
      </c>
      <c r="J227" s="1">
        <v>21102</v>
      </c>
      <c r="K227" s="1">
        <v>1</v>
      </c>
      <c r="L227" s="1">
        <v>90</v>
      </c>
      <c r="M227" s="1">
        <v>2076</v>
      </c>
      <c r="N227" s="1" t="s">
        <v>48</v>
      </c>
      <c r="O227" s="1">
        <v>184863</v>
      </c>
      <c r="P227" s="1">
        <v>95</v>
      </c>
      <c r="Q227" s="1" t="s">
        <v>127</v>
      </c>
      <c r="R227" s="1" t="s">
        <v>50</v>
      </c>
      <c r="S227" s="1">
        <v>0</v>
      </c>
      <c r="T227" s="1">
        <v>0</v>
      </c>
      <c r="U227" s="1">
        <v>325.68799999999999</v>
      </c>
      <c r="V227" s="1">
        <v>24.777999999999999</v>
      </c>
      <c r="W227" s="1">
        <v>0.53</v>
      </c>
      <c r="X227" s="1">
        <v>0.186</v>
      </c>
      <c r="Y227" s="1">
        <v>24.963999999999999</v>
      </c>
      <c r="Z227" s="1">
        <v>0.156</v>
      </c>
      <c r="AA227" s="1">
        <v>1.8</v>
      </c>
      <c r="AB227" s="1">
        <v>1.8</v>
      </c>
      <c r="AC227" s="1">
        <v>1.8</v>
      </c>
      <c r="AD227" s="1">
        <v>0.186</v>
      </c>
      <c r="AE227" s="1">
        <v>0.156</v>
      </c>
      <c r="AF227" s="1">
        <v>2.9000000000000001E-2</v>
      </c>
      <c r="AG227" s="1">
        <v>1.8</v>
      </c>
      <c r="AI227" s="1">
        <v>0</v>
      </c>
      <c r="AJ227" s="1">
        <v>0</v>
      </c>
      <c r="AK227" s="1">
        <v>0</v>
      </c>
      <c r="AL227" s="1">
        <v>1</v>
      </c>
      <c r="AM227" s="1">
        <v>86400</v>
      </c>
      <c r="AN227" s="1">
        <v>81941</v>
      </c>
      <c r="AO227" s="1">
        <v>4459</v>
      </c>
      <c r="AP227" s="1">
        <v>46889</v>
      </c>
      <c r="AQ227" s="1">
        <v>1.706661716915139</v>
      </c>
    </row>
    <row r="228" spans="1:43" x14ac:dyDescent="0.45">
      <c r="A228" s="1">
        <v>269</v>
      </c>
      <c r="B228" s="1">
        <v>446</v>
      </c>
      <c r="C228" s="1">
        <v>97</v>
      </c>
      <c r="D228" s="1" t="s">
        <v>85</v>
      </c>
      <c r="E228" s="1" t="s">
        <v>86</v>
      </c>
      <c r="F228" s="1" t="s">
        <v>87</v>
      </c>
      <c r="G228" s="1" t="s">
        <v>46</v>
      </c>
      <c r="H228" s="1" t="s">
        <v>47</v>
      </c>
      <c r="I228" s="1">
        <v>1089</v>
      </c>
      <c r="J228" s="1">
        <v>26566</v>
      </c>
      <c r="K228" s="1">
        <v>1</v>
      </c>
      <c r="L228" s="1">
        <v>96</v>
      </c>
      <c r="M228" s="1">
        <v>2076</v>
      </c>
      <c r="N228" s="1" t="s">
        <v>48</v>
      </c>
      <c r="O228" s="1">
        <v>184863</v>
      </c>
      <c r="P228" s="1">
        <v>95</v>
      </c>
      <c r="Q228" s="1" t="s">
        <v>127</v>
      </c>
      <c r="R228" s="1" t="s">
        <v>50</v>
      </c>
      <c r="S228" s="1">
        <v>0</v>
      </c>
      <c r="T228" s="1">
        <v>0</v>
      </c>
      <c r="U228" s="1">
        <v>325.68799999999999</v>
      </c>
      <c r="V228" s="1">
        <v>24.777999999999999</v>
      </c>
      <c r="W228" s="1">
        <v>0.53</v>
      </c>
      <c r="X228" s="1">
        <v>0.186</v>
      </c>
      <c r="Y228" s="1">
        <v>24.963999999999999</v>
      </c>
      <c r="Z228" s="1">
        <v>0.156</v>
      </c>
      <c r="AA228" s="1">
        <v>1.8</v>
      </c>
      <c r="AB228" s="1">
        <v>1.8</v>
      </c>
      <c r="AC228" s="1">
        <v>1.8</v>
      </c>
      <c r="AD228" s="1">
        <v>0.186</v>
      </c>
      <c r="AE228" s="1">
        <v>0.156</v>
      </c>
      <c r="AF228" s="1">
        <v>2.9000000000000001E-2</v>
      </c>
      <c r="AG228" s="1">
        <v>1.8</v>
      </c>
      <c r="AI228" s="1">
        <v>0</v>
      </c>
      <c r="AJ228" s="1">
        <v>0</v>
      </c>
      <c r="AK228" s="1">
        <v>0</v>
      </c>
      <c r="AL228" s="1">
        <v>1</v>
      </c>
      <c r="AM228" s="1">
        <v>86400</v>
      </c>
      <c r="AN228" s="1">
        <v>81941</v>
      </c>
      <c r="AO228" s="1">
        <v>4459</v>
      </c>
      <c r="AP228" s="1">
        <v>46889</v>
      </c>
      <c r="AQ228" s="1">
        <v>15.74861294678051</v>
      </c>
    </row>
    <row r="229" spans="1:43" x14ac:dyDescent="0.45">
      <c r="A229" s="1">
        <v>158</v>
      </c>
      <c r="B229" s="1">
        <v>142</v>
      </c>
      <c r="C229" s="1">
        <v>78</v>
      </c>
      <c r="D229" s="1" t="s">
        <v>67</v>
      </c>
      <c r="E229" s="1" t="s">
        <v>68</v>
      </c>
      <c r="F229" s="1" t="s">
        <v>69</v>
      </c>
      <c r="G229" s="1" t="s">
        <v>46</v>
      </c>
      <c r="H229" s="1" t="s">
        <v>47</v>
      </c>
      <c r="I229" s="1">
        <v>1163</v>
      </c>
      <c r="J229" s="1">
        <v>33073</v>
      </c>
      <c r="K229" s="1">
        <v>1</v>
      </c>
      <c r="L229" s="1">
        <v>77</v>
      </c>
      <c r="M229" s="1">
        <v>2255</v>
      </c>
      <c r="N229" s="1" t="s">
        <v>48</v>
      </c>
      <c r="O229" s="1">
        <v>194325</v>
      </c>
      <c r="P229" s="1">
        <v>95</v>
      </c>
      <c r="Q229" s="1" t="s">
        <v>127</v>
      </c>
      <c r="R229" s="1" t="s">
        <v>50</v>
      </c>
      <c r="S229" s="1">
        <v>0</v>
      </c>
      <c r="T229" s="1">
        <v>0</v>
      </c>
      <c r="U229" s="1">
        <v>137.80099999999999</v>
      </c>
      <c r="V229" s="1">
        <v>25.645</v>
      </c>
      <c r="W229" s="1">
        <v>0.53</v>
      </c>
      <c r="X229" s="1">
        <v>0.184</v>
      </c>
      <c r="Y229" s="1">
        <v>25.829000000000001</v>
      </c>
      <c r="Z229" s="1">
        <v>0.25800000000000001</v>
      </c>
      <c r="AA229" s="1">
        <v>-0.4</v>
      </c>
      <c r="AB229" s="1">
        <v>-0.4</v>
      </c>
      <c r="AC229" s="1">
        <v>-0.4</v>
      </c>
      <c r="AD229" s="1">
        <v>0.184</v>
      </c>
      <c r="AE229" s="1">
        <v>0.254</v>
      </c>
      <c r="AF229" s="1">
        <v>4.7E-2</v>
      </c>
      <c r="AG229" s="1">
        <v>-0.4</v>
      </c>
      <c r="AI229" s="1">
        <v>0</v>
      </c>
      <c r="AJ229" s="1">
        <v>0</v>
      </c>
      <c r="AK229" s="1">
        <v>0</v>
      </c>
      <c r="AL229" s="1">
        <v>1</v>
      </c>
      <c r="AM229" s="1">
        <v>75697</v>
      </c>
      <c r="AN229" s="1">
        <v>54063</v>
      </c>
      <c r="AO229" s="1">
        <v>21634</v>
      </c>
      <c r="AP229" s="1">
        <v>46885</v>
      </c>
      <c r="AQ229" s="1">
        <v>0.71025518424474854</v>
      </c>
    </row>
    <row r="230" spans="1:43" x14ac:dyDescent="0.45">
      <c r="A230" s="1">
        <v>7</v>
      </c>
      <c r="B230" s="1">
        <v>26</v>
      </c>
      <c r="C230" s="1">
        <v>126</v>
      </c>
      <c r="D230" s="1" t="s">
        <v>51</v>
      </c>
      <c r="E230" s="1" t="s">
        <v>52</v>
      </c>
      <c r="F230" s="1" t="s">
        <v>53</v>
      </c>
      <c r="G230" s="1" t="s">
        <v>54</v>
      </c>
      <c r="H230" s="1" t="s">
        <v>47</v>
      </c>
      <c r="I230" s="1">
        <v>1113</v>
      </c>
      <c r="J230" s="1">
        <v>60690</v>
      </c>
      <c r="K230" s="1">
        <v>1</v>
      </c>
      <c r="L230" s="1">
        <v>125</v>
      </c>
      <c r="M230" s="1">
        <v>934</v>
      </c>
      <c r="N230" s="1" t="s">
        <v>48</v>
      </c>
      <c r="O230" s="1">
        <v>13852</v>
      </c>
      <c r="P230" s="1">
        <v>95</v>
      </c>
      <c r="Q230" s="1" t="s">
        <v>127</v>
      </c>
      <c r="R230" s="1" t="s">
        <v>50</v>
      </c>
      <c r="S230" s="1">
        <v>0</v>
      </c>
      <c r="T230" s="1">
        <v>0</v>
      </c>
      <c r="U230" s="1">
        <v>170.934</v>
      </c>
      <c r="V230" s="1">
        <v>24.483000000000001</v>
      </c>
      <c r="W230" s="1">
        <v>0.54</v>
      </c>
      <c r="X230" s="1">
        <v>0.183</v>
      </c>
      <c r="Y230" s="1">
        <v>24.666</v>
      </c>
      <c r="Z230" s="1">
        <v>0.63500000000000001</v>
      </c>
      <c r="AA230" s="1">
        <v>-0.2</v>
      </c>
      <c r="AB230" s="1">
        <v>-0.2</v>
      </c>
      <c r="AC230" s="1">
        <v>-0.2</v>
      </c>
      <c r="AD230" s="1">
        <v>0.183</v>
      </c>
      <c r="AE230" s="1">
        <v>0.63400000000000001</v>
      </c>
      <c r="AF230" s="1">
        <v>0.11600000000000001</v>
      </c>
      <c r="AG230" s="1">
        <v>-0.2</v>
      </c>
      <c r="AI230" s="1">
        <v>0</v>
      </c>
      <c r="AJ230" s="1">
        <v>0</v>
      </c>
      <c r="AK230" s="1">
        <v>0</v>
      </c>
      <c r="AL230" s="1">
        <v>1</v>
      </c>
      <c r="AM230" s="1">
        <v>51892</v>
      </c>
      <c r="AN230" s="1">
        <v>8670</v>
      </c>
      <c r="AO230" s="1">
        <v>43222</v>
      </c>
      <c r="AP230" s="1">
        <v>48240</v>
      </c>
      <c r="AQ230" s="1">
        <v>1.0163854854476451</v>
      </c>
    </row>
    <row r="231" spans="1:43" x14ac:dyDescent="0.45">
      <c r="A231" s="1">
        <v>254</v>
      </c>
      <c r="B231" s="1">
        <v>439</v>
      </c>
      <c r="C231" s="1">
        <v>94</v>
      </c>
      <c r="D231" s="1" t="s">
        <v>82</v>
      </c>
      <c r="E231" s="1" t="s">
        <v>83</v>
      </c>
      <c r="F231" s="1" t="s">
        <v>84</v>
      </c>
      <c r="G231" s="1" t="s">
        <v>46</v>
      </c>
      <c r="H231" s="1" t="s">
        <v>47</v>
      </c>
      <c r="I231" s="1">
        <v>490</v>
      </c>
      <c r="J231" s="1">
        <v>12595</v>
      </c>
      <c r="K231" s="1">
        <v>1</v>
      </c>
      <c r="L231" s="1">
        <v>93</v>
      </c>
      <c r="M231" s="1">
        <v>2088</v>
      </c>
      <c r="N231" s="1" t="s">
        <v>48</v>
      </c>
      <c r="O231" s="1">
        <v>185010</v>
      </c>
      <c r="P231" s="1">
        <v>95</v>
      </c>
      <c r="Q231" s="1" t="s">
        <v>127</v>
      </c>
      <c r="R231" s="1" t="s">
        <v>50</v>
      </c>
      <c r="S231" s="1">
        <v>0</v>
      </c>
      <c r="T231" s="1">
        <v>0</v>
      </c>
      <c r="U231" s="1">
        <v>53.661000000000001</v>
      </c>
      <c r="V231" s="1">
        <v>23.934999999999999</v>
      </c>
      <c r="W231" s="1">
        <v>0.56000000000000005</v>
      </c>
      <c r="X231" s="1">
        <v>0.18</v>
      </c>
      <c r="Y231" s="1">
        <v>24.114999999999998</v>
      </c>
      <c r="Z231" s="1">
        <v>1.966</v>
      </c>
      <c r="AA231" s="1">
        <v>-3</v>
      </c>
      <c r="AB231" s="1">
        <v>-3</v>
      </c>
      <c r="AC231" s="1">
        <v>-3</v>
      </c>
      <c r="AD231" s="1">
        <v>0.18</v>
      </c>
      <c r="AE231" s="1">
        <v>1.96</v>
      </c>
      <c r="AF231" s="1">
        <v>0.35199999999999998</v>
      </c>
      <c r="AG231" s="1">
        <v>-3</v>
      </c>
      <c r="AI231" s="1">
        <v>0</v>
      </c>
      <c r="AJ231" s="1">
        <v>0</v>
      </c>
      <c r="AK231" s="1">
        <v>0</v>
      </c>
      <c r="AL231" s="1">
        <v>1</v>
      </c>
      <c r="AM231" s="1">
        <v>86400</v>
      </c>
      <c r="AN231" s="1">
        <v>81336</v>
      </c>
      <c r="AO231" s="1">
        <v>5064</v>
      </c>
      <c r="AP231" s="1">
        <v>46967</v>
      </c>
      <c r="AQ231" s="1">
        <v>12.012680811710871</v>
      </c>
    </row>
    <row r="232" spans="1:43" x14ac:dyDescent="0.45">
      <c r="A232" s="1">
        <v>266</v>
      </c>
      <c r="B232" s="1">
        <v>439</v>
      </c>
      <c r="C232" s="1">
        <v>94</v>
      </c>
      <c r="D232" s="1" t="s">
        <v>82</v>
      </c>
      <c r="E232" s="1" t="s">
        <v>83</v>
      </c>
      <c r="F232" s="1" t="s">
        <v>84</v>
      </c>
      <c r="G232" s="1" t="s">
        <v>46</v>
      </c>
      <c r="H232" s="1" t="s">
        <v>47</v>
      </c>
      <c r="I232" s="1">
        <v>490</v>
      </c>
      <c r="J232" s="1">
        <v>12595</v>
      </c>
      <c r="K232" s="1">
        <v>1</v>
      </c>
      <c r="L232" s="1">
        <v>93</v>
      </c>
      <c r="M232" s="1">
        <v>2109</v>
      </c>
      <c r="N232" s="1" t="s">
        <v>48</v>
      </c>
      <c r="O232" s="1">
        <v>185083</v>
      </c>
      <c r="P232" s="1">
        <v>95</v>
      </c>
      <c r="Q232" s="1" t="s">
        <v>127</v>
      </c>
      <c r="R232" s="1" t="s">
        <v>50</v>
      </c>
      <c r="S232" s="1">
        <v>0</v>
      </c>
      <c r="T232" s="1">
        <v>0</v>
      </c>
      <c r="U232" s="1">
        <v>169.43199999999999</v>
      </c>
      <c r="V232" s="1">
        <v>24.184999999999999</v>
      </c>
      <c r="W232" s="1">
        <v>0.53</v>
      </c>
      <c r="X232" s="1">
        <v>0.17799999999999999</v>
      </c>
      <c r="Y232" s="1">
        <v>24.363</v>
      </c>
      <c r="Z232" s="1">
        <v>0.39300000000000002</v>
      </c>
      <c r="AA232" s="1">
        <v>-2</v>
      </c>
      <c r="AB232" s="1">
        <v>-2</v>
      </c>
      <c r="AC232" s="1">
        <v>-2</v>
      </c>
      <c r="AD232" s="1">
        <v>0.17799999999999999</v>
      </c>
      <c r="AE232" s="1">
        <v>0.39200000000000002</v>
      </c>
      <c r="AF232" s="1">
        <v>7.0000000000000007E-2</v>
      </c>
      <c r="AG232" s="1">
        <v>-2</v>
      </c>
      <c r="AI232" s="1">
        <v>0</v>
      </c>
      <c r="AJ232" s="1">
        <v>0</v>
      </c>
      <c r="AK232" s="1">
        <v>0</v>
      </c>
      <c r="AL232" s="1">
        <v>1</v>
      </c>
      <c r="AM232" s="1">
        <v>54371</v>
      </c>
      <c r="AN232" s="1">
        <v>14511</v>
      </c>
      <c r="AO232" s="1">
        <v>39861</v>
      </c>
      <c r="AP232" s="1">
        <v>46985</v>
      </c>
      <c r="AQ232" s="1">
        <v>1.5244243283726311</v>
      </c>
    </row>
    <row r="233" spans="1:43" x14ac:dyDescent="0.45">
      <c r="A233" s="1">
        <v>46</v>
      </c>
      <c r="B233" s="1">
        <v>73</v>
      </c>
      <c r="C233" s="1">
        <v>83</v>
      </c>
      <c r="D233" s="1" t="s">
        <v>55</v>
      </c>
      <c r="E233" s="1" t="s">
        <v>56</v>
      </c>
      <c r="F233" s="1" t="s">
        <v>57</v>
      </c>
      <c r="G233" s="1" t="s">
        <v>46</v>
      </c>
      <c r="H233" s="1" t="s">
        <v>47</v>
      </c>
      <c r="I233" s="1">
        <v>1176</v>
      </c>
      <c r="J233" s="1">
        <v>30288</v>
      </c>
      <c r="K233" s="1">
        <v>1</v>
      </c>
      <c r="L233" s="1">
        <v>82</v>
      </c>
      <c r="M233" s="1">
        <v>2408</v>
      </c>
      <c r="N233" s="1" t="s">
        <v>48</v>
      </c>
      <c r="O233" s="1">
        <v>197193</v>
      </c>
      <c r="P233" s="1">
        <v>95</v>
      </c>
      <c r="Q233" s="1" t="s">
        <v>127</v>
      </c>
      <c r="R233" s="1" t="s">
        <v>50</v>
      </c>
      <c r="S233" s="1">
        <v>0</v>
      </c>
      <c r="T233" s="1">
        <v>0</v>
      </c>
      <c r="U233" s="1">
        <v>187.57</v>
      </c>
      <c r="V233" s="1">
        <v>25.488</v>
      </c>
      <c r="W233" s="1">
        <v>0.53</v>
      </c>
      <c r="X233" s="1">
        <v>0.17599999999999999</v>
      </c>
      <c r="Y233" s="1">
        <v>25.664000000000001</v>
      </c>
      <c r="Z233" s="1">
        <v>0.125</v>
      </c>
      <c r="AA233" s="1">
        <v>0.6</v>
      </c>
      <c r="AB233" s="1">
        <v>0.7</v>
      </c>
      <c r="AC233" s="1">
        <v>0.7</v>
      </c>
      <c r="AD233" s="1">
        <v>0.17599999999999999</v>
      </c>
      <c r="AE233" s="1">
        <v>0.11</v>
      </c>
      <c r="AF233" s="1">
        <v>1.9E-2</v>
      </c>
      <c r="AG233" s="1">
        <v>0.6</v>
      </c>
      <c r="AI233" s="1">
        <v>0</v>
      </c>
      <c r="AJ233" s="1">
        <v>0</v>
      </c>
      <c r="AK233" s="1">
        <v>0</v>
      </c>
      <c r="AL233" s="1">
        <v>1</v>
      </c>
      <c r="AM233" s="1">
        <v>86400</v>
      </c>
      <c r="AN233" s="1">
        <v>79980</v>
      </c>
      <c r="AO233" s="1">
        <v>6420</v>
      </c>
      <c r="AP233" s="1">
        <v>47248</v>
      </c>
      <c r="AQ233" s="1">
        <v>2.9982988472460508</v>
      </c>
    </row>
    <row r="234" spans="1:43" x14ac:dyDescent="0.45">
      <c r="A234" s="1">
        <v>2</v>
      </c>
      <c r="B234" s="1">
        <v>1</v>
      </c>
      <c r="C234" s="1">
        <v>90</v>
      </c>
      <c r="D234" s="1" t="s">
        <v>43</v>
      </c>
      <c r="E234" s="1" t="s">
        <v>44</v>
      </c>
      <c r="F234" s="1" t="s">
        <v>45</v>
      </c>
      <c r="G234" s="1" t="s">
        <v>46</v>
      </c>
      <c r="H234" s="1" t="s">
        <v>47</v>
      </c>
      <c r="I234" s="1">
        <v>535</v>
      </c>
      <c r="J234" s="1">
        <v>12723</v>
      </c>
      <c r="K234" s="1">
        <v>1</v>
      </c>
      <c r="L234" s="1">
        <v>89</v>
      </c>
      <c r="M234" s="1">
        <v>1850</v>
      </c>
      <c r="N234" s="1" t="s">
        <v>48</v>
      </c>
      <c r="O234" s="1">
        <v>20405</v>
      </c>
      <c r="P234" s="1">
        <v>95</v>
      </c>
      <c r="Q234" s="1" t="s">
        <v>127</v>
      </c>
      <c r="R234" s="1" t="s">
        <v>50</v>
      </c>
      <c r="S234" s="1">
        <v>0</v>
      </c>
      <c r="T234" s="1">
        <v>0</v>
      </c>
      <c r="U234" s="1">
        <v>63.332999999999998</v>
      </c>
      <c r="V234" s="1">
        <v>24.972999999999999</v>
      </c>
      <c r="W234" s="1">
        <v>0.53</v>
      </c>
      <c r="X234" s="1">
        <v>0.17399999999999999</v>
      </c>
      <c r="Y234" s="1">
        <v>25.146999999999998</v>
      </c>
      <c r="Z234" s="1">
        <v>9.5000000000000001E-2</v>
      </c>
      <c r="AA234" s="1">
        <v>-3</v>
      </c>
      <c r="AB234" s="1">
        <v>-3</v>
      </c>
      <c r="AC234" s="1">
        <v>-3</v>
      </c>
      <c r="AD234" s="1">
        <v>0.17399999999999999</v>
      </c>
      <c r="AE234" s="1">
        <v>9.5000000000000001E-2</v>
      </c>
      <c r="AF234" s="1">
        <v>1.7000000000000001E-2</v>
      </c>
      <c r="AG234" s="1">
        <v>-3</v>
      </c>
      <c r="AI234" s="1">
        <v>0</v>
      </c>
      <c r="AJ234" s="1">
        <v>0</v>
      </c>
      <c r="AK234" s="1">
        <v>0</v>
      </c>
      <c r="AL234" s="1">
        <v>1</v>
      </c>
      <c r="AM234" s="1">
        <v>86400</v>
      </c>
      <c r="AN234" s="1">
        <v>79718</v>
      </c>
      <c r="AO234" s="1">
        <v>6681</v>
      </c>
      <c r="AP234" s="1">
        <v>43457</v>
      </c>
      <c r="AQ234" s="1">
        <v>4.7032532732046244</v>
      </c>
    </row>
    <row r="235" spans="1:43" x14ac:dyDescent="0.45">
      <c r="A235" s="1">
        <v>35</v>
      </c>
      <c r="B235" s="1">
        <v>26</v>
      </c>
      <c r="C235" s="1">
        <v>126</v>
      </c>
      <c r="D235" s="1" t="s">
        <v>51</v>
      </c>
      <c r="E235" s="1" t="s">
        <v>52</v>
      </c>
      <c r="F235" s="1" t="s">
        <v>53</v>
      </c>
      <c r="G235" s="1" t="s">
        <v>54</v>
      </c>
      <c r="H235" s="1" t="s">
        <v>47</v>
      </c>
      <c r="I235" s="1">
        <v>1113</v>
      </c>
      <c r="J235" s="1">
        <v>60690</v>
      </c>
      <c r="K235" s="1">
        <v>1</v>
      </c>
      <c r="L235" s="1">
        <v>125</v>
      </c>
      <c r="M235" s="1">
        <v>1689</v>
      </c>
      <c r="N235" s="1" t="s">
        <v>48</v>
      </c>
      <c r="O235" s="1">
        <v>15191</v>
      </c>
      <c r="P235" s="1">
        <v>95</v>
      </c>
      <c r="Q235" s="1" t="s">
        <v>127</v>
      </c>
      <c r="R235" s="1" t="s">
        <v>50</v>
      </c>
      <c r="S235" s="1">
        <v>0</v>
      </c>
      <c r="T235" s="1">
        <v>0</v>
      </c>
      <c r="U235" s="1">
        <v>107.297</v>
      </c>
      <c r="V235" s="1">
        <v>23.977</v>
      </c>
      <c r="W235" s="1">
        <v>0.6</v>
      </c>
      <c r="X235" s="1">
        <v>0.17399999999999999</v>
      </c>
      <c r="Y235" s="1">
        <v>24.15</v>
      </c>
      <c r="Z235" s="1">
        <v>4.3639999999999999</v>
      </c>
      <c r="AA235" s="1">
        <v>-0.9</v>
      </c>
      <c r="AB235" s="1">
        <v>-0.9</v>
      </c>
      <c r="AC235" s="1">
        <v>-0.9</v>
      </c>
      <c r="AD235" s="1">
        <v>0.17399999999999999</v>
      </c>
      <c r="AE235" s="1">
        <v>4.3570000000000002</v>
      </c>
      <c r="AF235" s="1">
        <v>0.75600000000000001</v>
      </c>
      <c r="AG235" s="1">
        <v>-0.9</v>
      </c>
      <c r="AI235" s="1">
        <v>0</v>
      </c>
      <c r="AJ235" s="1">
        <v>0</v>
      </c>
      <c r="AK235" s="1">
        <v>0</v>
      </c>
      <c r="AL235" s="1">
        <v>1</v>
      </c>
      <c r="AM235" s="1">
        <v>55009</v>
      </c>
      <c r="AN235" s="1">
        <v>12699</v>
      </c>
      <c r="AO235" s="1">
        <v>42309</v>
      </c>
      <c r="AP235" s="1">
        <v>47853</v>
      </c>
      <c r="AQ235" s="1">
        <v>12.987854143834699</v>
      </c>
    </row>
    <row r="236" spans="1:43" x14ac:dyDescent="0.45">
      <c r="A236" s="1">
        <v>63</v>
      </c>
      <c r="B236" s="1">
        <v>74</v>
      </c>
      <c r="C236" s="1">
        <v>83</v>
      </c>
      <c r="D236" s="1" t="s">
        <v>55</v>
      </c>
      <c r="E236" s="1" t="s">
        <v>56</v>
      </c>
      <c r="F236" s="1" t="s">
        <v>57</v>
      </c>
      <c r="G236" s="1" t="s">
        <v>46</v>
      </c>
      <c r="H236" s="1" t="s">
        <v>47</v>
      </c>
      <c r="I236" s="1">
        <v>1176</v>
      </c>
      <c r="J236" s="1">
        <v>30288</v>
      </c>
      <c r="K236" s="1">
        <v>1</v>
      </c>
      <c r="L236" s="1">
        <v>82</v>
      </c>
      <c r="M236" s="1">
        <v>2418</v>
      </c>
      <c r="N236" s="1" t="s">
        <v>48</v>
      </c>
      <c r="O236" s="1">
        <v>197561</v>
      </c>
      <c r="P236" s="1">
        <v>95</v>
      </c>
      <c r="Q236" s="1" t="s">
        <v>127</v>
      </c>
      <c r="R236" s="1" t="s">
        <v>50</v>
      </c>
      <c r="S236" s="1">
        <v>0</v>
      </c>
      <c r="T236" s="1">
        <v>0</v>
      </c>
      <c r="U236" s="1">
        <v>195.999</v>
      </c>
      <c r="V236" s="1">
        <v>25.457999999999998</v>
      </c>
      <c r="W236" s="1">
        <v>0.53</v>
      </c>
      <c r="X236" s="1">
        <v>0.17199999999999999</v>
      </c>
      <c r="Y236" s="1">
        <v>25.63</v>
      </c>
      <c r="Z236" s="1">
        <v>0.29199999999999998</v>
      </c>
      <c r="AA236" s="1">
        <v>0.2</v>
      </c>
      <c r="AB236" s="1">
        <v>0.4</v>
      </c>
      <c r="AC236" s="1">
        <v>0.4</v>
      </c>
      <c r="AD236" s="1">
        <v>0.17199999999999999</v>
      </c>
      <c r="AE236" s="1">
        <v>0.28899999999999998</v>
      </c>
      <c r="AF236" s="1">
        <v>0.05</v>
      </c>
      <c r="AG236" s="1">
        <v>0.2</v>
      </c>
      <c r="AI236" s="1">
        <v>0</v>
      </c>
      <c r="AJ236" s="1">
        <v>0</v>
      </c>
      <c r="AK236" s="1">
        <v>0</v>
      </c>
      <c r="AL236" s="1">
        <v>1</v>
      </c>
      <c r="AM236" s="1">
        <v>86400</v>
      </c>
      <c r="AN236" s="1">
        <v>80589</v>
      </c>
      <c r="AO236" s="1">
        <v>5811</v>
      </c>
      <c r="AP236" s="1">
        <v>47787</v>
      </c>
      <c r="AQ236" s="1">
        <v>0.41019195479173981</v>
      </c>
    </row>
    <row r="237" spans="1:43" x14ac:dyDescent="0.45">
      <c r="A237" s="1">
        <v>284</v>
      </c>
      <c r="B237" s="1">
        <v>477</v>
      </c>
      <c r="C237" s="1">
        <v>68</v>
      </c>
      <c r="D237" s="1" t="s">
        <v>107</v>
      </c>
      <c r="E237" s="1" t="s">
        <v>108</v>
      </c>
      <c r="F237" s="1" t="s">
        <v>109</v>
      </c>
      <c r="G237" s="1" t="s">
        <v>46</v>
      </c>
      <c r="H237" s="1" t="s">
        <v>47</v>
      </c>
      <c r="I237" s="1">
        <v>2102</v>
      </c>
      <c r="J237" s="1">
        <v>100258</v>
      </c>
      <c r="K237" s="1">
        <v>1</v>
      </c>
      <c r="L237" s="1">
        <v>67</v>
      </c>
      <c r="M237" s="1">
        <v>1927</v>
      </c>
      <c r="N237" s="1" t="s">
        <v>48</v>
      </c>
      <c r="O237" s="1">
        <v>131335</v>
      </c>
      <c r="P237" s="1">
        <v>95</v>
      </c>
      <c r="Q237" s="1" t="s">
        <v>127</v>
      </c>
      <c r="R237" s="1" t="s">
        <v>50</v>
      </c>
      <c r="S237" s="1">
        <v>0</v>
      </c>
      <c r="T237" s="1">
        <v>0</v>
      </c>
      <c r="U237" s="1">
        <v>322.94299999999998</v>
      </c>
      <c r="V237" s="1">
        <v>50</v>
      </c>
      <c r="W237" s="1">
        <v>0.53</v>
      </c>
      <c r="X237" s="1">
        <v>0.17199999999999999</v>
      </c>
      <c r="Y237" s="1">
        <v>50.171999999999997</v>
      </c>
      <c r="Z237" s="1">
        <v>0.217</v>
      </c>
      <c r="AA237" s="1">
        <v>2.1</v>
      </c>
      <c r="AB237" s="1">
        <v>2.2000000000000002</v>
      </c>
      <c r="AC237" s="1">
        <v>2.2000000000000002</v>
      </c>
      <c r="AD237" s="1">
        <v>0.17199999999999999</v>
      </c>
      <c r="AE237" s="1">
        <v>3.5000000000000003E-2</v>
      </c>
      <c r="AF237" s="1">
        <v>7.0000000000000001E-3</v>
      </c>
      <c r="AI237" s="1">
        <v>0</v>
      </c>
      <c r="AJ237" s="1">
        <v>0</v>
      </c>
      <c r="AK237" s="1">
        <v>0</v>
      </c>
      <c r="AL237" s="1">
        <v>1</v>
      </c>
      <c r="AM237" s="1">
        <v>75473</v>
      </c>
      <c r="AN237" s="1">
        <v>31278</v>
      </c>
      <c r="AO237" s="1">
        <v>44196</v>
      </c>
      <c r="AP237" s="1">
        <v>49332</v>
      </c>
      <c r="AQ237" s="1">
        <v>29.48440096530631</v>
      </c>
    </row>
    <row r="238" spans="1:43" x14ac:dyDescent="0.45">
      <c r="A238" s="1">
        <v>283</v>
      </c>
      <c r="B238" s="1">
        <v>470</v>
      </c>
      <c r="C238" s="1">
        <v>97</v>
      </c>
      <c r="D238" s="1" t="s">
        <v>85</v>
      </c>
      <c r="E238" s="1" t="s">
        <v>86</v>
      </c>
      <c r="F238" s="1" t="s">
        <v>87</v>
      </c>
      <c r="G238" s="1" t="s">
        <v>46</v>
      </c>
      <c r="H238" s="1" t="s">
        <v>47</v>
      </c>
      <c r="I238" s="1">
        <v>1089</v>
      </c>
      <c r="J238" s="1">
        <v>26566</v>
      </c>
      <c r="K238" s="1">
        <v>1</v>
      </c>
      <c r="L238" s="1">
        <v>96</v>
      </c>
      <c r="M238" s="1">
        <v>1928</v>
      </c>
      <c r="N238" s="1" t="s">
        <v>48</v>
      </c>
      <c r="O238" s="1">
        <v>132942</v>
      </c>
      <c r="P238" s="1">
        <v>95</v>
      </c>
      <c r="Q238" s="1" t="s">
        <v>127</v>
      </c>
      <c r="R238" s="1" t="s">
        <v>50</v>
      </c>
      <c r="S238" s="1">
        <v>0</v>
      </c>
      <c r="T238" s="1">
        <v>0</v>
      </c>
      <c r="U238" s="1">
        <v>88.98</v>
      </c>
      <c r="V238" s="1">
        <v>25.22</v>
      </c>
      <c r="W238" s="1">
        <v>0.53</v>
      </c>
      <c r="X238" s="1">
        <v>0.16900000000000001</v>
      </c>
      <c r="Y238" s="1">
        <v>25.388999999999999</v>
      </c>
      <c r="Z238" s="1">
        <v>0.31900000000000001</v>
      </c>
      <c r="AA238" s="1">
        <v>-0.6</v>
      </c>
      <c r="AB238" s="1">
        <v>-0.6</v>
      </c>
      <c r="AC238" s="1">
        <v>-0.6</v>
      </c>
      <c r="AD238" s="1">
        <v>0.16900000000000001</v>
      </c>
      <c r="AE238" s="1">
        <v>0.318</v>
      </c>
      <c r="AF238" s="1">
        <v>5.3999999999999999E-2</v>
      </c>
      <c r="AG238" s="1">
        <v>-0.6</v>
      </c>
      <c r="AI238" s="1">
        <v>0</v>
      </c>
      <c r="AJ238" s="1">
        <v>0</v>
      </c>
      <c r="AK238" s="1">
        <v>0</v>
      </c>
      <c r="AL238" s="1">
        <v>1</v>
      </c>
      <c r="AM238" s="1">
        <v>86400</v>
      </c>
      <c r="AN238" s="1">
        <v>82033</v>
      </c>
      <c r="AO238" s="1">
        <v>4367</v>
      </c>
      <c r="AP238" s="1">
        <v>43389</v>
      </c>
      <c r="AQ238" s="1">
        <v>13.500253100054801</v>
      </c>
    </row>
    <row r="239" spans="1:43" x14ac:dyDescent="0.45">
      <c r="A239" s="1">
        <v>153</v>
      </c>
      <c r="B239" s="1">
        <v>128</v>
      </c>
      <c r="C239" s="1">
        <v>88</v>
      </c>
      <c r="D239" s="1" t="s">
        <v>115</v>
      </c>
      <c r="E239" s="1" t="s">
        <v>116</v>
      </c>
      <c r="F239" s="1" t="s">
        <v>117</v>
      </c>
      <c r="G239" s="1" t="s">
        <v>54</v>
      </c>
      <c r="H239" s="1" t="s">
        <v>47</v>
      </c>
      <c r="I239" s="1">
        <v>830</v>
      </c>
      <c r="J239" s="1">
        <v>39746</v>
      </c>
      <c r="K239" s="1">
        <v>1</v>
      </c>
      <c r="L239" s="1">
        <v>87</v>
      </c>
      <c r="M239" s="1">
        <v>2386</v>
      </c>
      <c r="N239" s="1" t="s">
        <v>48</v>
      </c>
      <c r="O239" s="1">
        <v>195374</v>
      </c>
      <c r="P239" s="1">
        <v>95</v>
      </c>
      <c r="Q239" s="1" t="s">
        <v>127</v>
      </c>
      <c r="R239" s="1" t="s">
        <v>50</v>
      </c>
      <c r="S239" s="1">
        <v>0</v>
      </c>
      <c r="T239" s="1">
        <v>0</v>
      </c>
      <c r="U239" s="1">
        <v>173.489</v>
      </c>
      <c r="V239" s="1">
        <v>25.291</v>
      </c>
      <c r="W239" s="1">
        <v>0.53</v>
      </c>
      <c r="X239" s="1">
        <v>0.16800000000000001</v>
      </c>
      <c r="Y239" s="1">
        <v>25.46</v>
      </c>
      <c r="Z239" s="1">
        <v>0.28299999999999997</v>
      </c>
      <c r="AA239" s="1">
        <v>-0.3</v>
      </c>
      <c r="AB239" s="1">
        <v>-0.3</v>
      </c>
      <c r="AC239" s="1">
        <v>-0.3</v>
      </c>
      <c r="AD239" s="1">
        <v>0.16800000000000001</v>
      </c>
      <c r="AE239" s="1">
        <v>0.28299999999999997</v>
      </c>
      <c r="AF239" s="1">
        <v>4.8000000000000001E-2</v>
      </c>
      <c r="AG239" s="1">
        <v>-0.3</v>
      </c>
      <c r="AI239" s="1">
        <v>0</v>
      </c>
      <c r="AJ239" s="1">
        <v>0</v>
      </c>
      <c r="AK239" s="1">
        <v>0</v>
      </c>
      <c r="AL239" s="1">
        <v>1</v>
      </c>
      <c r="AM239" s="1">
        <v>86400</v>
      </c>
      <c r="AN239" s="1">
        <v>81061</v>
      </c>
      <c r="AO239" s="1">
        <v>5339</v>
      </c>
      <c r="AP239" s="1">
        <v>48335</v>
      </c>
      <c r="AQ239" s="1">
        <v>0.36001326560746949</v>
      </c>
    </row>
    <row r="240" spans="1:43" x14ac:dyDescent="0.45">
      <c r="A240" s="1">
        <v>245</v>
      </c>
      <c r="B240" s="1">
        <v>351</v>
      </c>
      <c r="C240" s="1">
        <v>63</v>
      </c>
      <c r="D240" s="1" t="s">
        <v>76</v>
      </c>
      <c r="E240" s="1" t="s">
        <v>77</v>
      </c>
      <c r="F240" s="1" t="s">
        <v>78</v>
      </c>
      <c r="G240" s="1" t="s">
        <v>46</v>
      </c>
      <c r="H240" s="1" t="s">
        <v>47</v>
      </c>
      <c r="I240" s="1">
        <v>1247</v>
      </c>
      <c r="J240" s="1">
        <v>27398</v>
      </c>
      <c r="K240" s="1">
        <v>1</v>
      </c>
      <c r="L240" s="1">
        <v>62</v>
      </c>
      <c r="M240" s="1">
        <v>2072</v>
      </c>
      <c r="N240" s="1" t="s">
        <v>48</v>
      </c>
      <c r="O240" s="1">
        <v>184187</v>
      </c>
      <c r="P240" s="1">
        <v>95</v>
      </c>
      <c r="Q240" s="1" t="s">
        <v>127</v>
      </c>
      <c r="R240" s="1" t="s">
        <v>50</v>
      </c>
      <c r="S240" s="1">
        <v>0</v>
      </c>
      <c r="T240" s="1">
        <v>0</v>
      </c>
      <c r="U240" s="1">
        <v>148.02699999999999</v>
      </c>
      <c r="V240" s="1">
        <v>25.082999999999998</v>
      </c>
      <c r="W240" s="1">
        <v>0.53</v>
      </c>
      <c r="X240" s="1">
        <v>0.16800000000000001</v>
      </c>
      <c r="Y240" s="1">
        <v>25.251000000000001</v>
      </c>
      <c r="Z240" s="1">
        <v>0.39200000000000002</v>
      </c>
      <c r="AA240" s="1">
        <v>2</v>
      </c>
      <c r="AB240" s="1">
        <v>2</v>
      </c>
      <c r="AC240" s="1">
        <v>2</v>
      </c>
      <c r="AD240" s="1">
        <v>0.16800000000000001</v>
      </c>
      <c r="AE240" s="1">
        <v>0.39</v>
      </c>
      <c r="AF240" s="1">
        <v>6.6000000000000003E-2</v>
      </c>
      <c r="AG240" s="1">
        <v>2</v>
      </c>
      <c r="AI240" s="1">
        <v>0</v>
      </c>
      <c r="AJ240" s="1">
        <v>0</v>
      </c>
      <c r="AK240" s="1">
        <v>0</v>
      </c>
      <c r="AL240" s="1">
        <v>1</v>
      </c>
      <c r="AM240" s="1">
        <v>86400</v>
      </c>
      <c r="AN240" s="1">
        <v>82072</v>
      </c>
      <c r="AO240" s="1">
        <v>4328</v>
      </c>
      <c r="AP240" s="1">
        <v>43913</v>
      </c>
      <c r="AQ240" s="1">
        <v>2.804081138854984</v>
      </c>
    </row>
    <row r="241" spans="1:43" x14ac:dyDescent="0.45">
      <c r="A241" s="1">
        <v>64</v>
      </c>
      <c r="B241" s="1">
        <v>74</v>
      </c>
      <c r="C241" s="1">
        <v>83</v>
      </c>
      <c r="D241" s="1" t="s">
        <v>55</v>
      </c>
      <c r="E241" s="1" t="s">
        <v>56</v>
      </c>
      <c r="F241" s="1" t="s">
        <v>57</v>
      </c>
      <c r="G241" s="1" t="s">
        <v>46</v>
      </c>
      <c r="H241" s="1" t="s">
        <v>47</v>
      </c>
      <c r="I241" s="1">
        <v>1176</v>
      </c>
      <c r="J241" s="1">
        <v>30288</v>
      </c>
      <c r="K241" s="1">
        <v>1</v>
      </c>
      <c r="L241" s="1">
        <v>82</v>
      </c>
      <c r="M241" s="1">
        <v>2419</v>
      </c>
      <c r="N241" s="1" t="s">
        <v>48</v>
      </c>
      <c r="O241" s="1">
        <v>197562</v>
      </c>
      <c r="P241" s="1">
        <v>95</v>
      </c>
      <c r="Q241" s="1" t="s">
        <v>127</v>
      </c>
      <c r="R241" s="1" t="s">
        <v>50</v>
      </c>
      <c r="S241" s="1">
        <v>0</v>
      </c>
      <c r="T241" s="1">
        <v>0</v>
      </c>
      <c r="U241" s="1">
        <v>286.03800000000001</v>
      </c>
      <c r="V241" s="1">
        <v>25.483000000000001</v>
      </c>
      <c r="W241" s="1">
        <v>0.53</v>
      </c>
      <c r="X241" s="1">
        <v>0.16500000000000001</v>
      </c>
      <c r="Y241" s="1">
        <v>25.648</v>
      </c>
      <c r="Z241" s="1">
        <v>0.26500000000000001</v>
      </c>
      <c r="AA241" s="1">
        <v>0.5</v>
      </c>
      <c r="AB241" s="1">
        <v>0.5</v>
      </c>
      <c r="AC241" s="1">
        <v>0.5</v>
      </c>
      <c r="AD241" s="1">
        <v>0.16500000000000001</v>
      </c>
      <c r="AE241" s="1">
        <v>0.26400000000000001</v>
      </c>
      <c r="AF241" s="1">
        <v>4.3999999999999997E-2</v>
      </c>
      <c r="AG241" s="1">
        <v>0.5</v>
      </c>
      <c r="AI241" s="1">
        <v>0</v>
      </c>
      <c r="AJ241" s="1">
        <v>0</v>
      </c>
      <c r="AK241" s="1">
        <v>0</v>
      </c>
      <c r="AL241" s="1">
        <v>1</v>
      </c>
      <c r="AM241" s="1">
        <v>86400</v>
      </c>
      <c r="AN241" s="1">
        <v>78988</v>
      </c>
      <c r="AO241" s="1">
        <v>7409</v>
      </c>
      <c r="AP241" s="1">
        <v>46959</v>
      </c>
      <c r="AQ241" s="1">
        <v>24.95580011216741</v>
      </c>
    </row>
    <row r="242" spans="1:43" x14ac:dyDescent="0.45">
      <c r="A242" s="1">
        <v>59</v>
      </c>
      <c r="B242" s="1">
        <v>73</v>
      </c>
      <c r="C242" s="1">
        <v>83</v>
      </c>
      <c r="D242" s="1" t="s">
        <v>55</v>
      </c>
      <c r="E242" s="1" t="s">
        <v>56</v>
      </c>
      <c r="F242" s="1" t="s">
        <v>57</v>
      </c>
      <c r="G242" s="1" t="s">
        <v>46</v>
      </c>
      <c r="H242" s="1" t="s">
        <v>47</v>
      </c>
      <c r="I242" s="1">
        <v>1176</v>
      </c>
      <c r="J242" s="1">
        <v>30288</v>
      </c>
      <c r="K242" s="1">
        <v>1</v>
      </c>
      <c r="L242" s="1">
        <v>82</v>
      </c>
      <c r="M242" s="1">
        <v>2450</v>
      </c>
      <c r="N242" s="1" t="s">
        <v>48</v>
      </c>
      <c r="O242" s="1">
        <v>197634</v>
      </c>
      <c r="P242" s="1">
        <v>95</v>
      </c>
      <c r="Q242" s="1" t="s">
        <v>127</v>
      </c>
      <c r="R242" s="1" t="s">
        <v>50</v>
      </c>
      <c r="S242" s="1">
        <v>0</v>
      </c>
      <c r="T242" s="1">
        <v>0</v>
      </c>
      <c r="U242" s="1">
        <v>62.061999999999998</v>
      </c>
      <c r="V242" s="1">
        <v>25.434999999999999</v>
      </c>
      <c r="W242" s="1">
        <v>0.53</v>
      </c>
      <c r="X242" s="1">
        <v>0.161</v>
      </c>
      <c r="Y242" s="1">
        <v>25.596</v>
      </c>
      <c r="Z242" s="1">
        <v>8.3000000000000004E-2</v>
      </c>
      <c r="AA242" s="1">
        <v>2.4</v>
      </c>
      <c r="AB242" s="1">
        <v>2.8</v>
      </c>
      <c r="AC242" s="1">
        <v>2.8</v>
      </c>
      <c r="AD242" s="1">
        <v>0.161</v>
      </c>
      <c r="AE242" s="1">
        <v>5.8999999999999997E-2</v>
      </c>
      <c r="AF242" s="1">
        <v>0.01</v>
      </c>
      <c r="AG242" s="1">
        <v>2.4</v>
      </c>
      <c r="AI242" s="1">
        <v>0</v>
      </c>
      <c r="AJ242" s="1">
        <v>0</v>
      </c>
      <c r="AK242" s="1">
        <v>0</v>
      </c>
      <c r="AL242" s="1">
        <v>1</v>
      </c>
      <c r="AM242" s="1">
        <v>54334</v>
      </c>
      <c r="AN242" s="1">
        <v>11105</v>
      </c>
      <c r="AO242" s="1">
        <v>43230</v>
      </c>
      <c r="AP242" s="1">
        <v>47101</v>
      </c>
      <c r="AQ242" s="1">
        <v>1.5434652490617771</v>
      </c>
    </row>
    <row r="243" spans="1:43" x14ac:dyDescent="0.45">
      <c r="A243" s="1">
        <v>8</v>
      </c>
      <c r="B243" s="1">
        <v>26</v>
      </c>
      <c r="C243" s="1">
        <v>126</v>
      </c>
      <c r="D243" s="1" t="s">
        <v>51</v>
      </c>
      <c r="E243" s="1" t="s">
        <v>52</v>
      </c>
      <c r="F243" s="1" t="s">
        <v>53</v>
      </c>
      <c r="G243" s="1" t="s">
        <v>54</v>
      </c>
      <c r="H243" s="1" t="s">
        <v>47</v>
      </c>
      <c r="I243" s="1">
        <v>1113</v>
      </c>
      <c r="J243" s="1">
        <v>60690</v>
      </c>
      <c r="K243" s="1">
        <v>1</v>
      </c>
      <c r="L243" s="1">
        <v>125</v>
      </c>
      <c r="M243" s="1">
        <v>952</v>
      </c>
      <c r="N243" s="1" t="s">
        <v>48</v>
      </c>
      <c r="O243" s="1">
        <v>13901</v>
      </c>
      <c r="P243" s="1">
        <v>95</v>
      </c>
      <c r="Q243" s="1" t="s">
        <v>127</v>
      </c>
      <c r="R243" s="1" t="s">
        <v>50</v>
      </c>
      <c r="S243" s="1">
        <v>0</v>
      </c>
      <c r="T243" s="1">
        <v>0</v>
      </c>
      <c r="U243" s="1">
        <v>87.977999999999994</v>
      </c>
      <c r="V243" s="1">
        <v>23.887</v>
      </c>
      <c r="W243" s="1">
        <v>0.54</v>
      </c>
      <c r="X243" s="1">
        <v>0.159</v>
      </c>
      <c r="Y243" s="1">
        <v>24.045999999999999</v>
      </c>
      <c r="Z243" s="1">
        <v>1.357</v>
      </c>
      <c r="AA243" s="1">
        <v>-0.8</v>
      </c>
      <c r="AB243" s="1">
        <v>-0.7</v>
      </c>
      <c r="AC243" s="1">
        <v>-0.7</v>
      </c>
      <c r="AD243" s="1">
        <v>0.159</v>
      </c>
      <c r="AE243" s="1">
        <v>1.347</v>
      </c>
      <c r="AF243" s="1">
        <v>0.214</v>
      </c>
      <c r="AG243" s="1">
        <v>-0.8</v>
      </c>
      <c r="AI243" s="1">
        <v>0</v>
      </c>
      <c r="AJ243" s="1">
        <v>0</v>
      </c>
      <c r="AK243" s="1">
        <v>0</v>
      </c>
      <c r="AL243" s="1">
        <v>1</v>
      </c>
      <c r="AM243" s="1">
        <v>54376</v>
      </c>
      <c r="AN243" s="1">
        <v>11162</v>
      </c>
      <c r="AO243" s="1">
        <v>43214</v>
      </c>
      <c r="AP243" s="1">
        <v>50080</v>
      </c>
      <c r="AQ243" s="1">
        <v>2.4840343666045759</v>
      </c>
    </row>
    <row r="244" spans="1:43" x14ac:dyDescent="0.45">
      <c r="A244" s="1">
        <v>1</v>
      </c>
      <c r="B244" s="1">
        <v>1</v>
      </c>
      <c r="C244" s="1">
        <v>90</v>
      </c>
      <c r="D244" s="1" t="s">
        <v>43</v>
      </c>
      <c r="E244" s="1" t="s">
        <v>44</v>
      </c>
      <c r="F244" s="1" t="s">
        <v>45</v>
      </c>
      <c r="G244" s="1" t="s">
        <v>46</v>
      </c>
      <c r="H244" s="1" t="s">
        <v>47</v>
      </c>
      <c r="I244" s="1">
        <v>535</v>
      </c>
      <c r="J244" s="1">
        <v>12723</v>
      </c>
      <c r="K244" s="1">
        <v>1</v>
      </c>
      <c r="L244" s="1">
        <v>89</v>
      </c>
      <c r="M244" s="1">
        <v>1849</v>
      </c>
      <c r="N244" s="1" t="s">
        <v>48</v>
      </c>
      <c r="O244" s="1">
        <v>20364</v>
      </c>
      <c r="P244" s="1">
        <v>95</v>
      </c>
      <c r="Q244" s="1" t="s">
        <v>127</v>
      </c>
      <c r="R244" s="1" t="s">
        <v>50</v>
      </c>
      <c r="S244" s="1">
        <v>0</v>
      </c>
      <c r="T244" s="1">
        <v>0</v>
      </c>
      <c r="U244" s="1">
        <v>205.73699999999999</v>
      </c>
      <c r="V244" s="1">
        <v>24.99</v>
      </c>
      <c r="W244" s="1">
        <v>0.53</v>
      </c>
      <c r="X244" s="1">
        <v>0.157</v>
      </c>
      <c r="Y244" s="1">
        <v>25.146999999999998</v>
      </c>
      <c r="Z244" s="1">
        <v>0.105</v>
      </c>
      <c r="AA244" s="1">
        <v>-2.7</v>
      </c>
      <c r="AB244" s="1">
        <v>-2.7</v>
      </c>
      <c r="AC244" s="1">
        <v>-2.7</v>
      </c>
      <c r="AD244" s="1">
        <v>0.157</v>
      </c>
      <c r="AE244" s="1">
        <v>0.105</v>
      </c>
      <c r="AF244" s="1">
        <v>1.6E-2</v>
      </c>
      <c r="AG244" s="1">
        <v>-2.7</v>
      </c>
      <c r="AI244" s="1">
        <v>0</v>
      </c>
      <c r="AJ244" s="1">
        <v>0</v>
      </c>
      <c r="AK244" s="1">
        <v>0</v>
      </c>
      <c r="AL244" s="1">
        <v>1</v>
      </c>
      <c r="AM244" s="1">
        <v>86400</v>
      </c>
      <c r="AN244" s="1">
        <v>79153</v>
      </c>
      <c r="AO244" s="1">
        <v>7247</v>
      </c>
      <c r="AP244" s="1">
        <v>46832</v>
      </c>
      <c r="AQ244" s="1">
        <v>1.6932807555292719</v>
      </c>
    </row>
    <row r="245" spans="1:43" x14ac:dyDescent="0.45">
      <c r="A245" s="1">
        <v>87</v>
      </c>
      <c r="B245" s="1">
        <v>101</v>
      </c>
      <c r="C245" s="1">
        <v>74</v>
      </c>
      <c r="D245" s="1" t="s">
        <v>61</v>
      </c>
      <c r="E245" s="1" t="s">
        <v>62</v>
      </c>
      <c r="F245" s="1" t="s">
        <v>63</v>
      </c>
      <c r="G245" s="1" t="s">
        <v>46</v>
      </c>
      <c r="H245" s="1" t="s">
        <v>47</v>
      </c>
      <c r="I245" s="1">
        <v>1175</v>
      </c>
      <c r="J245" s="1">
        <v>30642</v>
      </c>
      <c r="K245" s="1">
        <v>1</v>
      </c>
      <c r="L245" s="1">
        <v>73</v>
      </c>
      <c r="M245" s="1">
        <v>2495</v>
      </c>
      <c r="N245" s="1" t="s">
        <v>48</v>
      </c>
      <c r="O245" s="1">
        <v>198413</v>
      </c>
      <c r="P245" s="1">
        <v>95</v>
      </c>
      <c r="Q245" s="1" t="s">
        <v>127</v>
      </c>
      <c r="R245" s="1" t="s">
        <v>50</v>
      </c>
      <c r="S245" s="1">
        <v>0</v>
      </c>
      <c r="T245" s="1">
        <v>0</v>
      </c>
      <c r="U245" s="1">
        <v>81.727000000000004</v>
      </c>
      <c r="V245" s="1">
        <v>25.605</v>
      </c>
      <c r="W245" s="1">
        <v>0.53</v>
      </c>
      <c r="X245" s="1">
        <v>0.157</v>
      </c>
      <c r="Y245" s="1">
        <v>25.762</v>
      </c>
      <c r="Z245" s="1">
        <v>0.49299999999999999</v>
      </c>
      <c r="AA245" s="1">
        <v>-2.4</v>
      </c>
      <c r="AB245" s="1">
        <v>-2.4</v>
      </c>
      <c r="AC245" s="1">
        <v>-2.4</v>
      </c>
      <c r="AD245" s="1">
        <v>0.157</v>
      </c>
      <c r="AE245" s="1">
        <v>0.49199999999999999</v>
      </c>
      <c r="AF245" s="1">
        <v>7.6999999999999999E-2</v>
      </c>
      <c r="AG245" s="1">
        <v>-2.4</v>
      </c>
      <c r="AI245" s="1">
        <v>0</v>
      </c>
      <c r="AJ245" s="1">
        <v>0</v>
      </c>
      <c r="AK245" s="1">
        <v>0</v>
      </c>
      <c r="AL245" s="1">
        <v>1</v>
      </c>
      <c r="AM245" s="1">
        <v>51105</v>
      </c>
      <c r="AN245" s="1">
        <v>5200</v>
      </c>
      <c r="AO245" s="1">
        <v>45905</v>
      </c>
      <c r="AP245" s="1">
        <v>50269</v>
      </c>
      <c r="AQ245" s="1">
        <v>11.14088044049641</v>
      </c>
    </row>
    <row r="246" spans="1:43" x14ac:dyDescent="0.45">
      <c r="A246" s="1">
        <v>31</v>
      </c>
      <c r="B246" s="1">
        <v>26</v>
      </c>
      <c r="C246" s="1">
        <v>126</v>
      </c>
      <c r="D246" s="1" t="s">
        <v>51</v>
      </c>
      <c r="E246" s="1" t="s">
        <v>52</v>
      </c>
      <c r="F246" s="1" t="s">
        <v>53</v>
      </c>
      <c r="G246" s="1" t="s">
        <v>54</v>
      </c>
      <c r="H246" s="1" t="s">
        <v>47</v>
      </c>
      <c r="I246" s="1">
        <v>1113</v>
      </c>
      <c r="J246" s="1">
        <v>60690</v>
      </c>
      <c r="K246" s="1">
        <v>1</v>
      </c>
      <c r="L246" s="1">
        <v>125</v>
      </c>
      <c r="M246" s="1">
        <v>1427</v>
      </c>
      <c r="N246" s="1" t="s">
        <v>48</v>
      </c>
      <c r="O246" s="1">
        <v>14682</v>
      </c>
      <c r="P246" s="1">
        <v>95</v>
      </c>
      <c r="Q246" s="1" t="s">
        <v>127</v>
      </c>
      <c r="R246" s="1" t="s">
        <v>50</v>
      </c>
      <c r="S246" s="1">
        <v>0</v>
      </c>
      <c r="T246" s="1">
        <v>0</v>
      </c>
      <c r="U246" s="1">
        <v>108.435</v>
      </c>
      <c r="V246" s="1">
        <v>26.504999999999999</v>
      </c>
      <c r="W246" s="1">
        <v>0.56999999999999995</v>
      </c>
      <c r="X246" s="1">
        <v>0.156</v>
      </c>
      <c r="Y246" s="1">
        <v>26.661000000000001</v>
      </c>
      <c r="Z246" s="1">
        <v>3.2109999999999999</v>
      </c>
      <c r="AA246" s="1">
        <v>-0.3</v>
      </c>
      <c r="AB246" s="1">
        <v>-0.3</v>
      </c>
      <c r="AC246" s="1">
        <v>-0.3</v>
      </c>
      <c r="AD246" s="1">
        <v>0.156</v>
      </c>
      <c r="AE246" s="1">
        <v>3.2</v>
      </c>
      <c r="AF246" s="1">
        <v>0.499</v>
      </c>
      <c r="AG246" s="1">
        <v>-0.3</v>
      </c>
      <c r="AI246" s="1">
        <v>0</v>
      </c>
      <c r="AJ246" s="1">
        <v>0</v>
      </c>
      <c r="AK246" s="1">
        <v>0</v>
      </c>
      <c r="AL246" s="1">
        <v>1</v>
      </c>
      <c r="AM246" s="1">
        <v>54634</v>
      </c>
      <c r="AN246" s="1">
        <v>11408</v>
      </c>
      <c r="AO246" s="1">
        <v>43226</v>
      </c>
      <c r="AP246" s="1">
        <v>49216</v>
      </c>
      <c r="AQ246" s="1">
        <v>9.6151972878007541</v>
      </c>
    </row>
    <row r="247" spans="1:43" x14ac:dyDescent="0.45">
      <c r="A247" s="1">
        <v>180</v>
      </c>
      <c r="B247" s="1">
        <v>142</v>
      </c>
      <c r="C247" s="1">
        <v>78</v>
      </c>
      <c r="D247" s="1" t="s">
        <v>67</v>
      </c>
      <c r="E247" s="1" t="s">
        <v>68</v>
      </c>
      <c r="F247" s="1" t="s">
        <v>69</v>
      </c>
      <c r="G247" s="1" t="s">
        <v>46</v>
      </c>
      <c r="H247" s="1" t="s">
        <v>47</v>
      </c>
      <c r="I247" s="1">
        <v>1163</v>
      </c>
      <c r="J247" s="1">
        <v>33073</v>
      </c>
      <c r="K247" s="1">
        <v>1</v>
      </c>
      <c r="L247" s="1">
        <v>77</v>
      </c>
      <c r="M247" s="1">
        <v>2417</v>
      </c>
      <c r="N247" s="1" t="s">
        <v>48</v>
      </c>
      <c r="O247" s="1">
        <v>197557</v>
      </c>
      <c r="P247" s="1">
        <v>95</v>
      </c>
      <c r="Q247" s="1" t="s">
        <v>127</v>
      </c>
      <c r="R247" s="1" t="s">
        <v>50</v>
      </c>
      <c r="S247" s="1">
        <v>0</v>
      </c>
      <c r="T247" s="1">
        <v>0</v>
      </c>
      <c r="U247" s="1">
        <v>142.69200000000001</v>
      </c>
      <c r="V247" s="1">
        <v>25.48</v>
      </c>
      <c r="W247" s="1">
        <v>0.52</v>
      </c>
      <c r="X247" s="1">
        <v>0.151</v>
      </c>
      <c r="Y247" s="1">
        <v>25.631</v>
      </c>
      <c r="Z247" s="1">
        <v>0.16800000000000001</v>
      </c>
      <c r="AA247" s="1">
        <v>0.1</v>
      </c>
      <c r="AB247" s="1">
        <v>-0.6</v>
      </c>
      <c r="AC247" s="1">
        <v>-0.6</v>
      </c>
      <c r="AD247" s="1">
        <v>0.151</v>
      </c>
      <c r="AE247" s="1">
        <v>0.111</v>
      </c>
      <c r="AF247" s="1">
        <v>1.7000000000000001E-2</v>
      </c>
      <c r="AG247" s="1">
        <v>0.1</v>
      </c>
      <c r="AI247" s="1">
        <v>0</v>
      </c>
      <c r="AJ247" s="1">
        <v>0</v>
      </c>
      <c r="AK247" s="1">
        <v>0</v>
      </c>
      <c r="AL247" s="1">
        <v>1</v>
      </c>
      <c r="AM247" s="1">
        <v>82904</v>
      </c>
      <c r="AN247" s="1">
        <v>68200</v>
      </c>
      <c r="AO247" s="1">
        <v>14704</v>
      </c>
      <c r="AP247" s="1">
        <v>47086</v>
      </c>
      <c r="AQ247" s="1">
        <v>1.4894704153291789</v>
      </c>
    </row>
    <row r="248" spans="1:43" x14ac:dyDescent="0.45">
      <c r="A248" s="1">
        <v>262</v>
      </c>
      <c r="B248" s="1">
        <v>439</v>
      </c>
      <c r="C248" s="1">
        <v>94</v>
      </c>
      <c r="D248" s="1" t="s">
        <v>82</v>
      </c>
      <c r="E248" s="1" t="s">
        <v>83</v>
      </c>
      <c r="F248" s="1" t="s">
        <v>84</v>
      </c>
      <c r="G248" s="1" t="s">
        <v>46</v>
      </c>
      <c r="H248" s="1" t="s">
        <v>47</v>
      </c>
      <c r="I248" s="1">
        <v>490</v>
      </c>
      <c r="J248" s="1">
        <v>12595</v>
      </c>
      <c r="K248" s="1">
        <v>1</v>
      </c>
      <c r="L248" s="1">
        <v>93</v>
      </c>
      <c r="M248" s="1">
        <v>2098</v>
      </c>
      <c r="N248" s="1" t="s">
        <v>48</v>
      </c>
      <c r="O248" s="1">
        <v>185065</v>
      </c>
      <c r="P248" s="1">
        <v>95</v>
      </c>
      <c r="Q248" s="1" t="s">
        <v>127</v>
      </c>
      <c r="R248" s="1" t="s">
        <v>50</v>
      </c>
      <c r="S248" s="1">
        <v>0</v>
      </c>
      <c r="T248" s="1">
        <v>0</v>
      </c>
      <c r="U248" s="1">
        <v>55.773000000000003</v>
      </c>
      <c r="V248" s="1">
        <v>23.952999999999999</v>
      </c>
      <c r="W248" s="1">
        <v>0.56000000000000005</v>
      </c>
      <c r="X248" s="1">
        <v>0.15</v>
      </c>
      <c r="Y248" s="1">
        <v>24.102</v>
      </c>
      <c r="Z248" s="1">
        <v>2.5259999999999998</v>
      </c>
      <c r="AA248" s="1">
        <v>-3</v>
      </c>
      <c r="AB248" s="1">
        <v>-3</v>
      </c>
      <c r="AC248" s="1">
        <v>-3</v>
      </c>
      <c r="AD248" s="1">
        <v>0.15</v>
      </c>
      <c r="AE248" s="1">
        <v>2.524</v>
      </c>
      <c r="AF248" s="1">
        <v>0.378</v>
      </c>
      <c r="AG248" s="1">
        <v>-3</v>
      </c>
      <c r="AI248" s="1">
        <v>0</v>
      </c>
      <c r="AJ248" s="1">
        <v>0</v>
      </c>
      <c r="AK248" s="1">
        <v>0</v>
      </c>
      <c r="AL248" s="1">
        <v>1</v>
      </c>
      <c r="AM248" s="1">
        <v>82961</v>
      </c>
      <c r="AN248" s="1">
        <v>68241</v>
      </c>
      <c r="AO248" s="1">
        <v>14719</v>
      </c>
      <c r="AP248" s="1">
        <v>47048</v>
      </c>
      <c r="AQ248" s="1">
        <v>0.66646226650313478</v>
      </c>
    </row>
    <row r="249" spans="1:43" x14ac:dyDescent="0.45">
      <c r="A249" s="1">
        <v>61</v>
      </c>
      <c r="B249" s="1">
        <v>74</v>
      </c>
      <c r="C249" s="1">
        <v>83</v>
      </c>
      <c r="D249" s="1" t="s">
        <v>55</v>
      </c>
      <c r="E249" s="1" t="s">
        <v>56</v>
      </c>
      <c r="F249" s="1" t="s">
        <v>57</v>
      </c>
      <c r="G249" s="1" t="s">
        <v>46</v>
      </c>
      <c r="H249" s="1" t="s">
        <v>47</v>
      </c>
      <c r="I249" s="1">
        <v>1176</v>
      </c>
      <c r="J249" s="1">
        <v>30288</v>
      </c>
      <c r="K249" s="1">
        <v>1</v>
      </c>
      <c r="L249" s="1">
        <v>82</v>
      </c>
      <c r="M249" s="1">
        <v>2411</v>
      </c>
      <c r="N249" s="1" t="s">
        <v>48</v>
      </c>
      <c r="O249" s="1">
        <v>197519</v>
      </c>
      <c r="P249" s="1">
        <v>95</v>
      </c>
      <c r="Q249" s="1" t="s">
        <v>127</v>
      </c>
      <c r="R249" s="1" t="s">
        <v>50</v>
      </c>
      <c r="S249" s="1">
        <v>0</v>
      </c>
      <c r="T249" s="1">
        <v>0</v>
      </c>
      <c r="U249" s="1">
        <v>82.207999999999998</v>
      </c>
      <c r="V249" s="1">
        <v>25.507999999999999</v>
      </c>
      <c r="W249" s="1">
        <v>0.53</v>
      </c>
      <c r="X249" s="1">
        <v>0.14899999999999999</v>
      </c>
      <c r="Y249" s="1">
        <v>25.658000000000001</v>
      </c>
      <c r="Z249" s="1">
        <v>0.17399999999999999</v>
      </c>
      <c r="AA249" s="1">
        <v>0.7</v>
      </c>
      <c r="AB249" s="1">
        <v>0.7</v>
      </c>
      <c r="AC249" s="1">
        <v>0.7</v>
      </c>
      <c r="AD249" s="1">
        <v>0.14899999999999999</v>
      </c>
      <c r="AE249" s="1">
        <v>0.17399999999999999</v>
      </c>
      <c r="AF249" s="1">
        <v>2.5999999999999999E-2</v>
      </c>
      <c r="AG249" s="1">
        <v>0.7</v>
      </c>
      <c r="AI249" s="1">
        <v>0</v>
      </c>
      <c r="AJ249" s="1">
        <v>0</v>
      </c>
      <c r="AK249" s="1">
        <v>0</v>
      </c>
      <c r="AL249" s="1">
        <v>1</v>
      </c>
      <c r="AM249" s="1">
        <v>61588</v>
      </c>
      <c r="AN249" s="1">
        <v>28797</v>
      </c>
      <c r="AO249" s="1">
        <v>32791</v>
      </c>
      <c r="AP249" s="1">
        <v>47684</v>
      </c>
      <c r="AQ249" s="1">
        <v>8.6118825219260362</v>
      </c>
    </row>
    <row r="250" spans="1:43" x14ac:dyDescent="0.45">
      <c r="A250" s="1">
        <v>43</v>
      </c>
      <c r="B250" s="1">
        <v>73</v>
      </c>
      <c r="C250" s="1">
        <v>83</v>
      </c>
      <c r="D250" s="1" t="s">
        <v>55</v>
      </c>
      <c r="E250" s="1" t="s">
        <v>56</v>
      </c>
      <c r="F250" s="1" t="s">
        <v>57</v>
      </c>
      <c r="G250" s="1" t="s">
        <v>46</v>
      </c>
      <c r="H250" s="1" t="s">
        <v>47</v>
      </c>
      <c r="I250" s="1">
        <v>1176</v>
      </c>
      <c r="J250" s="1">
        <v>30288</v>
      </c>
      <c r="K250" s="1">
        <v>1</v>
      </c>
      <c r="L250" s="1">
        <v>82</v>
      </c>
      <c r="M250" s="1">
        <v>2404</v>
      </c>
      <c r="N250" s="1" t="s">
        <v>48</v>
      </c>
      <c r="O250" s="1">
        <v>197185</v>
      </c>
      <c r="P250" s="1">
        <v>95</v>
      </c>
      <c r="Q250" s="1" t="s">
        <v>127</v>
      </c>
      <c r="R250" s="1" t="s">
        <v>50</v>
      </c>
      <c r="S250" s="1">
        <v>0</v>
      </c>
      <c r="T250" s="1">
        <v>0</v>
      </c>
      <c r="U250" s="1">
        <v>51.997</v>
      </c>
      <c r="V250" s="1">
        <v>25.521000000000001</v>
      </c>
      <c r="W250" s="1">
        <v>0.52</v>
      </c>
      <c r="X250" s="1">
        <v>0.14499999999999999</v>
      </c>
      <c r="Y250" s="1">
        <v>25.666</v>
      </c>
      <c r="Z250" s="1">
        <v>0.13800000000000001</v>
      </c>
      <c r="AA250" s="1">
        <v>0.3</v>
      </c>
      <c r="AB250" s="1">
        <v>0.5</v>
      </c>
      <c r="AC250" s="1">
        <v>0.5</v>
      </c>
      <c r="AD250" s="1">
        <v>0.14499999999999999</v>
      </c>
      <c r="AE250" s="1">
        <v>0.123</v>
      </c>
      <c r="AF250" s="1">
        <v>1.7999999999999999E-2</v>
      </c>
      <c r="AG250" s="1">
        <v>0.3</v>
      </c>
      <c r="AI250" s="1">
        <v>0</v>
      </c>
      <c r="AJ250" s="1">
        <v>0</v>
      </c>
      <c r="AK250" s="1">
        <v>0</v>
      </c>
      <c r="AL250" s="1">
        <v>1</v>
      </c>
      <c r="AM250" s="1">
        <v>86400</v>
      </c>
      <c r="AN250" s="1">
        <v>79381</v>
      </c>
      <c r="AO250" s="1">
        <v>7019</v>
      </c>
      <c r="AP250" s="1">
        <v>46989</v>
      </c>
      <c r="AQ250" s="1">
        <v>6.099070999539685</v>
      </c>
    </row>
    <row r="251" spans="1:43" x14ac:dyDescent="0.45">
      <c r="A251" s="1">
        <v>177</v>
      </c>
      <c r="B251" s="1">
        <v>142</v>
      </c>
      <c r="C251" s="1">
        <v>78</v>
      </c>
      <c r="D251" s="1" t="s">
        <v>67</v>
      </c>
      <c r="E251" s="1" t="s">
        <v>68</v>
      </c>
      <c r="F251" s="1" t="s">
        <v>69</v>
      </c>
      <c r="G251" s="1" t="s">
        <v>46</v>
      </c>
      <c r="H251" s="1" t="s">
        <v>47</v>
      </c>
      <c r="I251" s="1">
        <v>1163</v>
      </c>
      <c r="J251" s="1">
        <v>33073</v>
      </c>
      <c r="K251" s="1">
        <v>1</v>
      </c>
      <c r="L251" s="1">
        <v>77</v>
      </c>
      <c r="M251" s="1">
        <v>2413</v>
      </c>
      <c r="N251" s="1" t="s">
        <v>48</v>
      </c>
      <c r="O251" s="1">
        <v>197553</v>
      </c>
      <c r="P251" s="1">
        <v>95</v>
      </c>
      <c r="Q251" s="1" t="s">
        <v>127</v>
      </c>
      <c r="R251" s="1" t="s">
        <v>50</v>
      </c>
      <c r="S251" s="1">
        <v>0</v>
      </c>
      <c r="T251" s="1">
        <v>0</v>
      </c>
      <c r="U251" s="1">
        <v>197.435</v>
      </c>
      <c r="V251" s="1">
        <v>25.481999999999999</v>
      </c>
      <c r="W251" s="1">
        <v>0.52</v>
      </c>
      <c r="X251" s="1">
        <v>0.14499999999999999</v>
      </c>
      <c r="Y251" s="1">
        <v>25.626999999999999</v>
      </c>
      <c r="Z251" s="1">
        <v>7.1999999999999995E-2</v>
      </c>
      <c r="AA251" s="1">
        <v>-0.2</v>
      </c>
      <c r="AB251" s="1">
        <v>-0.2</v>
      </c>
      <c r="AC251" s="1">
        <v>-0.2</v>
      </c>
      <c r="AD251" s="1">
        <v>0.14499999999999999</v>
      </c>
      <c r="AE251" s="1">
        <v>7.1999999999999995E-2</v>
      </c>
      <c r="AF251" s="1">
        <v>0.01</v>
      </c>
      <c r="AG251" s="1">
        <v>-0.2</v>
      </c>
      <c r="AI251" s="1">
        <v>0</v>
      </c>
      <c r="AJ251" s="1">
        <v>0</v>
      </c>
      <c r="AK251" s="1">
        <v>0</v>
      </c>
      <c r="AL251" s="1">
        <v>1</v>
      </c>
      <c r="AM251" s="1">
        <v>54243</v>
      </c>
      <c r="AN251" s="1">
        <v>11000</v>
      </c>
      <c r="AO251" s="1">
        <v>43243</v>
      </c>
      <c r="AP251" s="1">
        <v>47007</v>
      </c>
      <c r="AQ251" s="1">
        <v>10.312824526206111</v>
      </c>
    </row>
    <row r="252" spans="1:43" x14ac:dyDescent="0.45">
      <c r="A252" s="1">
        <v>231</v>
      </c>
      <c r="B252" s="1">
        <v>181</v>
      </c>
      <c r="C252" s="1">
        <v>75</v>
      </c>
      <c r="D252" s="1" t="s">
        <v>64</v>
      </c>
      <c r="E252" s="1" t="s">
        <v>65</v>
      </c>
      <c r="F252" s="1" t="s">
        <v>66</v>
      </c>
      <c r="G252" s="1" t="s">
        <v>46</v>
      </c>
      <c r="H252" s="1" t="s">
        <v>47</v>
      </c>
      <c r="I252" s="1">
        <v>1170</v>
      </c>
      <c r="J252" s="1">
        <v>33499</v>
      </c>
      <c r="K252" s="1">
        <v>1</v>
      </c>
      <c r="L252" s="1">
        <v>74</v>
      </c>
      <c r="M252" s="1">
        <v>2571</v>
      </c>
      <c r="N252" s="1" t="s">
        <v>48</v>
      </c>
      <c r="O252" s="1">
        <v>198617</v>
      </c>
      <c r="P252" s="1">
        <v>95</v>
      </c>
      <c r="Q252" s="1" t="s">
        <v>127</v>
      </c>
      <c r="R252" s="1" t="s">
        <v>50</v>
      </c>
      <c r="S252" s="1">
        <v>0</v>
      </c>
      <c r="T252" s="1">
        <v>0</v>
      </c>
      <c r="U252" s="1">
        <v>108.47199999999999</v>
      </c>
      <c r="V252" s="1">
        <v>25.446999999999999</v>
      </c>
      <c r="W252" s="1">
        <v>0.53</v>
      </c>
      <c r="X252" s="1">
        <v>0.14399999999999999</v>
      </c>
      <c r="Y252" s="1">
        <v>25.591000000000001</v>
      </c>
      <c r="Z252" s="1">
        <v>0.60299999999999998</v>
      </c>
      <c r="AA252" s="1">
        <v>-2.8</v>
      </c>
      <c r="AB252" s="1">
        <v>-2.8</v>
      </c>
      <c r="AC252" s="1">
        <v>-2.8</v>
      </c>
      <c r="AD252" s="1">
        <v>0.14399999999999999</v>
      </c>
      <c r="AE252" s="1">
        <v>0.60299999999999998</v>
      </c>
      <c r="AF252" s="1">
        <v>8.6999999999999994E-2</v>
      </c>
      <c r="AG252" s="1">
        <v>-2.8</v>
      </c>
      <c r="AI252" s="1">
        <v>0</v>
      </c>
      <c r="AJ252" s="1">
        <v>0</v>
      </c>
      <c r="AK252" s="1">
        <v>0</v>
      </c>
      <c r="AL252" s="1">
        <v>1</v>
      </c>
      <c r="AM252" s="1">
        <v>51477</v>
      </c>
      <c r="AN252" s="1">
        <v>6555</v>
      </c>
      <c r="AO252" s="1">
        <v>44918</v>
      </c>
      <c r="AP252" s="1">
        <v>50144</v>
      </c>
      <c r="AQ252" s="1">
        <v>11.04930947122207</v>
      </c>
    </row>
    <row r="253" spans="1:43" x14ac:dyDescent="0.45">
      <c r="A253" s="1">
        <v>16</v>
      </c>
      <c r="B253" s="1">
        <v>26</v>
      </c>
      <c r="C253" s="1">
        <v>126</v>
      </c>
      <c r="D253" s="1" t="s">
        <v>51</v>
      </c>
      <c r="E253" s="1" t="s">
        <v>52</v>
      </c>
      <c r="F253" s="1" t="s">
        <v>53</v>
      </c>
      <c r="G253" s="1" t="s">
        <v>54</v>
      </c>
      <c r="H253" s="1" t="s">
        <v>47</v>
      </c>
      <c r="I253" s="1">
        <v>1113</v>
      </c>
      <c r="J253" s="1">
        <v>60690</v>
      </c>
      <c r="K253" s="1">
        <v>1</v>
      </c>
      <c r="L253" s="1">
        <v>125</v>
      </c>
      <c r="M253" s="1">
        <v>960</v>
      </c>
      <c r="N253" s="1" t="s">
        <v>48</v>
      </c>
      <c r="O253" s="1">
        <v>13948</v>
      </c>
      <c r="P253" s="1">
        <v>95</v>
      </c>
      <c r="Q253" s="1" t="s">
        <v>127</v>
      </c>
      <c r="R253" s="1" t="s">
        <v>50</v>
      </c>
      <c r="S253" s="1">
        <v>0</v>
      </c>
      <c r="T253" s="1">
        <v>0</v>
      </c>
      <c r="U253" s="1">
        <v>78.772000000000006</v>
      </c>
      <c r="V253" s="1">
        <v>25.585000000000001</v>
      </c>
      <c r="W253" s="1">
        <v>0.55000000000000004</v>
      </c>
      <c r="X253" s="1">
        <v>0.14199999999999999</v>
      </c>
      <c r="Y253" s="1">
        <v>25.727</v>
      </c>
      <c r="Z253" s="1">
        <v>1.8859999999999999</v>
      </c>
      <c r="AA253" s="1">
        <v>0.9</v>
      </c>
      <c r="AB253" s="1">
        <v>0.9</v>
      </c>
      <c r="AC253" s="1">
        <v>0.9</v>
      </c>
      <c r="AD253" s="1">
        <v>0.14199999999999999</v>
      </c>
      <c r="AE253" s="1">
        <v>1.8819999999999999</v>
      </c>
      <c r="AF253" s="1">
        <v>0.26800000000000002</v>
      </c>
      <c r="AG253" s="1">
        <v>0.9</v>
      </c>
      <c r="AI253" s="1">
        <v>0</v>
      </c>
      <c r="AJ253" s="1">
        <v>0</v>
      </c>
      <c r="AK253" s="1">
        <v>0</v>
      </c>
      <c r="AL253" s="1">
        <v>1</v>
      </c>
      <c r="AM253" s="1">
        <v>86400</v>
      </c>
      <c r="AN253" s="1">
        <v>77312</v>
      </c>
      <c r="AO253" s="1">
        <v>9088</v>
      </c>
      <c r="AP253" s="1">
        <v>46822</v>
      </c>
      <c r="AQ253" s="1">
        <v>3.1463352407707261</v>
      </c>
    </row>
    <row r="254" spans="1:43" x14ac:dyDescent="0.45">
      <c r="A254" s="1">
        <v>264</v>
      </c>
      <c r="B254" s="1">
        <v>439</v>
      </c>
      <c r="C254" s="1">
        <v>94</v>
      </c>
      <c r="D254" s="1" t="s">
        <v>82</v>
      </c>
      <c r="E254" s="1" t="s">
        <v>83</v>
      </c>
      <c r="F254" s="1" t="s">
        <v>84</v>
      </c>
      <c r="G254" s="1" t="s">
        <v>46</v>
      </c>
      <c r="H254" s="1" t="s">
        <v>47</v>
      </c>
      <c r="I254" s="1">
        <v>490</v>
      </c>
      <c r="J254" s="1">
        <v>12595</v>
      </c>
      <c r="K254" s="1">
        <v>1</v>
      </c>
      <c r="L254" s="1">
        <v>93</v>
      </c>
      <c r="M254" s="1">
        <v>2105</v>
      </c>
      <c r="N254" s="1" t="s">
        <v>48</v>
      </c>
      <c r="O254" s="1">
        <v>185079</v>
      </c>
      <c r="P254" s="1">
        <v>95</v>
      </c>
      <c r="Q254" s="1" t="s">
        <v>127</v>
      </c>
      <c r="R254" s="1" t="s">
        <v>50</v>
      </c>
      <c r="S254" s="1">
        <v>0</v>
      </c>
      <c r="T254" s="1">
        <v>0</v>
      </c>
      <c r="U254" s="1">
        <v>54.067</v>
      </c>
      <c r="V254" s="1">
        <v>24.100999999999999</v>
      </c>
      <c r="W254" s="1">
        <v>0.55000000000000004</v>
      </c>
      <c r="X254" s="1">
        <v>0.14199999999999999</v>
      </c>
      <c r="Y254" s="1">
        <v>24.242999999999999</v>
      </c>
      <c r="Z254" s="1">
        <v>2.266</v>
      </c>
      <c r="AA254" s="1">
        <v>-2.9</v>
      </c>
      <c r="AB254" s="1">
        <v>-2.9</v>
      </c>
      <c r="AC254" s="1">
        <v>-2.9</v>
      </c>
      <c r="AD254" s="1">
        <v>0.14199999999999999</v>
      </c>
      <c r="AE254" s="1">
        <v>2.258</v>
      </c>
      <c r="AF254" s="1">
        <v>0.32100000000000001</v>
      </c>
      <c r="AG254" s="1">
        <v>-2.9</v>
      </c>
      <c r="AI254" s="1">
        <v>0</v>
      </c>
      <c r="AJ254" s="1">
        <v>0</v>
      </c>
      <c r="AK254" s="1">
        <v>0</v>
      </c>
      <c r="AL254" s="1">
        <v>1</v>
      </c>
      <c r="AM254" s="1">
        <v>64831</v>
      </c>
      <c r="AN254" s="1">
        <v>32318</v>
      </c>
      <c r="AO254" s="1">
        <v>32512</v>
      </c>
      <c r="AP254" s="1">
        <v>46966</v>
      </c>
      <c r="AQ254" s="1">
        <v>0.59664947625070441</v>
      </c>
    </row>
    <row r="255" spans="1:43" x14ac:dyDescent="0.45">
      <c r="A255" s="1">
        <v>41</v>
      </c>
      <c r="B255" s="1">
        <v>26</v>
      </c>
      <c r="C255" s="1">
        <v>126</v>
      </c>
      <c r="D255" s="1" t="s">
        <v>51</v>
      </c>
      <c r="E255" s="1" t="s">
        <v>52</v>
      </c>
      <c r="F255" s="1" t="s">
        <v>53</v>
      </c>
      <c r="G255" s="1" t="s">
        <v>54</v>
      </c>
      <c r="H255" s="1" t="s">
        <v>47</v>
      </c>
      <c r="I255" s="1">
        <v>1113</v>
      </c>
      <c r="J255" s="1">
        <v>60690</v>
      </c>
      <c r="K255" s="1">
        <v>1</v>
      </c>
      <c r="L255" s="1">
        <v>125</v>
      </c>
      <c r="M255" s="1">
        <v>1704</v>
      </c>
      <c r="N255" s="1" t="s">
        <v>48</v>
      </c>
      <c r="O255" s="1">
        <v>15220</v>
      </c>
      <c r="P255" s="1">
        <v>95</v>
      </c>
      <c r="Q255" s="1" t="s">
        <v>127</v>
      </c>
      <c r="R255" s="1" t="s">
        <v>50</v>
      </c>
      <c r="S255" s="1">
        <v>0</v>
      </c>
      <c r="T255" s="1">
        <v>0</v>
      </c>
      <c r="U255" s="1">
        <v>214.108</v>
      </c>
      <c r="V255" s="1">
        <v>28.081</v>
      </c>
      <c r="W255" s="1">
        <v>0.52</v>
      </c>
      <c r="X255" s="1">
        <v>0.14000000000000001</v>
      </c>
      <c r="Y255" s="1">
        <v>28.221</v>
      </c>
      <c r="Z255" s="1">
        <v>5.8000000000000003E-2</v>
      </c>
      <c r="AA255" s="1">
        <v>-1.6</v>
      </c>
      <c r="AB255" s="1">
        <v>-1.6</v>
      </c>
      <c r="AC255" s="1">
        <v>-1.6</v>
      </c>
      <c r="AD255" s="1">
        <v>0.14000000000000001</v>
      </c>
      <c r="AE255" s="1">
        <v>5.8000000000000003E-2</v>
      </c>
      <c r="AF255" s="1">
        <v>8.0000000000000002E-3</v>
      </c>
      <c r="AG255" s="1">
        <v>-1.6</v>
      </c>
      <c r="AI255" s="1">
        <v>0</v>
      </c>
      <c r="AJ255" s="1">
        <v>0</v>
      </c>
      <c r="AK255" s="1">
        <v>0</v>
      </c>
      <c r="AL255" s="1">
        <v>1</v>
      </c>
      <c r="AM255" s="1">
        <v>86400</v>
      </c>
      <c r="AN255" s="1">
        <v>76609</v>
      </c>
      <c r="AO255" s="1">
        <v>9791</v>
      </c>
      <c r="AP255" s="1">
        <v>46980</v>
      </c>
      <c r="AQ255" s="1">
        <v>4.3455347958324149</v>
      </c>
    </row>
    <row r="256" spans="1:43" x14ac:dyDescent="0.45">
      <c r="A256" s="1">
        <v>277</v>
      </c>
      <c r="B256" s="1">
        <v>446</v>
      </c>
      <c r="C256" s="1">
        <v>97</v>
      </c>
      <c r="D256" s="1" t="s">
        <v>85</v>
      </c>
      <c r="E256" s="1" t="s">
        <v>86</v>
      </c>
      <c r="F256" s="1" t="s">
        <v>87</v>
      </c>
      <c r="G256" s="1" t="s">
        <v>46</v>
      </c>
      <c r="H256" s="1" t="s">
        <v>47</v>
      </c>
      <c r="I256" s="1">
        <v>1089</v>
      </c>
      <c r="J256" s="1">
        <v>26566</v>
      </c>
      <c r="K256" s="1">
        <v>1</v>
      </c>
      <c r="L256" s="1">
        <v>96</v>
      </c>
      <c r="M256" s="1">
        <v>2087</v>
      </c>
      <c r="N256" s="1" t="s">
        <v>48</v>
      </c>
      <c r="O256" s="1">
        <v>184955</v>
      </c>
      <c r="P256" s="1">
        <v>95</v>
      </c>
      <c r="Q256" s="1" t="s">
        <v>127</v>
      </c>
      <c r="R256" s="1" t="s">
        <v>50</v>
      </c>
      <c r="S256" s="1">
        <v>0</v>
      </c>
      <c r="T256" s="1">
        <v>0</v>
      </c>
      <c r="U256" s="1">
        <v>142.041</v>
      </c>
      <c r="V256" s="1">
        <v>25.390999999999998</v>
      </c>
      <c r="W256" s="1">
        <v>0.53</v>
      </c>
      <c r="X256" s="1">
        <v>0.13800000000000001</v>
      </c>
      <c r="Y256" s="1">
        <v>25.529</v>
      </c>
      <c r="Z256" s="1">
        <v>0.34799999999999998</v>
      </c>
      <c r="AA256" s="1">
        <v>-1.6</v>
      </c>
      <c r="AB256" s="1">
        <v>-1.6</v>
      </c>
      <c r="AC256" s="1">
        <v>-1.6</v>
      </c>
      <c r="AD256" s="1">
        <v>0.13800000000000001</v>
      </c>
      <c r="AE256" s="1">
        <v>0.34699999999999998</v>
      </c>
      <c r="AF256" s="1">
        <v>4.8000000000000001E-2</v>
      </c>
      <c r="AG256" s="1">
        <v>-1.6</v>
      </c>
      <c r="AI256" s="1">
        <v>0</v>
      </c>
      <c r="AJ256" s="1">
        <v>0</v>
      </c>
      <c r="AK256" s="1">
        <v>0</v>
      </c>
      <c r="AL256" s="1">
        <v>1</v>
      </c>
      <c r="AM256" s="1">
        <v>86400</v>
      </c>
      <c r="AN256" s="1">
        <v>82006</v>
      </c>
      <c r="AO256" s="1">
        <v>4394</v>
      </c>
      <c r="AP256" s="1">
        <v>43903</v>
      </c>
      <c r="AQ256" s="1">
        <v>19.92750351117078</v>
      </c>
    </row>
    <row r="257" spans="1:43" x14ac:dyDescent="0.45">
      <c r="A257" s="1">
        <v>14</v>
      </c>
      <c r="B257" s="1">
        <v>26</v>
      </c>
      <c r="C257" s="1">
        <v>126</v>
      </c>
      <c r="D257" s="1" t="s">
        <v>51</v>
      </c>
      <c r="E257" s="1" t="s">
        <v>52</v>
      </c>
      <c r="F257" s="1" t="s">
        <v>53</v>
      </c>
      <c r="G257" s="1" t="s">
        <v>54</v>
      </c>
      <c r="H257" s="1" t="s">
        <v>47</v>
      </c>
      <c r="I257" s="1">
        <v>1113</v>
      </c>
      <c r="J257" s="1">
        <v>60690</v>
      </c>
      <c r="K257" s="1">
        <v>1</v>
      </c>
      <c r="L257" s="1">
        <v>125</v>
      </c>
      <c r="M257" s="1">
        <v>958</v>
      </c>
      <c r="N257" s="1" t="s">
        <v>48</v>
      </c>
      <c r="O257" s="1">
        <v>13945</v>
      </c>
      <c r="P257" s="1">
        <v>95</v>
      </c>
      <c r="Q257" s="1" t="s">
        <v>127</v>
      </c>
      <c r="R257" s="1" t="s">
        <v>50</v>
      </c>
      <c r="S257" s="1">
        <v>0</v>
      </c>
      <c r="T257" s="1">
        <v>0</v>
      </c>
      <c r="U257" s="1">
        <v>106.988</v>
      </c>
      <c r="V257" s="1">
        <v>25.702000000000002</v>
      </c>
      <c r="W257" s="1">
        <v>0.54</v>
      </c>
      <c r="X257" s="1">
        <v>0.13300000000000001</v>
      </c>
      <c r="Y257" s="1">
        <v>25.835000000000001</v>
      </c>
      <c r="Z257" s="1">
        <v>1.7010000000000001</v>
      </c>
      <c r="AA257" s="1">
        <v>0.6</v>
      </c>
      <c r="AB257" s="1">
        <v>0.6</v>
      </c>
      <c r="AC257" s="1">
        <v>0.6</v>
      </c>
      <c r="AD257" s="1">
        <v>0.13300000000000001</v>
      </c>
      <c r="AE257" s="1">
        <v>1.696</v>
      </c>
      <c r="AF257" s="1">
        <v>0.22600000000000001</v>
      </c>
      <c r="AG257" s="1">
        <v>0.6</v>
      </c>
      <c r="AI257" s="1">
        <v>0</v>
      </c>
      <c r="AJ257" s="1">
        <v>0</v>
      </c>
      <c r="AK257" s="1">
        <v>0</v>
      </c>
      <c r="AL257" s="1">
        <v>1</v>
      </c>
      <c r="AM257" s="1">
        <v>64902</v>
      </c>
      <c r="AN257" s="1">
        <v>32476</v>
      </c>
      <c r="AO257" s="1">
        <v>32426</v>
      </c>
      <c r="AP257" s="1">
        <v>47354</v>
      </c>
      <c r="AQ257" s="1">
        <v>13.749771714924229</v>
      </c>
    </row>
    <row r="258" spans="1:43" x14ac:dyDescent="0.45">
      <c r="A258" s="1">
        <v>279</v>
      </c>
      <c r="B258" s="1">
        <v>450</v>
      </c>
      <c r="C258" s="1">
        <v>97</v>
      </c>
      <c r="D258" s="1" t="s">
        <v>85</v>
      </c>
      <c r="E258" s="1" t="s">
        <v>86</v>
      </c>
      <c r="F258" s="1" t="s">
        <v>87</v>
      </c>
      <c r="G258" s="1" t="s">
        <v>46</v>
      </c>
      <c r="H258" s="1" t="s">
        <v>47</v>
      </c>
      <c r="I258" s="1">
        <v>1089</v>
      </c>
      <c r="J258" s="1">
        <v>26566</v>
      </c>
      <c r="K258" s="1">
        <v>1</v>
      </c>
      <c r="L258" s="1">
        <v>96</v>
      </c>
      <c r="M258" s="1">
        <v>2084</v>
      </c>
      <c r="N258" s="1" t="s">
        <v>48</v>
      </c>
      <c r="O258" s="1">
        <v>184884</v>
      </c>
      <c r="P258" s="1">
        <v>95</v>
      </c>
      <c r="Q258" s="1" t="s">
        <v>127</v>
      </c>
      <c r="R258" s="1" t="s">
        <v>50</v>
      </c>
      <c r="S258" s="1">
        <v>0</v>
      </c>
      <c r="T258" s="1">
        <v>0</v>
      </c>
      <c r="U258" s="1">
        <v>98.066999999999993</v>
      </c>
      <c r="V258" s="1">
        <v>25.141999999999999</v>
      </c>
      <c r="W258" s="1">
        <v>0.54</v>
      </c>
      <c r="X258" s="1">
        <v>0.13300000000000001</v>
      </c>
      <c r="Y258" s="1">
        <v>25.274999999999999</v>
      </c>
      <c r="Z258" s="1">
        <v>1.7450000000000001</v>
      </c>
      <c r="AA258" s="1">
        <v>0.4</v>
      </c>
      <c r="AB258" s="1">
        <v>0.4</v>
      </c>
      <c r="AC258" s="1">
        <v>0.4</v>
      </c>
      <c r="AD258" s="1">
        <v>0.13300000000000001</v>
      </c>
      <c r="AE258" s="1">
        <v>1.744</v>
      </c>
      <c r="AF258" s="1">
        <v>0.23200000000000001</v>
      </c>
      <c r="AG258" s="1">
        <v>0.4</v>
      </c>
      <c r="AI258" s="1">
        <v>0</v>
      </c>
      <c r="AJ258" s="1">
        <v>0</v>
      </c>
      <c r="AK258" s="1">
        <v>0</v>
      </c>
      <c r="AL258" s="1">
        <v>1</v>
      </c>
      <c r="AM258" s="1">
        <v>71514</v>
      </c>
      <c r="AN258" s="1">
        <v>27610</v>
      </c>
      <c r="AO258" s="1">
        <v>43901</v>
      </c>
      <c r="AP258" s="1">
        <v>50038</v>
      </c>
      <c r="AQ258" s="1">
        <v>1.302270255329955</v>
      </c>
    </row>
    <row r="259" spans="1:43" x14ac:dyDescent="0.45">
      <c r="A259" s="1">
        <v>48</v>
      </c>
      <c r="B259" s="1">
        <v>73</v>
      </c>
      <c r="C259" s="1">
        <v>83</v>
      </c>
      <c r="D259" s="1" t="s">
        <v>55</v>
      </c>
      <c r="E259" s="1" t="s">
        <v>56</v>
      </c>
      <c r="F259" s="1" t="s">
        <v>57</v>
      </c>
      <c r="G259" s="1" t="s">
        <v>46</v>
      </c>
      <c r="H259" s="1" t="s">
        <v>47</v>
      </c>
      <c r="I259" s="1">
        <v>1176</v>
      </c>
      <c r="J259" s="1">
        <v>30288</v>
      </c>
      <c r="K259" s="1">
        <v>1</v>
      </c>
      <c r="L259" s="1">
        <v>82</v>
      </c>
      <c r="M259" s="1">
        <v>2426</v>
      </c>
      <c r="N259" s="1" t="s">
        <v>48</v>
      </c>
      <c r="O259" s="1">
        <v>197574</v>
      </c>
      <c r="P259" s="1">
        <v>95</v>
      </c>
      <c r="Q259" s="1" t="s">
        <v>127</v>
      </c>
      <c r="R259" s="1" t="s">
        <v>50</v>
      </c>
      <c r="S259" s="1">
        <v>0</v>
      </c>
      <c r="T259" s="1">
        <v>0</v>
      </c>
      <c r="U259" s="1">
        <v>452.05500000000001</v>
      </c>
      <c r="V259" s="1">
        <v>25.53</v>
      </c>
      <c r="W259" s="1">
        <v>0.52</v>
      </c>
      <c r="X259" s="1">
        <v>0.13100000000000001</v>
      </c>
      <c r="Y259" s="1">
        <v>25.66</v>
      </c>
      <c r="Z259" s="1">
        <v>0.11700000000000001</v>
      </c>
      <c r="AA259" s="1">
        <v>0.8</v>
      </c>
      <c r="AB259" s="1">
        <v>0.8</v>
      </c>
      <c r="AC259" s="1">
        <v>0.8</v>
      </c>
      <c r="AD259" s="1">
        <v>0.13100000000000001</v>
      </c>
      <c r="AE259" s="1">
        <v>0.11600000000000001</v>
      </c>
      <c r="AF259" s="1">
        <v>1.4999999999999999E-2</v>
      </c>
      <c r="AG259" s="1">
        <v>0.8</v>
      </c>
      <c r="AI259" s="1">
        <v>0</v>
      </c>
      <c r="AJ259" s="1">
        <v>0</v>
      </c>
      <c r="AK259" s="1">
        <v>0</v>
      </c>
      <c r="AL259" s="1">
        <v>1</v>
      </c>
      <c r="AM259" s="1">
        <v>54732</v>
      </c>
      <c r="AN259" s="1">
        <v>14985</v>
      </c>
      <c r="AO259" s="1">
        <v>39746</v>
      </c>
      <c r="AP259" s="1">
        <v>47110</v>
      </c>
      <c r="AQ259" s="1">
        <v>1.603727782574899</v>
      </c>
    </row>
    <row r="260" spans="1:43" x14ac:dyDescent="0.45">
      <c r="A260" s="1">
        <v>244</v>
      </c>
      <c r="B260" s="1">
        <v>351</v>
      </c>
      <c r="C260" s="1">
        <v>63</v>
      </c>
      <c r="D260" s="1" t="s">
        <v>76</v>
      </c>
      <c r="E260" s="1" t="s">
        <v>77</v>
      </c>
      <c r="F260" s="1" t="s">
        <v>78</v>
      </c>
      <c r="G260" s="1" t="s">
        <v>46</v>
      </c>
      <c r="H260" s="1" t="s">
        <v>47</v>
      </c>
      <c r="I260" s="1">
        <v>1247</v>
      </c>
      <c r="J260" s="1">
        <v>27398</v>
      </c>
      <c r="K260" s="1">
        <v>1</v>
      </c>
      <c r="L260" s="1">
        <v>62</v>
      </c>
      <c r="M260" s="1">
        <v>2071</v>
      </c>
      <c r="N260" s="1" t="s">
        <v>48</v>
      </c>
      <c r="O260" s="1">
        <v>184186</v>
      </c>
      <c r="P260" s="1">
        <v>95</v>
      </c>
      <c r="Q260" s="1" t="s">
        <v>127</v>
      </c>
      <c r="R260" s="1" t="s">
        <v>50</v>
      </c>
      <c r="S260" s="1">
        <v>0</v>
      </c>
      <c r="T260" s="1">
        <v>0</v>
      </c>
      <c r="U260" s="1">
        <v>192.679</v>
      </c>
      <c r="V260" s="1">
        <v>25.120999999999999</v>
      </c>
      <c r="W260" s="1">
        <v>0.52</v>
      </c>
      <c r="X260" s="1">
        <v>0.13</v>
      </c>
      <c r="Y260" s="1">
        <v>25.251000000000001</v>
      </c>
      <c r="Z260" s="1">
        <v>0.30199999999999999</v>
      </c>
      <c r="AA260" s="1">
        <v>2.2000000000000002</v>
      </c>
      <c r="AB260" s="1">
        <v>2.2000000000000002</v>
      </c>
      <c r="AC260" s="1">
        <v>2.2000000000000002</v>
      </c>
      <c r="AD260" s="1">
        <v>0.13</v>
      </c>
      <c r="AE260" s="1">
        <v>0.3</v>
      </c>
      <c r="AF260" s="1">
        <v>3.9E-2</v>
      </c>
      <c r="AG260" s="1">
        <v>2.2000000000000002</v>
      </c>
      <c r="AI260" s="1">
        <v>0</v>
      </c>
      <c r="AJ260" s="1">
        <v>0</v>
      </c>
      <c r="AK260" s="1">
        <v>0</v>
      </c>
      <c r="AL260" s="1">
        <v>1</v>
      </c>
      <c r="AM260" s="1">
        <v>86400</v>
      </c>
      <c r="AN260" s="1">
        <v>81383</v>
      </c>
      <c r="AO260" s="1">
        <v>5017</v>
      </c>
      <c r="AP260" s="1">
        <v>47115</v>
      </c>
      <c r="AQ260" s="1">
        <v>22.488583066255799</v>
      </c>
    </row>
    <row r="261" spans="1:43" x14ac:dyDescent="0.45">
      <c r="A261" s="1">
        <v>52</v>
      </c>
      <c r="B261" s="1">
        <v>73</v>
      </c>
      <c r="C261" s="1">
        <v>83</v>
      </c>
      <c r="D261" s="1" t="s">
        <v>55</v>
      </c>
      <c r="E261" s="1" t="s">
        <v>56</v>
      </c>
      <c r="F261" s="1" t="s">
        <v>57</v>
      </c>
      <c r="G261" s="1" t="s">
        <v>46</v>
      </c>
      <c r="H261" s="1" t="s">
        <v>47</v>
      </c>
      <c r="I261" s="1">
        <v>1176</v>
      </c>
      <c r="J261" s="1">
        <v>30288</v>
      </c>
      <c r="K261" s="1">
        <v>1</v>
      </c>
      <c r="L261" s="1">
        <v>82</v>
      </c>
      <c r="M261" s="1">
        <v>2436</v>
      </c>
      <c r="N261" s="1" t="s">
        <v>48</v>
      </c>
      <c r="O261" s="1">
        <v>197612</v>
      </c>
      <c r="P261" s="1">
        <v>95</v>
      </c>
      <c r="Q261" s="1" t="s">
        <v>127</v>
      </c>
      <c r="R261" s="1" t="s">
        <v>50</v>
      </c>
      <c r="S261" s="1">
        <v>0</v>
      </c>
      <c r="T261" s="1">
        <v>0</v>
      </c>
      <c r="U261" s="1">
        <v>54.234999999999999</v>
      </c>
      <c r="V261" s="1">
        <v>25.498999999999999</v>
      </c>
      <c r="W261" s="1">
        <v>0.52</v>
      </c>
      <c r="X261" s="1">
        <v>0.129</v>
      </c>
      <c r="Y261" s="1">
        <v>25.629000000000001</v>
      </c>
      <c r="Z261" s="1">
        <v>0.19600000000000001</v>
      </c>
      <c r="AA261" s="1">
        <v>0.2</v>
      </c>
      <c r="AB261" s="1">
        <v>0.2</v>
      </c>
      <c r="AC261" s="1">
        <v>0.2</v>
      </c>
      <c r="AD261" s="1">
        <v>0.129</v>
      </c>
      <c r="AE261" s="1">
        <v>0.19500000000000001</v>
      </c>
      <c r="AF261" s="1">
        <v>2.5000000000000001E-2</v>
      </c>
      <c r="AG261" s="1">
        <v>0.2</v>
      </c>
      <c r="AI261" s="1">
        <v>0</v>
      </c>
      <c r="AJ261" s="1">
        <v>0</v>
      </c>
      <c r="AK261" s="1">
        <v>0</v>
      </c>
      <c r="AL261" s="1">
        <v>1</v>
      </c>
      <c r="AM261" s="1">
        <v>54189</v>
      </c>
      <c r="AN261" s="1">
        <v>10974</v>
      </c>
      <c r="AO261" s="1">
        <v>43215</v>
      </c>
      <c r="AP261" s="1">
        <v>46978</v>
      </c>
      <c r="AQ261" s="1">
        <v>4.9791348438910408</v>
      </c>
    </row>
    <row r="262" spans="1:43" x14ac:dyDescent="0.45">
      <c r="A262" s="1">
        <v>179</v>
      </c>
      <c r="B262" s="1">
        <v>142</v>
      </c>
      <c r="C262" s="1">
        <v>78</v>
      </c>
      <c r="D262" s="1" t="s">
        <v>67</v>
      </c>
      <c r="E262" s="1" t="s">
        <v>68</v>
      </c>
      <c r="F262" s="1" t="s">
        <v>69</v>
      </c>
      <c r="G262" s="1" t="s">
        <v>46</v>
      </c>
      <c r="H262" s="1" t="s">
        <v>47</v>
      </c>
      <c r="I262" s="1">
        <v>1163</v>
      </c>
      <c r="J262" s="1">
        <v>33073</v>
      </c>
      <c r="K262" s="1">
        <v>1</v>
      </c>
      <c r="L262" s="1">
        <v>77</v>
      </c>
      <c r="M262" s="1">
        <v>2416</v>
      </c>
      <c r="N262" s="1" t="s">
        <v>48</v>
      </c>
      <c r="O262" s="1">
        <v>197556</v>
      </c>
      <c r="P262" s="1">
        <v>95</v>
      </c>
      <c r="Q262" s="1" t="s">
        <v>127</v>
      </c>
      <c r="R262" s="1" t="s">
        <v>50</v>
      </c>
      <c r="S262" s="1">
        <v>0</v>
      </c>
      <c r="T262" s="1">
        <v>0</v>
      </c>
      <c r="U262" s="1">
        <v>195.96100000000001</v>
      </c>
      <c r="V262" s="1">
        <v>25.503</v>
      </c>
      <c r="W262" s="1">
        <v>0.52</v>
      </c>
      <c r="X262" s="1">
        <v>0.128</v>
      </c>
      <c r="Y262" s="1">
        <v>25.631</v>
      </c>
      <c r="Z262" s="1">
        <v>0.16700000000000001</v>
      </c>
      <c r="AA262" s="1">
        <v>-0.2</v>
      </c>
      <c r="AB262" s="1">
        <v>-0.7</v>
      </c>
      <c r="AC262" s="1">
        <v>-0.7</v>
      </c>
      <c r="AD262" s="1">
        <v>0.128</v>
      </c>
      <c r="AE262" s="1">
        <v>0.112</v>
      </c>
      <c r="AF262" s="1">
        <v>1.4E-2</v>
      </c>
      <c r="AG262" s="1">
        <v>-0.2</v>
      </c>
      <c r="AI262" s="1">
        <v>0</v>
      </c>
      <c r="AJ262" s="1">
        <v>0</v>
      </c>
      <c r="AK262" s="1">
        <v>0</v>
      </c>
      <c r="AL262" s="1">
        <v>1</v>
      </c>
      <c r="AM262" s="1">
        <v>54063</v>
      </c>
      <c r="AN262" s="1">
        <v>10812</v>
      </c>
      <c r="AO262" s="1">
        <v>43251</v>
      </c>
      <c r="AP262" s="1">
        <v>47144</v>
      </c>
      <c r="AQ262" s="1">
        <v>3.66994206225394</v>
      </c>
    </row>
    <row r="263" spans="1:43" x14ac:dyDescent="0.45">
      <c r="A263" s="1">
        <v>240</v>
      </c>
      <c r="B263" s="1">
        <v>351</v>
      </c>
      <c r="C263" s="1">
        <v>63</v>
      </c>
      <c r="D263" s="1" t="s">
        <v>76</v>
      </c>
      <c r="E263" s="1" t="s">
        <v>77</v>
      </c>
      <c r="F263" s="1" t="s">
        <v>78</v>
      </c>
      <c r="G263" s="1" t="s">
        <v>46</v>
      </c>
      <c r="H263" s="1" t="s">
        <v>47</v>
      </c>
      <c r="I263" s="1">
        <v>1247</v>
      </c>
      <c r="J263" s="1">
        <v>27398</v>
      </c>
      <c r="K263" s="1">
        <v>1</v>
      </c>
      <c r="L263" s="1">
        <v>62</v>
      </c>
      <c r="M263" s="1">
        <v>2056</v>
      </c>
      <c r="N263" s="1" t="s">
        <v>48</v>
      </c>
      <c r="O263" s="1">
        <v>181314</v>
      </c>
      <c r="P263" s="1">
        <v>95</v>
      </c>
      <c r="Q263" s="1" t="s">
        <v>127</v>
      </c>
      <c r="R263" s="1" t="s">
        <v>50</v>
      </c>
      <c r="S263" s="1">
        <v>0</v>
      </c>
      <c r="T263" s="1">
        <v>0</v>
      </c>
      <c r="U263" s="1">
        <v>407.74700000000001</v>
      </c>
      <c r="V263" s="1">
        <v>25.128</v>
      </c>
      <c r="W263" s="1">
        <v>0.52</v>
      </c>
      <c r="X263" s="1">
        <v>0.128</v>
      </c>
      <c r="Y263" s="1">
        <v>25.256</v>
      </c>
      <c r="Z263" s="1">
        <v>0.28999999999999998</v>
      </c>
      <c r="AA263" s="1">
        <v>2.2000000000000002</v>
      </c>
      <c r="AB263" s="1">
        <v>2.2000000000000002</v>
      </c>
      <c r="AC263" s="1">
        <v>2.2000000000000002</v>
      </c>
      <c r="AD263" s="1">
        <v>0.128</v>
      </c>
      <c r="AE263" s="1">
        <v>0.28799999999999998</v>
      </c>
      <c r="AF263" s="1">
        <v>3.6999999999999998E-2</v>
      </c>
      <c r="AG263" s="1">
        <v>2.2000000000000002</v>
      </c>
      <c r="AI263" s="1">
        <v>0</v>
      </c>
      <c r="AJ263" s="1">
        <v>0</v>
      </c>
      <c r="AK263" s="1">
        <v>0</v>
      </c>
      <c r="AL263" s="1">
        <v>1</v>
      </c>
      <c r="AM263" s="1">
        <v>86400</v>
      </c>
      <c r="AN263" s="1">
        <v>81193</v>
      </c>
      <c r="AO263" s="1">
        <v>5207</v>
      </c>
      <c r="AP263" s="1">
        <v>46855</v>
      </c>
      <c r="AQ263" s="1">
        <v>28.371147376937831</v>
      </c>
    </row>
    <row r="264" spans="1:43" x14ac:dyDescent="0.45">
      <c r="A264" s="1">
        <v>9</v>
      </c>
      <c r="B264" s="1">
        <v>26</v>
      </c>
      <c r="C264" s="1">
        <v>126</v>
      </c>
      <c r="D264" s="1" t="s">
        <v>51</v>
      </c>
      <c r="E264" s="1" t="s">
        <v>52</v>
      </c>
      <c r="F264" s="1" t="s">
        <v>53</v>
      </c>
      <c r="G264" s="1" t="s">
        <v>54</v>
      </c>
      <c r="H264" s="1" t="s">
        <v>47</v>
      </c>
      <c r="I264" s="1">
        <v>1113</v>
      </c>
      <c r="J264" s="1">
        <v>60690</v>
      </c>
      <c r="K264" s="1">
        <v>1</v>
      </c>
      <c r="L264" s="1">
        <v>125</v>
      </c>
      <c r="M264" s="1">
        <v>953</v>
      </c>
      <c r="N264" s="1" t="s">
        <v>48</v>
      </c>
      <c r="O264" s="1">
        <v>13903</v>
      </c>
      <c r="P264" s="1">
        <v>95</v>
      </c>
      <c r="Q264" s="1" t="s">
        <v>127</v>
      </c>
      <c r="R264" s="1" t="s">
        <v>50</v>
      </c>
      <c r="S264" s="1">
        <v>0</v>
      </c>
      <c r="T264" s="1">
        <v>0</v>
      </c>
      <c r="U264" s="1">
        <v>92.745999999999995</v>
      </c>
      <c r="V264" s="1">
        <v>23.954999999999998</v>
      </c>
      <c r="W264" s="1">
        <v>0.53</v>
      </c>
      <c r="X264" s="1">
        <v>0.125</v>
      </c>
      <c r="Y264" s="1">
        <v>24.081</v>
      </c>
      <c r="Z264" s="1">
        <v>0.58599999999999997</v>
      </c>
      <c r="AA264" s="1">
        <v>0.4</v>
      </c>
      <c r="AB264" s="1">
        <v>0.4</v>
      </c>
      <c r="AC264" s="1">
        <v>0.4</v>
      </c>
      <c r="AD264" s="1">
        <v>0.125</v>
      </c>
      <c r="AE264" s="1">
        <v>0.58299999999999996</v>
      </c>
      <c r="AF264" s="1">
        <v>7.2999999999999995E-2</v>
      </c>
      <c r="AG264" s="1">
        <v>0.4</v>
      </c>
      <c r="AI264" s="1">
        <v>0</v>
      </c>
      <c r="AJ264" s="1">
        <v>0</v>
      </c>
      <c r="AK264" s="1">
        <v>0</v>
      </c>
      <c r="AL264" s="1">
        <v>1</v>
      </c>
      <c r="AM264" s="1">
        <v>50780</v>
      </c>
      <c r="AN264" s="1">
        <v>7280</v>
      </c>
      <c r="AO264" s="1">
        <v>43499</v>
      </c>
      <c r="AP264" s="1">
        <v>47965</v>
      </c>
      <c r="AQ264" s="1">
        <v>19.719845755891839</v>
      </c>
    </row>
    <row r="265" spans="1:43" x14ac:dyDescent="0.45">
      <c r="A265" s="1">
        <v>26</v>
      </c>
      <c r="B265" s="1">
        <v>26</v>
      </c>
      <c r="C265" s="1">
        <v>126</v>
      </c>
      <c r="D265" s="1" t="s">
        <v>51</v>
      </c>
      <c r="E265" s="1" t="s">
        <v>52</v>
      </c>
      <c r="F265" s="1" t="s">
        <v>53</v>
      </c>
      <c r="G265" s="1" t="s">
        <v>54</v>
      </c>
      <c r="H265" s="1" t="s">
        <v>47</v>
      </c>
      <c r="I265" s="1">
        <v>1113</v>
      </c>
      <c r="J265" s="1">
        <v>60690</v>
      </c>
      <c r="K265" s="1">
        <v>1</v>
      </c>
      <c r="L265" s="1">
        <v>125</v>
      </c>
      <c r="M265" s="1">
        <v>974</v>
      </c>
      <c r="N265" s="1" t="s">
        <v>48</v>
      </c>
      <c r="O265" s="1">
        <v>14013</v>
      </c>
      <c r="P265" s="1">
        <v>95</v>
      </c>
      <c r="Q265" s="1" t="s">
        <v>127</v>
      </c>
      <c r="R265" s="1" t="s">
        <v>50</v>
      </c>
      <c r="S265" s="1">
        <v>0</v>
      </c>
      <c r="T265" s="1">
        <v>0</v>
      </c>
      <c r="U265" s="1">
        <v>294.262</v>
      </c>
      <c r="V265" s="1">
        <v>27.864000000000001</v>
      </c>
      <c r="W265" s="1">
        <v>0.53</v>
      </c>
      <c r="X265" s="1">
        <v>0.125</v>
      </c>
      <c r="Y265" s="1">
        <v>27.989000000000001</v>
      </c>
      <c r="Z265" s="1">
        <v>0.63400000000000001</v>
      </c>
      <c r="AA265" s="1">
        <v>1</v>
      </c>
      <c r="AB265" s="1">
        <v>1</v>
      </c>
      <c r="AC265" s="1">
        <v>1</v>
      </c>
      <c r="AD265" s="1">
        <v>0.125</v>
      </c>
      <c r="AE265" s="1">
        <v>0.63200000000000001</v>
      </c>
      <c r="AF265" s="1">
        <v>7.9000000000000001E-2</v>
      </c>
      <c r="AG265" s="1">
        <v>1</v>
      </c>
      <c r="AI265" s="1">
        <v>0</v>
      </c>
      <c r="AJ265" s="1">
        <v>0</v>
      </c>
      <c r="AK265" s="1">
        <v>0</v>
      </c>
      <c r="AL265" s="1">
        <v>1</v>
      </c>
      <c r="AM265" s="1">
        <v>86400</v>
      </c>
      <c r="AN265" s="1">
        <v>81455</v>
      </c>
      <c r="AO265" s="1">
        <v>4945</v>
      </c>
      <c r="AP265" s="1">
        <v>46824</v>
      </c>
      <c r="AQ265" s="1">
        <v>22.582569825451209</v>
      </c>
    </row>
    <row r="266" spans="1:43" x14ac:dyDescent="0.45">
      <c r="A266" s="1">
        <v>280</v>
      </c>
      <c r="B266" s="1">
        <v>454</v>
      </c>
      <c r="C266" s="1">
        <v>23</v>
      </c>
      <c r="D266" s="1" t="s">
        <v>88</v>
      </c>
      <c r="E266" s="1" t="s">
        <v>89</v>
      </c>
      <c r="F266" s="1" t="s">
        <v>90</v>
      </c>
      <c r="G266" s="1" t="s">
        <v>91</v>
      </c>
      <c r="H266" s="1" t="s">
        <v>47</v>
      </c>
      <c r="I266" s="1">
        <v>330</v>
      </c>
      <c r="J266" s="1">
        <v>5916</v>
      </c>
      <c r="K266" s="1">
        <v>1</v>
      </c>
      <c r="L266" s="1">
        <v>22</v>
      </c>
      <c r="M266" s="1">
        <v>2039</v>
      </c>
      <c r="N266" s="1" t="s">
        <v>48</v>
      </c>
      <c r="O266" s="1">
        <v>175496</v>
      </c>
      <c r="P266" s="1">
        <v>95</v>
      </c>
      <c r="Q266" s="1" t="s">
        <v>127</v>
      </c>
      <c r="R266" s="1" t="s">
        <v>50</v>
      </c>
      <c r="S266" s="1">
        <v>0</v>
      </c>
      <c r="T266" s="1">
        <v>0</v>
      </c>
      <c r="U266" s="1">
        <v>338.95299999999997</v>
      </c>
      <c r="V266" s="1">
        <v>24.632999999999999</v>
      </c>
      <c r="W266" s="1">
        <v>0.52</v>
      </c>
      <c r="X266" s="1">
        <v>0.125</v>
      </c>
      <c r="Y266" s="1">
        <v>24.757999999999999</v>
      </c>
      <c r="Z266" s="1">
        <v>0.10199999999999999</v>
      </c>
      <c r="AA266" s="1">
        <v>2.1</v>
      </c>
      <c r="AB266" s="1">
        <v>2.1</v>
      </c>
      <c r="AC266" s="1">
        <v>2.1</v>
      </c>
      <c r="AD266" s="1">
        <v>0.125</v>
      </c>
      <c r="AE266" s="1">
        <v>0.10199999999999999</v>
      </c>
      <c r="AF266" s="1">
        <v>1.2999999999999999E-2</v>
      </c>
      <c r="AG266" s="1">
        <v>2.1</v>
      </c>
      <c r="AI266" s="1">
        <v>0</v>
      </c>
      <c r="AJ266" s="1">
        <v>0</v>
      </c>
      <c r="AK266" s="1">
        <v>0</v>
      </c>
      <c r="AL266" s="1">
        <v>1</v>
      </c>
      <c r="AM266" s="1">
        <v>86400</v>
      </c>
      <c r="AN266" s="1">
        <v>80307</v>
      </c>
      <c r="AO266" s="1">
        <v>6093</v>
      </c>
      <c r="AP266" s="1">
        <v>43395</v>
      </c>
      <c r="AQ266" s="1">
        <v>2.5436351825059029</v>
      </c>
    </row>
    <row r="267" spans="1:43" x14ac:dyDescent="0.45">
      <c r="A267" s="1">
        <v>239</v>
      </c>
      <c r="B267" s="1">
        <v>351</v>
      </c>
      <c r="C267" s="1">
        <v>63</v>
      </c>
      <c r="D267" s="1" t="s">
        <v>76</v>
      </c>
      <c r="E267" s="1" t="s">
        <v>77</v>
      </c>
      <c r="F267" s="1" t="s">
        <v>78</v>
      </c>
      <c r="G267" s="1" t="s">
        <v>46</v>
      </c>
      <c r="H267" s="1" t="s">
        <v>47</v>
      </c>
      <c r="I267" s="1">
        <v>1247</v>
      </c>
      <c r="J267" s="1">
        <v>27398</v>
      </c>
      <c r="K267" s="1">
        <v>1</v>
      </c>
      <c r="L267" s="1">
        <v>62</v>
      </c>
      <c r="M267" s="1">
        <v>2055</v>
      </c>
      <c r="N267" s="1" t="s">
        <v>48</v>
      </c>
      <c r="O267" s="1">
        <v>181313</v>
      </c>
      <c r="P267" s="1">
        <v>95</v>
      </c>
      <c r="Q267" s="1" t="s">
        <v>127</v>
      </c>
      <c r="R267" s="1" t="s">
        <v>50</v>
      </c>
      <c r="S267" s="1">
        <v>0</v>
      </c>
      <c r="T267" s="1">
        <v>0</v>
      </c>
      <c r="U267" s="1">
        <v>283.084</v>
      </c>
      <c r="V267" s="1">
        <v>25.13</v>
      </c>
      <c r="W267" s="1">
        <v>0.52</v>
      </c>
      <c r="X267" s="1">
        <v>0.124</v>
      </c>
      <c r="Y267" s="1">
        <v>25.254000000000001</v>
      </c>
      <c r="Z267" s="1">
        <v>0.30499999999999999</v>
      </c>
      <c r="AA267" s="1">
        <v>2.2000000000000002</v>
      </c>
      <c r="AB267" s="1">
        <v>2.2000000000000002</v>
      </c>
      <c r="AC267" s="1">
        <v>2.2000000000000002</v>
      </c>
      <c r="AD267" s="1">
        <v>0.124</v>
      </c>
      <c r="AE267" s="1">
        <v>0.30299999999999999</v>
      </c>
      <c r="AF267" s="1">
        <v>3.7999999999999999E-2</v>
      </c>
      <c r="AG267" s="1">
        <v>2.2000000000000002</v>
      </c>
      <c r="AI267" s="1">
        <v>0</v>
      </c>
      <c r="AJ267" s="1">
        <v>0</v>
      </c>
      <c r="AK267" s="1">
        <v>0</v>
      </c>
      <c r="AL267" s="1">
        <v>1</v>
      </c>
      <c r="AM267" s="1">
        <v>86400</v>
      </c>
      <c r="AN267" s="1">
        <v>81115</v>
      </c>
      <c r="AO267" s="1">
        <v>5285</v>
      </c>
      <c r="AP267" s="1">
        <v>46941</v>
      </c>
      <c r="AQ267" s="1">
        <v>3.0373744553695579</v>
      </c>
    </row>
    <row r="268" spans="1:43" x14ac:dyDescent="0.45">
      <c r="A268" s="1">
        <v>6</v>
      </c>
      <c r="B268" s="1">
        <v>26</v>
      </c>
      <c r="C268" s="1">
        <v>126</v>
      </c>
      <c r="D268" s="1" t="s">
        <v>51</v>
      </c>
      <c r="E268" s="1" t="s">
        <v>52</v>
      </c>
      <c r="F268" s="1" t="s">
        <v>53</v>
      </c>
      <c r="G268" s="1" t="s">
        <v>54</v>
      </c>
      <c r="H268" s="1" t="s">
        <v>47</v>
      </c>
      <c r="I268" s="1">
        <v>1113</v>
      </c>
      <c r="J268" s="1">
        <v>60690</v>
      </c>
      <c r="K268" s="1">
        <v>1</v>
      </c>
      <c r="L268" s="1">
        <v>125</v>
      </c>
      <c r="M268" s="1">
        <v>933</v>
      </c>
      <c r="N268" s="1" t="s">
        <v>48</v>
      </c>
      <c r="O268" s="1">
        <v>13847</v>
      </c>
      <c r="P268" s="1">
        <v>95</v>
      </c>
      <c r="Q268" s="1" t="s">
        <v>127</v>
      </c>
      <c r="R268" s="1" t="s">
        <v>50</v>
      </c>
      <c r="S268" s="1">
        <v>0</v>
      </c>
      <c r="T268" s="1">
        <v>0</v>
      </c>
      <c r="U268" s="1">
        <v>81.063999999999993</v>
      </c>
      <c r="V268" s="1">
        <v>25.47</v>
      </c>
      <c r="W268" s="1">
        <v>0.54</v>
      </c>
      <c r="X268" s="1">
        <v>0.123</v>
      </c>
      <c r="Y268" s="1">
        <v>25.593</v>
      </c>
      <c r="Z268" s="1">
        <v>2.0169999999999999</v>
      </c>
      <c r="AA268" s="1">
        <v>1.2</v>
      </c>
      <c r="AB268" s="1">
        <v>1.2</v>
      </c>
      <c r="AC268" s="1">
        <v>1.2</v>
      </c>
      <c r="AD268" s="1">
        <v>0.123</v>
      </c>
      <c r="AE268" s="1">
        <v>2.0129999999999999</v>
      </c>
      <c r="AF268" s="1">
        <v>0.247</v>
      </c>
      <c r="AG268" s="1">
        <v>1.2</v>
      </c>
      <c r="AI268" s="1">
        <v>0</v>
      </c>
      <c r="AJ268" s="1">
        <v>0</v>
      </c>
      <c r="AK268" s="1">
        <v>0</v>
      </c>
      <c r="AL268" s="1">
        <v>1</v>
      </c>
      <c r="AM268" s="1">
        <v>64898</v>
      </c>
      <c r="AN268" s="1">
        <v>32454</v>
      </c>
      <c r="AO268" s="1">
        <v>32444</v>
      </c>
      <c r="AP268" s="1">
        <v>46876</v>
      </c>
      <c r="AQ268" s="1">
        <v>3.3457521075625372</v>
      </c>
    </row>
    <row r="269" spans="1:43" x14ac:dyDescent="0.45">
      <c r="A269" s="1">
        <v>270</v>
      </c>
      <c r="B269" s="1">
        <v>446</v>
      </c>
      <c r="C269" s="1">
        <v>97</v>
      </c>
      <c r="D269" s="1" t="s">
        <v>85</v>
      </c>
      <c r="E269" s="1" t="s">
        <v>86</v>
      </c>
      <c r="F269" s="1" t="s">
        <v>87</v>
      </c>
      <c r="G269" s="1" t="s">
        <v>46</v>
      </c>
      <c r="H269" s="1" t="s">
        <v>47</v>
      </c>
      <c r="I269" s="1">
        <v>1089</v>
      </c>
      <c r="J269" s="1">
        <v>26566</v>
      </c>
      <c r="K269" s="1">
        <v>1</v>
      </c>
      <c r="L269" s="1">
        <v>96</v>
      </c>
      <c r="M269" s="1">
        <v>2077</v>
      </c>
      <c r="N269" s="1" t="s">
        <v>48</v>
      </c>
      <c r="O269" s="1">
        <v>184865</v>
      </c>
      <c r="P269" s="1">
        <v>95</v>
      </c>
      <c r="Q269" s="1" t="s">
        <v>127</v>
      </c>
      <c r="R269" s="1" t="s">
        <v>50</v>
      </c>
      <c r="S269" s="1">
        <v>0</v>
      </c>
      <c r="T269" s="1">
        <v>0</v>
      </c>
      <c r="U269" s="1">
        <v>478.33499999999998</v>
      </c>
      <c r="V269" s="1">
        <v>24.844000000000001</v>
      </c>
      <c r="W269" s="1">
        <v>0.52</v>
      </c>
      <c r="X269" s="1">
        <v>0.123</v>
      </c>
      <c r="Y269" s="1">
        <v>24.966999999999999</v>
      </c>
      <c r="Z269" s="1">
        <v>0.13100000000000001</v>
      </c>
      <c r="AA269" s="1">
        <v>2.2999999999999998</v>
      </c>
      <c r="AB269" s="1">
        <v>2.2999999999999998</v>
      </c>
      <c r="AC269" s="1">
        <v>2.2999999999999998</v>
      </c>
      <c r="AD269" s="1">
        <v>0.123</v>
      </c>
      <c r="AE269" s="1">
        <v>0.13100000000000001</v>
      </c>
      <c r="AF269" s="1">
        <v>1.6E-2</v>
      </c>
      <c r="AG269" s="1">
        <v>2.2999999999999998</v>
      </c>
      <c r="AI269" s="1">
        <v>0</v>
      </c>
      <c r="AJ269" s="1">
        <v>0</v>
      </c>
      <c r="AK269" s="1">
        <v>0</v>
      </c>
      <c r="AL269" s="1">
        <v>1</v>
      </c>
      <c r="AM269" s="1">
        <v>86400</v>
      </c>
      <c r="AN269" s="1">
        <v>76378</v>
      </c>
      <c r="AO269" s="1">
        <v>10022</v>
      </c>
      <c r="AP269" s="1">
        <v>43515</v>
      </c>
      <c r="AQ269" s="1">
        <v>17.355190718828648</v>
      </c>
    </row>
    <row r="270" spans="1:43" x14ac:dyDescent="0.45">
      <c r="A270" s="1">
        <v>246</v>
      </c>
      <c r="B270" s="1">
        <v>384</v>
      </c>
      <c r="C270" s="1">
        <v>19</v>
      </c>
      <c r="D270" s="1" t="s">
        <v>102</v>
      </c>
      <c r="E270" s="1" t="s">
        <v>103</v>
      </c>
      <c r="F270" s="1" t="s">
        <v>104</v>
      </c>
      <c r="G270" s="1" t="s">
        <v>46</v>
      </c>
      <c r="H270" s="1" t="s">
        <v>47</v>
      </c>
      <c r="I270" s="1">
        <v>806</v>
      </c>
      <c r="J270" s="1">
        <v>27768</v>
      </c>
      <c r="K270" s="1">
        <v>1</v>
      </c>
      <c r="L270" s="1">
        <v>18</v>
      </c>
      <c r="M270" s="1">
        <v>2117</v>
      </c>
      <c r="N270" s="1" t="s">
        <v>48</v>
      </c>
      <c r="O270" s="1">
        <v>185253</v>
      </c>
      <c r="P270" s="1">
        <v>95</v>
      </c>
      <c r="Q270" s="1" t="s">
        <v>127</v>
      </c>
      <c r="R270" s="1" t="s">
        <v>50</v>
      </c>
      <c r="S270" s="1">
        <v>0</v>
      </c>
      <c r="T270" s="1">
        <v>0</v>
      </c>
      <c r="U270" s="1">
        <v>256.815</v>
      </c>
      <c r="V270" s="1">
        <v>24.222999999999999</v>
      </c>
      <c r="W270" s="1">
        <v>0.52</v>
      </c>
      <c r="X270" s="1">
        <v>0.121</v>
      </c>
      <c r="Y270" s="1">
        <v>24.344999999999999</v>
      </c>
      <c r="Z270" s="1">
        <v>0.316</v>
      </c>
      <c r="AA270" s="1">
        <v>2.9</v>
      </c>
      <c r="AB270" s="1">
        <v>2.9</v>
      </c>
      <c r="AC270" s="1">
        <v>2.9</v>
      </c>
      <c r="AD270" s="1">
        <v>0.121</v>
      </c>
      <c r="AE270" s="1">
        <v>0.314</v>
      </c>
      <c r="AF270" s="1">
        <v>3.7999999999999999E-2</v>
      </c>
      <c r="AG270" s="1">
        <v>2.9</v>
      </c>
      <c r="AI270" s="1">
        <v>0</v>
      </c>
      <c r="AJ270" s="1">
        <v>0</v>
      </c>
      <c r="AK270" s="1">
        <v>0</v>
      </c>
      <c r="AL270" s="1">
        <v>1</v>
      </c>
      <c r="AM270" s="1">
        <v>86400</v>
      </c>
      <c r="AN270" s="1">
        <v>81614</v>
      </c>
      <c r="AO270" s="1">
        <v>4786</v>
      </c>
      <c r="AP270" s="1">
        <v>43691</v>
      </c>
      <c r="AQ270" s="1">
        <v>13.49032915473626</v>
      </c>
    </row>
    <row r="271" spans="1:43" x14ac:dyDescent="0.45">
      <c r="A271" s="1">
        <v>95</v>
      </c>
      <c r="B271" s="1">
        <v>101</v>
      </c>
      <c r="C271" s="1">
        <v>74</v>
      </c>
      <c r="D271" s="1" t="s">
        <v>61</v>
      </c>
      <c r="E271" s="1" t="s">
        <v>62</v>
      </c>
      <c r="F271" s="1" t="s">
        <v>63</v>
      </c>
      <c r="G271" s="1" t="s">
        <v>46</v>
      </c>
      <c r="H271" s="1" t="s">
        <v>47</v>
      </c>
      <c r="I271" s="1">
        <v>1175</v>
      </c>
      <c r="J271" s="1">
        <v>30642</v>
      </c>
      <c r="K271" s="1">
        <v>1</v>
      </c>
      <c r="L271" s="1">
        <v>73</v>
      </c>
      <c r="M271" s="1">
        <v>2536</v>
      </c>
      <c r="N271" s="1" t="s">
        <v>48</v>
      </c>
      <c r="O271" s="1">
        <v>198478</v>
      </c>
      <c r="P271" s="1">
        <v>95</v>
      </c>
      <c r="Q271" s="1" t="s">
        <v>127</v>
      </c>
      <c r="R271" s="1" t="s">
        <v>50</v>
      </c>
      <c r="S271" s="1">
        <v>0</v>
      </c>
      <c r="T271" s="1">
        <v>0</v>
      </c>
      <c r="U271" s="1">
        <v>80.867000000000004</v>
      </c>
      <c r="V271" s="1">
        <v>25.675999999999998</v>
      </c>
      <c r="W271" s="1">
        <v>0.52</v>
      </c>
      <c r="X271" s="1">
        <v>0.12</v>
      </c>
      <c r="Y271" s="1">
        <v>25.797000000000001</v>
      </c>
      <c r="Z271" s="1">
        <v>0.40200000000000002</v>
      </c>
      <c r="AA271" s="1">
        <v>2.1</v>
      </c>
      <c r="AB271" s="1">
        <v>2.2000000000000002</v>
      </c>
      <c r="AC271" s="1">
        <v>2.2000000000000002</v>
      </c>
      <c r="AD271" s="1">
        <v>0.12</v>
      </c>
      <c r="AE271" s="1">
        <v>0.37</v>
      </c>
      <c r="AF271" s="1">
        <v>4.4999999999999998E-2</v>
      </c>
      <c r="AG271" s="1">
        <v>2.1</v>
      </c>
      <c r="AI271" s="1">
        <v>0</v>
      </c>
      <c r="AJ271" s="1">
        <v>0</v>
      </c>
      <c r="AK271" s="1">
        <v>0</v>
      </c>
      <c r="AL271" s="1">
        <v>1</v>
      </c>
      <c r="AM271" s="1">
        <v>53083</v>
      </c>
      <c r="AN271" s="1">
        <v>8961</v>
      </c>
      <c r="AO271" s="1">
        <v>44122</v>
      </c>
      <c r="AP271" s="1">
        <v>50136</v>
      </c>
      <c r="AQ271" s="1">
        <v>11.80452536766909</v>
      </c>
    </row>
    <row r="272" spans="1:43" x14ac:dyDescent="0.45">
      <c r="A272" s="1">
        <v>47</v>
      </c>
      <c r="B272" s="1">
        <v>73</v>
      </c>
      <c r="C272" s="1">
        <v>83</v>
      </c>
      <c r="D272" s="1" t="s">
        <v>55</v>
      </c>
      <c r="E272" s="1" t="s">
        <v>56</v>
      </c>
      <c r="F272" s="1" t="s">
        <v>57</v>
      </c>
      <c r="G272" s="1" t="s">
        <v>46</v>
      </c>
      <c r="H272" s="1" t="s">
        <v>47</v>
      </c>
      <c r="I272" s="1">
        <v>1176</v>
      </c>
      <c r="J272" s="1">
        <v>30288</v>
      </c>
      <c r="K272" s="1">
        <v>1</v>
      </c>
      <c r="L272" s="1">
        <v>82</v>
      </c>
      <c r="M272" s="1">
        <v>2410</v>
      </c>
      <c r="N272" s="1" t="s">
        <v>48</v>
      </c>
      <c r="O272" s="1">
        <v>197198</v>
      </c>
      <c r="P272" s="1">
        <v>95</v>
      </c>
      <c r="Q272" s="1" t="s">
        <v>127</v>
      </c>
      <c r="R272" s="1" t="s">
        <v>50</v>
      </c>
      <c r="S272" s="1">
        <v>0</v>
      </c>
      <c r="T272" s="1">
        <v>0</v>
      </c>
      <c r="U272" s="1">
        <v>129.27699999999999</v>
      </c>
      <c r="V272" s="1">
        <v>25.552</v>
      </c>
      <c r="W272" s="1">
        <v>0.52</v>
      </c>
      <c r="X272" s="1">
        <v>0.11899999999999999</v>
      </c>
      <c r="Y272" s="1">
        <v>25.67</v>
      </c>
      <c r="Z272" s="1">
        <v>0.104</v>
      </c>
      <c r="AA272" s="1">
        <v>0.3</v>
      </c>
      <c r="AB272" s="1">
        <v>0.3</v>
      </c>
      <c r="AC272" s="1">
        <v>0.3</v>
      </c>
      <c r="AD272" s="1">
        <v>0.11899999999999999</v>
      </c>
      <c r="AE272" s="1">
        <v>0.10199999999999999</v>
      </c>
      <c r="AF272" s="1">
        <v>1.2E-2</v>
      </c>
      <c r="AG272" s="1">
        <v>0.3</v>
      </c>
      <c r="AI272" s="1">
        <v>0</v>
      </c>
      <c r="AJ272" s="1">
        <v>0</v>
      </c>
      <c r="AK272" s="1">
        <v>0</v>
      </c>
      <c r="AL272" s="1">
        <v>1</v>
      </c>
      <c r="AM272" s="1">
        <v>86400</v>
      </c>
      <c r="AN272" s="1">
        <v>81190</v>
      </c>
      <c r="AO272" s="1">
        <v>5210</v>
      </c>
      <c r="AP272" s="1">
        <v>46913</v>
      </c>
      <c r="AQ272" s="1">
        <v>1.934660929869924</v>
      </c>
    </row>
    <row r="273" spans="1:43" x14ac:dyDescent="0.45">
      <c r="A273" s="1">
        <v>199</v>
      </c>
      <c r="B273" s="1">
        <v>168</v>
      </c>
      <c r="C273" s="1">
        <v>76</v>
      </c>
      <c r="D273" s="1" t="s">
        <v>118</v>
      </c>
      <c r="E273" s="1" t="s">
        <v>119</v>
      </c>
      <c r="F273" s="1" t="s">
        <v>120</v>
      </c>
      <c r="G273" s="1" t="s">
        <v>46</v>
      </c>
      <c r="H273" s="1" t="s">
        <v>47</v>
      </c>
      <c r="I273" s="1">
        <v>679</v>
      </c>
      <c r="J273" s="1">
        <v>24380</v>
      </c>
      <c r="K273" s="1">
        <v>1</v>
      </c>
      <c r="L273" s="1">
        <v>75</v>
      </c>
      <c r="M273" s="1">
        <v>2137</v>
      </c>
      <c r="N273" s="1" t="s">
        <v>48</v>
      </c>
      <c r="O273" s="1">
        <v>194035</v>
      </c>
      <c r="P273" s="1">
        <v>95</v>
      </c>
      <c r="Q273" s="1" t="s">
        <v>127</v>
      </c>
      <c r="R273" s="1" t="s">
        <v>50</v>
      </c>
      <c r="S273" s="1">
        <v>0</v>
      </c>
      <c r="T273" s="1">
        <v>0</v>
      </c>
      <c r="U273" s="1">
        <v>96.674999999999997</v>
      </c>
      <c r="V273" s="1">
        <v>25.315000000000001</v>
      </c>
      <c r="W273" s="1">
        <v>0.52</v>
      </c>
      <c r="X273" s="1">
        <v>0.11600000000000001</v>
      </c>
      <c r="Y273" s="1">
        <v>25.431000000000001</v>
      </c>
      <c r="Z273" s="1">
        <v>0.18099999999999999</v>
      </c>
      <c r="AA273" s="1">
        <v>-0.1</v>
      </c>
      <c r="AB273" s="1">
        <v>-0.6</v>
      </c>
      <c r="AC273" s="1">
        <v>-0.6</v>
      </c>
      <c r="AD273" s="1">
        <v>0.11600000000000001</v>
      </c>
      <c r="AE273" s="1">
        <v>0.123</v>
      </c>
      <c r="AF273" s="1">
        <v>1.4E-2</v>
      </c>
      <c r="AI273" s="1">
        <v>0</v>
      </c>
      <c r="AJ273" s="1">
        <v>0</v>
      </c>
      <c r="AK273" s="1">
        <v>0</v>
      </c>
      <c r="AL273" s="1">
        <v>1</v>
      </c>
      <c r="AM273" s="1">
        <v>50814</v>
      </c>
      <c r="AN273" s="1">
        <v>6894</v>
      </c>
      <c r="AO273" s="1">
        <v>43920</v>
      </c>
      <c r="AP273" s="1">
        <v>49807</v>
      </c>
      <c r="AQ273" s="1">
        <v>1.4993667094560861</v>
      </c>
    </row>
    <row r="274" spans="1:43" x14ac:dyDescent="0.45">
      <c r="A274" s="1">
        <v>219</v>
      </c>
      <c r="B274" s="1">
        <v>181</v>
      </c>
      <c r="C274" s="1">
        <v>75</v>
      </c>
      <c r="D274" s="1" t="s">
        <v>64</v>
      </c>
      <c r="E274" s="1" t="s">
        <v>65</v>
      </c>
      <c r="F274" s="1" t="s">
        <v>66</v>
      </c>
      <c r="G274" s="1" t="s">
        <v>46</v>
      </c>
      <c r="H274" s="1" t="s">
        <v>47</v>
      </c>
      <c r="I274" s="1">
        <v>1170</v>
      </c>
      <c r="J274" s="1">
        <v>33499</v>
      </c>
      <c r="K274" s="1">
        <v>1</v>
      </c>
      <c r="L274" s="1">
        <v>74</v>
      </c>
      <c r="M274" s="1">
        <v>2137</v>
      </c>
      <c r="N274" s="1" t="s">
        <v>48</v>
      </c>
      <c r="O274" s="1">
        <v>194035</v>
      </c>
      <c r="P274" s="1">
        <v>95</v>
      </c>
      <c r="Q274" s="1" t="s">
        <v>127</v>
      </c>
      <c r="R274" s="1" t="s">
        <v>50</v>
      </c>
      <c r="S274" s="1">
        <v>0</v>
      </c>
      <c r="T274" s="1">
        <v>0</v>
      </c>
      <c r="U274" s="1">
        <v>96.674999999999997</v>
      </c>
      <c r="V274" s="1">
        <v>25.315000000000001</v>
      </c>
      <c r="W274" s="1">
        <v>0.52</v>
      </c>
      <c r="X274" s="1">
        <v>0.11600000000000001</v>
      </c>
      <c r="Y274" s="1">
        <v>25.431000000000001</v>
      </c>
      <c r="Z274" s="1">
        <v>0.18099999999999999</v>
      </c>
      <c r="AA274" s="1">
        <v>-0.1</v>
      </c>
      <c r="AB274" s="1">
        <v>-0.6</v>
      </c>
      <c r="AC274" s="1">
        <v>-0.6</v>
      </c>
      <c r="AD274" s="1">
        <v>0.11600000000000001</v>
      </c>
      <c r="AE274" s="1">
        <v>0.123</v>
      </c>
      <c r="AF274" s="1">
        <v>1.4E-2</v>
      </c>
      <c r="AI274" s="1">
        <v>0</v>
      </c>
      <c r="AJ274" s="1">
        <v>0</v>
      </c>
      <c r="AK274" s="1">
        <v>0</v>
      </c>
      <c r="AL274" s="1">
        <v>1</v>
      </c>
      <c r="AM274" s="1">
        <v>50814</v>
      </c>
      <c r="AN274" s="1">
        <v>6894</v>
      </c>
      <c r="AO274" s="1">
        <v>43920</v>
      </c>
      <c r="AP274" s="1">
        <v>49807</v>
      </c>
      <c r="AQ274" s="1">
        <v>5.154393823907033</v>
      </c>
    </row>
    <row r="275" spans="1:43" x14ac:dyDescent="0.45">
      <c r="A275" s="1">
        <v>233</v>
      </c>
      <c r="B275" s="1">
        <v>182</v>
      </c>
      <c r="C275" s="1">
        <v>75</v>
      </c>
      <c r="D275" s="1" t="s">
        <v>64</v>
      </c>
      <c r="E275" s="1" t="s">
        <v>65</v>
      </c>
      <c r="F275" s="1" t="s">
        <v>66</v>
      </c>
      <c r="G275" s="1" t="s">
        <v>46</v>
      </c>
      <c r="H275" s="1" t="s">
        <v>47</v>
      </c>
      <c r="I275" s="1">
        <v>1170</v>
      </c>
      <c r="J275" s="1">
        <v>33499</v>
      </c>
      <c r="K275" s="1">
        <v>1</v>
      </c>
      <c r="L275" s="1">
        <v>74</v>
      </c>
      <c r="M275" s="1">
        <v>2137</v>
      </c>
      <c r="N275" s="1" t="s">
        <v>48</v>
      </c>
      <c r="O275" s="1">
        <v>194035</v>
      </c>
      <c r="P275" s="1">
        <v>95</v>
      </c>
      <c r="Q275" s="1" t="s">
        <v>127</v>
      </c>
      <c r="R275" s="1" t="s">
        <v>50</v>
      </c>
      <c r="S275" s="1">
        <v>0</v>
      </c>
      <c r="T275" s="1">
        <v>0</v>
      </c>
      <c r="U275" s="1">
        <v>96.674999999999997</v>
      </c>
      <c r="V275" s="1">
        <v>25.315000000000001</v>
      </c>
      <c r="W275" s="1">
        <v>0.52</v>
      </c>
      <c r="X275" s="1">
        <v>0.11600000000000001</v>
      </c>
      <c r="Y275" s="1">
        <v>25.431000000000001</v>
      </c>
      <c r="Z275" s="1">
        <v>0.18099999999999999</v>
      </c>
      <c r="AA275" s="1">
        <v>-0.1</v>
      </c>
      <c r="AB275" s="1">
        <v>-0.6</v>
      </c>
      <c r="AC275" s="1">
        <v>-0.6</v>
      </c>
      <c r="AD275" s="1">
        <v>0.11600000000000001</v>
      </c>
      <c r="AE275" s="1">
        <v>0.123</v>
      </c>
      <c r="AF275" s="1">
        <v>1.4E-2</v>
      </c>
      <c r="AI275" s="1">
        <v>0</v>
      </c>
      <c r="AJ275" s="1">
        <v>0</v>
      </c>
      <c r="AK275" s="1">
        <v>0</v>
      </c>
      <c r="AL275" s="1">
        <v>1</v>
      </c>
      <c r="AM275" s="1">
        <v>50814</v>
      </c>
      <c r="AN275" s="1">
        <v>6894</v>
      </c>
      <c r="AO275" s="1">
        <v>43920</v>
      </c>
      <c r="AP275" s="1">
        <v>49807</v>
      </c>
      <c r="AQ275" s="1">
        <v>0.5691096119335195</v>
      </c>
    </row>
    <row r="276" spans="1:43" x14ac:dyDescent="0.45">
      <c r="A276" s="1">
        <v>234</v>
      </c>
      <c r="B276" s="1">
        <v>185</v>
      </c>
      <c r="C276" s="1">
        <v>76</v>
      </c>
      <c r="D276" s="1" t="s">
        <v>118</v>
      </c>
      <c r="E276" s="1" t="s">
        <v>119</v>
      </c>
      <c r="F276" s="1" t="s">
        <v>120</v>
      </c>
      <c r="G276" s="1" t="s">
        <v>46</v>
      </c>
      <c r="H276" s="1" t="s">
        <v>47</v>
      </c>
      <c r="I276" s="1">
        <v>679</v>
      </c>
      <c r="J276" s="1">
        <v>24380</v>
      </c>
      <c r="K276" s="1">
        <v>1</v>
      </c>
      <c r="L276" s="1">
        <v>75</v>
      </c>
      <c r="M276" s="1">
        <v>2137</v>
      </c>
      <c r="N276" s="1" t="s">
        <v>48</v>
      </c>
      <c r="O276" s="1">
        <v>194035</v>
      </c>
      <c r="P276" s="1">
        <v>95</v>
      </c>
      <c r="Q276" s="1" t="s">
        <v>127</v>
      </c>
      <c r="R276" s="1" t="s">
        <v>50</v>
      </c>
      <c r="S276" s="1">
        <v>0</v>
      </c>
      <c r="T276" s="1">
        <v>0</v>
      </c>
      <c r="U276" s="1">
        <v>96.674999999999997</v>
      </c>
      <c r="V276" s="1">
        <v>25.315000000000001</v>
      </c>
      <c r="W276" s="1">
        <v>0.52</v>
      </c>
      <c r="X276" s="1">
        <v>0.11600000000000001</v>
      </c>
      <c r="Y276" s="1">
        <v>25.431000000000001</v>
      </c>
      <c r="Z276" s="1">
        <v>0.18099999999999999</v>
      </c>
      <c r="AA276" s="1">
        <v>-0.1</v>
      </c>
      <c r="AB276" s="1">
        <v>-0.6</v>
      </c>
      <c r="AC276" s="1">
        <v>-0.6</v>
      </c>
      <c r="AD276" s="1">
        <v>0.11600000000000001</v>
      </c>
      <c r="AE276" s="1">
        <v>0.123</v>
      </c>
      <c r="AF276" s="1">
        <v>1.4E-2</v>
      </c>
      <c r="AI276" s="1">
        <v>0</v>
      </c>
      <c r="AJ276" s="1">
        <v>0</v>
      </c>
      <c r="AK276" s="1">
        <v>0</v>
      </c>
      <c r="AL276" s="1">
        <v>1</v>
      </c>
      <c r="AM276" s="1">
        <v>50814</v>
      </c>
      <c r="AN276" s="1">
        <v>6894</v>
      </c>
      <c r="AO276" s="1">
        <v>43920</v>
      </c>
      <c r="AP276" s="1">
        <v>49807</v>
      </c>
      <c r="AQ276" s="1">
        <v>0.51702227023146785</v>
      </c>
    </row>
    <row r="277" spans="1:43" x14ac:dyDescent="0.45">
      <c r="A277" s="1">
        <v>110</v>
      </c>
      <c r="B277" s="1">
        <v>101</v>
      </c>
      <c r="C277" s="1">
        <v>74</v>
      </c>
      <c r="D277" s="1" t="s">
        <v>61</v>
      </c>
      <c r="E277" s="1" t="s">
        <v>62</v>
      </c>
      <c r="F277" s="1" t="s">
        <v>63</v>
      </c>
      <c r="G277" s="1" t="s">
        <v>46</v>
      </c>
      <c r="H277" s="1" t="s">
        <v>47</v>
      </c>
      <c r="I277" s="1">
        <v>1175</v>
      </c>
      <c r="J277" s="1">
        <v>30642</v>
      </c>
      <c r="K277" s="1">
        <v>1</v>
      </c>
      <c r="L277" s="1">
        <v>73</v>
      </c>
      <c r="M277" s="1">
        <v>2555</v>
      </c>
      <c r="N277" s="1" t="s">
        <v>48</v>
      </c>
      <c r="O277" s="1">
        <v>198599</v>
      </c>
      <c r="P277" s="1">
        <v>95</v>
      </c>
      <c r="Q277" s="1" t="s">
        <v>127</v>
      </c>
      <c r="R277" s="1" t="s">
        <v>50</v>
      </c>
      <c r="S277" s="1">
        <v>0</v>
      </c>
      <c r="T277" s="1">
        <v>0</v>
      </c>
      <c r="U277" s="1">
        <v>674.37599999999998</v>
      </c>
      <c r="V277" s="1">
        <v>25.658000000000001</v>
      </c>
      <c r="W277" s="1">
        <v>0.52</v>
      </c>
      <c r="X277" s="1">
        <v>0.114</v>
      </c>
      <c r="Y277" s="1">
        <v>25.771999999999998</v>
      </c>
      <c r="Z277" s="1">
        <v>7.8E-2</v>
      </c>
      <c r="AA277" s="1">
        <v>-2.9</v>
      </c>
      <c r="AB277" s="1">
        <v>-3</v>
      </c>
      <c r="AC277" s="1">
        <v>-3</v>
      </c>
      <c r="AD277" s="1">
        <v>0.113</v>
      </c>
      <c r="AE277" s="1">
        <v>7.4999999999999997E-2</v>
      </c>
      <c r="AF277" s="1">
        <v>8.9999999999999993E-3</v>
      </c>
      <c r="AG277" s="1">
        <v>-2.9</v>
      </c>
      <c r="AI277" s="1">
        <v>0</v>
      </c>
      <c r="AJ277" s="1">
        <v>0</v>
      </c>
      <c r="AK277" s="1">
        <v>0</v>
      </c>
      <c r="AL277" s="1">
        <v>1</v>
      </c>
      <c r="AM277" s="1">
        <v>50916</v>
      </c>
      <c r="AN277" s="1">
        <v>4604</v>
      </c>
      <c r="AO277" s="1">
        <v>46313</v>
      </c>
      <c r="AP277" s="1">
        <v>50243</v>
      </c>
      <c r="AQ277" s="1">
        <v>39.531321763359301</v>
      </c>
    </row>
    <row r="278" spans="1:43" x14ac:dyDescent="0.45">
      <c r="A278" s="1">
        <v>225</v>
      </c>
      <c r="B278" s="1">
        <v>181</v>
      </c>
      <c r="C278" s="1">
        <v>75</v>
      </c>
      <c r="D278" s="1" t="s">
        <v>64</v>
      </c>
      <c r="E278" s="1" t="s">
        <v>65</v>
      </c>
      <c r="F278" s="1" t="s">
        <v>66</v>
      </c>
      <c r="G278" s="1" t="s">
        <v>46</v>
      </c>
      <c r="H278" s="1" t="s">
        <v>47</v>
      </c>
      <c r="I278" s="1">
        <v>1170</v>
      </c>
      <c r="J278" s="1">
        <v>33499</v>
      </c>
      <c r="K278" s="1">
        <v>1</v>
      </c>
      <c r="L278" s="1">
        <v>74</v>
      </c>
      <c r="M278" s="1">
        <v>2187</v>
      </c>
      <c r="N278" s="1" t="s">
        <v>48</v>
      </c>
      <c r="O278" s="1">
        <v>194164</v>
      </c>
      <c r="P278" s="1">
        <v>95</v>
      </c>
      <c r="Q278" s="1" t="s">
        <v>127</v>
      </c>
      <c r="R278" s="1" t="s">
        <v>50</v>
      </c>
      <c r="S278" s="1">
        <v>0</v>
      </c>
      <c r="T278" s="1">
        <v>0</v>
      </c>
      <c r="U278" s="1">
        <v>79.655000000000001</v>
      </c>
      <c r="V278" s="1">
        <v>25.431000000000001</v>
      </c>
      <c r="W278" s="1">
        <v>0.52</v>
      </c>
      <c r="X278" s="1">
        <v>0.113</v>
      </c>
      <c r="Y278" s="1">
        <v>25.544</v>
      </c>
      <c r="Z278" s="1">
        <v>0.46800000000000003</v>
      </c>
      <c r="AA278" s="1">
        <v>-2.7</v>
      </c>
      <c r="AB278" s="1">
        <v>-2.6</v>
      </c>
      <c r="AC278" s="1">
        <v>-2.6</v>
      </c>
      <c r="AD278" s="1">
        <v>0.113</v>
      </c>
      <c r="AE278" s="1">
        <v>0.46500000000000002</v>
      </c>
      <c r="AF278" s="1">
        <v>5.2999999999999999E-2</v>
      </c>
      <c r="AG278" s="1">
        <v>-2.7</v>
      </c>
      <c r="AI278" s="1">
        <v>0</v>
      </c>
      <c r="AJ278" s="1">
        <v>0</v>
      </c>
      <c r="AK278" s="1">
        <v>0</v>
      </c>
      <c r="AL278" s="1">
        <v>1</v>
      </c>
      <c r="AM278" s="1">
        <v>51030</v>
      </c>
      <c r="AN278" s="1">
        <v>5894</v>
      </c>
      <c r="AO278" s="1">
        <v>45135</v>
      </c>
      <c r="AP278" s="1">
        <v>50391</v>
      </c>
      <c r="AQ278" s="1">
        <v>16.19446599674184</v>
      </c>
    </row>
    <row r="279" spans="1:43" x14ac:dyDescent="0.45">
      <c r="A279" s="1">
        <v>198</v>
      </c>
      <c r="B279" s="1">
        <v>168</v>
      </c>
      <c r="C279" s="1">
        <v>76</v>
      </c>
      <c r="D279" s="1" t="s">
        <v>118</v>
      </c>
      <c r="E279" s="1" t="s">
        <v>119</v>
      </c>
      <c r="F279" s="1" t="s">
        <v>120</v>
      </c>
      <c r="G279" s="1" t="s">
        <v>46</v>
      </c>
      <c r="H279" s="1" t="s">
        <v>47</v>
      </c>
      <c r="I279" s="1">
        <v>679</v>
      </c>
      <c r="J279" s="1">
        <v>24380</v>
      </c>
      <c r="K279" s="1">
        <v>1</v>
      </c>
      <c r="L279" s="1">
        <v>75</v>
      </c>
      <c r="M279" s="1">
        <v>2135</v>
      </c>
      <c r="N279" s="1" t="s">
        <v>48</v>
      </c>
      <c r="O279" s="1">
        <v>194029</v>
      </c>
      <c r="P279" s="1">
        <v>95</v>
      </c>
      <c r="Q279" s="1" t="s">
        <v>127</v>
      </c>
      <c r="R279" s="1" t="s">
        <v>50</v>
      </c>
      <c r="S279" s="1">
        <v>0</v>
      </c>
      <c r="T279" s="1">
        <v>0</v>
      </c>
      <c r="U279" s="1">
        <v>201.126</v>
      </c>
      <c r="V279" s="1">
        <v>25.28</v>
      </c>
      <c r="W279" s="1">
        <v>0.52</v>
      </c>
      <c r="X279" s="1">
        <v>0.111</v>
      </c>
      <c r="Y279" s="1">
        <v>25.390999999999998</v>
      </c>
      <c r="Z279" s="1">
        <v>0.08</v>
      </c>
      <c r="AA279" s="1">
        <v>-1.2</v>
      </c>
      <c r="AB279" s="1">
        <v>-1.1000000000000001</v>
      </c>
      <c r="AC279" s="1">
        <v>-1.1000000000000001</v>
      </c>
      <c r="AD279" s="1">
        <v>0.111</v>
      </c>
      <c r="AE279" s="1">
        <v>7.2999999999999995E-2</v>
      </c>
      <c r="AF279" s="1">
        <v>8.0000000000000002E-3</v>
      </c>
      <c r="AG279" s="1">
        <v>-1.2</v>
      </c>
      <c r="AI279" s="1">
        <v>0</v>
      </c>
      <c r="AJ279" s="1">
        <v>0</v>
      </c>
      <c r="AK279" s="1">
        <v>0</v>
      </c>
      <c r="AL279" s="1">
        <v>1</v>
      </c>
      <c r="AM279" s="1">
        <v>51191</v>
      </c>
      <c r="AN279" s="1">
        <v>7525</v>
      </c>
      <c r="AO279" s="1">
        <v>43666</v>
      </c>
      <c r="AP279" s="1">
        <v>49937</v>
      </c>
      <c r="AQ279" s="1">
        <v>0.47406180686772642</v>
      </c>
    </row>
    <row r="280" spans="1:43" x14ac:dyDescent="0.45">
      <c r="A280" s="1">
        <v>224</v>
      </c>
      <c r="B280" s="1">
        <v>181</v>
      </c>
      <c r="C280" s="1">
        <v>75</v>
      </c>
      <c r="D280" s="1" t="s">
        <v>64</v>
      </c>
      <c r="E280" s="1" t="s">
        <v>65</v>
      </c>
      <c r="F280" s="1" t="s">
        <v>66</v>
      </c>
      <c r="G280" s="1" t="s">
        <v>46</v>
      </c>
      <c r="H280" s="1" t="s">
        <v>47</v>
      </c>
      <c r="I280" s="1">
        <v>1170</v>
      </c>
      <c r="J280" s="1">
        <v>33499</v>
      </c>
      <c r="K280" s="1">
        <v>1</v>
      </c>
      <c r="L280" s="1">
        <v>74</v>
      </c>
      <c r="M280" s="1">
        <v>2169</v>
      </c>
      <c r="N280" s="1" t="s">
        <v>48</v>
      </c>
      <c r="O280" s="1">
        <v>194116</v>
      </c>
      <c r="P280" s="1">
        <v>95</v>
      </c>
      <c r="Q280" s="1" t="s">
        <v>127</v>
      </c>
      <c r="R280" s="1" t="s">
        <v>50</v>
      </c>
      <c r="S280" s="1">
        <v>0</v>
      </c>
      <c r="T280" s="1">
        <v>0</v>
      </c>
      <c r="U280" s="1">
        <v>667.79899999999998</v>
      </c>
      <c r="V280" s="1">
        <v>25.460999999999999</v>
      </c>
      <c r="W280" s="1">
        <v>0.52</v>
      </c>
      <c r="X280" s="1">
        <v>0.111</v>
      </c>
      <c r="Y280" s="1">
        <v>25.573</v>
      </c>
      <c r="Z280" s="1">
        <v>0.216</v>
      </c>
      <c r="AA280" s="1">
        <v>3.1</v>
      </c>
      <c r="AB280" s="1">
        <v>3.1</v>
      </c>
      <c r="AC280" s="1">
        <v>3.1</v>
      </c>
      <c r="AD280" s="1">
        <v>0.111</v>
      </c>
      <c r="AE280" s="1">
        <v>0.215</v>
      </c>
      <c r="AF280" s="1">
        <v>2.4E-2</v>
      </c>
      <c r="AG280" s="1">
        <v>3.1</v>
      </c>
      <c r="AI280" s="1">
        <v>0</v>
      </c>
      <c r="AJ280" s="1">
        <v>0</v>
      </c>
      <c r="AK280" s="1">
        <v>0</v>
      </c>
      <c r="AL280" s="1">
        <v>1</v>
      </c>
      <c r="AM280" s="1">
        <v>86400</v>
      </c>
      <c r="AN280" s="1">
        <v>80664</v>
      </c>
      <c r="AO280" s="1">
        <v>5736</v>
      </c>
      <c r="AP280" s="1">
        <v>46861</v>
      </c>
      <c r="AQ280" s="1">
        <v>41.201797423604972</v>
      </c>
    </row>
    <row r="281" spans="1:43" x14ac:dyDescent="0.45">
      <c r="A281" s="1">
        <v>241</v>
      </c>
      <c r="B281" s="1">
        <v>351</v>
      </c>
      <c r="C281" s="1">
        <v>63</v>
      </c>
      <c r="D281" s="1" t="s">
        <v>76</v>
      </c>
      <c r="E281" s="1" t="s">
        <v>77</v>
      </c>
      <c r="F281" s="1" t="s">
        <v>78</v>
      </c>
      <c r="G281" s="1" t="s">
        <v>46</v>
      </c>
      <c r="H281" s="1" t="s">
        <v>47</v>
      </c>
      <c r="I281" s="1">
        <v>1247</v>
      </c>
      <c r="J281" s="1">
        <v>27398</v>
      </c>
      <c r="K281" s="1">
        <v>1</v>
      </c>
      <c r="L281" s="1">
        <v>62</v>
      </c>
      <c r="M281" s="1">
        <v>2057</v>
      </c>
      <c r="N281" s="1" t="s">
        <v>48</v>
      </c>
      <c r="O281" s="1">
        <v>181316</v>
      </c>
      <c r="P281" s="1">
        <v>95</v>
      </c>
      <c r="Q281" s="1" t="s">
        <v>127</v>
      </c>
      <c r="R281" s="1" t="s">
        <v>50</v>
      </c>
      <c r="S281" s="1">
        <v>0</v>
      </c>
      <c r="T281" s="1">
        <v>0</v>
      </c>
      <c r="U281" s="1">
        <v>445.84</v>
      </c>
      <c r="V281" s="1">
        <v>25.15</v>
      </c>
      <c r="W281" s="1">
        <v>0.52</v>
      </c>
      <c r="X281" s="1">
        <v>0.108</v>
      </c>
      <c r="Y281" s="1">
        <v>25.257000000000001</v>
      </c>
      <c r="Z281" s="1">
        <v>0.255</v>
      </c>
      <c r="AA281" s="1">
        <v>1.8</v>
      </c>
      <c r="AB281" s="1">
        <v>1.8</v>
      </c>
      <c r="AC281" s="1">
        <v>1.8</v>
      </c>
      <c r="AD281" s="1">
        <v>0.108</v>
      </c>
      <c r="AE281" s="1">
        <v>0.254</v>
      </c>
      <c r="AF281" s="1">
        <v>2.7E-2</v>
      </c>
      <c r="AG281" s="1">
        <v>1.8</v>
      </c>
      <c r="AI281" s="1">
        <v>0</v>
      </c>
      <c r="AJ281" s="1">
        <v>0</v>
      </c>
      <c r="AK281" s="1">
        <v>0</v>
      </c>
      <c r="AL281" s="1">
        <v>1</v>
      </c>
      <c r="AM281" s="1">
        <v>86400</v>
      </c>
      <c r="AN281" s="1">
        <v>79665</v>
      </c>
      <c r="AO281" s="1">
        <v>6735</v>
      </c>
      <c r="AP281" s="1">
        <v>46906</v>
      </c>
      <c r="AQ281" s="1">
        <v>2.0808503266220022</v>
      </c>
    </row>
    <row r="282" spans="1:43" x14ac:dyDescent="0.45">
      <c r="A282" s="1">
        <v>255</v>
      </c>
      <c r="B282" s="1">
        <v>439</v>
      </c>
      <c r="C282" s="1">
        <v>94</v>
      </c>
      <c r="D282" s="1" t="s">
        <v>82</v>
      </c>
      <c r="E282" s="1" t="s">
        <v>83</v>
      </c>
      <c r="F282" s="1" t="s">
        <v>84</v>
      </c>
      <c r="G282" s="1" t="s">
        <v>46</v>
      </c>
      <c r="H282" s="1" t="s">
        <v>47</v>
      </c>
      <c r="I282" s="1">
        <v>490</v>
      </c>
      <c r="J282" s="1">
        <v>12595</v>
      </c>
      <c r="K282" s="1">
        <v>1</v>
      </c>
      <c r="L282" s="1">
        <v>93</v>
      </c>
      <c r="M282" s="1">
        <v>2089</v>
      </c>
      <c r="N282" s="1" t="s">
        <v>48</v>
      </c>
      <c r="O282" s="1">
        <v>185011</v>
      </c>
      <c r="P282" s="1">
        <v>95</v>
      </c>
      <c r="Q282" s="1" t="s">
        <v>127</v>
      </c>
      <c r="R282" s="1" t="s">
        <v>50</v>
      </c>
      <c r="S282" s="1">
        <v>0</v>
      </c>
      <c r="T282" s="1">
        <v>0</v>
      </c>
      <c r="U282" s="1">
        <v>53.661000000000001</v>
      </c>
      <c r="V282" s="1">
        <v>24</v>
      </c>
      <c r="W282" s="1">
        <v>0.53</v>
      </c>
      <c r="X282" s="1">
        <v>0.108</v>
      </c>
      <c r="Y282" s="1">
        <v>24.108000000000001</v>
      </c>
      <c r="Z282" s="1">
        <v>1.629</v>
      </c>
      <c r="AA282" s="1">
        <v>-3</v>
      </c>
      <c r="AB282" s="1">
        <v>-3</v>
      </c>
      <c r="AC282" s="1">
        <v>-3</v>
      </c>
      <c r="AD282" s="1">
        <v>0.108</v>
      </c>
      <c r="AE282" s="1">
        <v>1.61</v>
      </c>
      <c r="AF282" s="1">
        <v>0.17399999999999999</v>
      </c>
      <c r="AG282" s="1">
        <v>-3</v>
      </c>
      <c r="AI282" s="1">
        <v>0</v>
      </c>
      <c r="AJ282" s="1">
        <v>0</v>
      </c>
      <c r="AK282" s="1">
        <v>0</v>
      </c>
      <c r="AL282" s="1">
        <v>1</v>
      </c>
      <c r="AM282" s="1">
        <v>54122</v>
      </c>
      <c r="AN282" s="1">
        <v>10896</v>
      </c>
      <c r="AO282" s="1">
        <v>43227</v>
      </c>
      <c r="AP282" s="1">
        <v>46985</v>
      </c>
      <c r="AQ282" s="1">
        <v>11.941807257954689</v>
      </c>
    </row>
    <row r="283" spans="1:43" x14ac:dyDescent="0.45">
      <c r="A283" s="1">
        <v>27</v>
      </c>
      <c r="B283" s="1">
        <v>26</v>
      </c>
      <c r="C283" s="1">
        <v>126</v>
      </c>
      <c r="D283" s="1" t="s">
        <v>51</v>
      </c>
      <c r="E283" s="1" t="s">
        <v>52</v>
      </c>
      <c r="F283" s="1" t="s">
        <v>53</v>
      </c>
      <c r="G283" s="1" t="s">
        <v>54</v>
      </c>
      <c r="H283" s="1" t="s">
        <v>47</v>
      </c>
      <c r="I283" s="1">
        <v>1113</v>
      </c>
      <c r="J283" s="1">
        <v>60690</v>
      </c>
      <c r="K283" s="1">
        <v>1</v>
      </c>
      <c r="L283" s="1">
        <v>125</v>
      </c>
      <c r="M283" s="1">
        <v>979</v>
      </c>
      <c r="N283" s="1" t="s">
        <v>48</v>
      </c>
      <c r="O283" s="1">
        <v>14027</v>
      </c>
      <c r="P283" s="1">
        <v>95</v>
      </c>
      <c r="Q283" s="1" t="s">
        <v>127</v>
      </c>
      <c r="R283" s="1" t="s">
        <v>50</v>
      </c>
      <c r="S283" s="1">
        <v>0</v>
      </c>
      <c r="T283" s="1">
        <v>0</v>
      </c>
      <c r="U283" s="1">
        <v>164.45</v>
      </c>
      <c r="V283" s="1">
        <v>27.754000000000001</v>
      </c>
      <c r="W283" s="1">
        <v>0.52</v>
      </c>
      <c r="X283" s="1">
        <v>0.107</v>
      </c>
      <c r="Y283" s="1">
        <v>27.861000000000001</v>
      </c>
      <c r="Z283" s="1">
        <v>0.57299999999999995</v>
      </c>
      <c r="AA283" s="1">
        <v>1.1000000000000001</v>
      </c>
      <c r="AB283" s="1">
        <v>1.1000000000000001</v>
      </c>
      <c r="AC283" s="1">
        <v>1.1000000000000001</v>
      </c>
      <c r="AD283" s="1">
        <v>0.107</v>
      </c>
      <c r="AE283" s="1">
        <v>0.40799999999999997</v>
      </c>
      <c r="AF283" s="1">
        <v>4.3999999999999997E-2</v>
      </c>
      <c r="AG283" s="1">
        <v>1.1000000000000001</v>
      </c>
      <c r="AI283" s="1">
        <v>0</v>
      </c>
      <c r="AJ283" s="1">
        <v>0</v>
      </c>
      <c r="AK283" s="1">
        <v>0</v>
      </c>
      <c r="AL283" s="1">
        <v>1</v>
      </c>
      <c r="AM283" s="1">
        <v>50635</v>
      </c>
      <c r="AN283" s="1">
        <v>7306</v>
      </c>
      <c r="AO283" s="1">
        <v>43330</v>
      </c>
      <c r="AP283" s="1">
        <v>47138</v>
      </c>
      <c r="AQ283" s="1">
        <v>5.0490435520414696</v>
      </c>
    </row>
    <row r="284" spans="1:43" x14ac:dyDescent="0.45">
      <c r="A284" s="1">
        <v>152</v>
      </c>
      <c r="B284" s="1">
        <v>128</v>
      </c>
      <c r="C284" s="1">
        <v>88</v>
      </c>
      <c r="D284" s="1" t="s">
        <v>115</v>
      </c>
      <c r="E284" s="1" t="s">
        <v>116</v>
      </c>
      <c r="F284" s="1" t="s">
        <v>117</v>
      </c>
      <c r="G284" s="1" t="s">
        <v>54</v>
      </c>
      <c r="H284" s="1" t="s">
        <v>47</v>
      </c>
      <c r="I284" s="1">
        <v>830</v>
      </c>
      <c r="J284" s="1">
        <v>39746</v>
      </c>
      <c r="K284" s="1">
        <v>1</v>
      </c>
      <c r="L284" s="1">
        <v>87</v>
      </c>
      <c r="M284" s="1">
        <v>2385</v>
      </c>
      <c r="N284" s="1" t="s">
        <v>48</v>
      </c>
      <c r="O284" s="1">
        <v>195373</v>
      </c>
      <c r="P284" s="1">
        <v>95</v>
      </c>
      <c r="Q284" s="1" t="s">
        <v>127</v>
      </c>
      <c r="R284" s="1" t="s">
        <v>50</v>
      </c>
      <c r="S284" s="1">
        <v>0</v>
      </c>
      <c r="T284" s="1">
        <v>0</v>
      </c>
      <c r="U284" s="1">
        <v>213.90600000000001</v>
      </c>
      <c r="V284" s="1">
        <v>25.358000000000001</v>
      </c>
      <c r="W284" s="1">
        <v>0.52</v>
      </c>
      <c r="X284" s="1">
        <v>0.107</v>
      </c>
      <c r="Y284" s="1">
        <v>25.465</v>
      </c>
      <c r="Z284" s="1">
        <v>0.22</v>
      </c>
      <c r="AA284" s="1">
        <v>0</v>
      </c>
      <c r="AB284" s="1">
        <v>0</v>
      </c>
      <c r="AC284" s="1">
        <v>0</v>
      </c>
      <c r="AD284" s="1">
        <v>0.107</v>
      </c>
      <c r="AE284" s="1">
        <v>0.22</v>
      </c>
      <c r="AF284" s="1">
        <v>2.4E-2</v>
      </c>
      <c r="AG284" s="1">
        <v>0</v>
      </c>
      <c r="AI284" s="1">
        <v>0</v>
      </c>
      <c r="AJ284" s="1">
        <v>0</v>
      </c>
      <c r="AK284" s="1">
        <v>0</v>
      </c>
      <c r="AL284" s="1">
        <v>1</v>
      </c>
      <c r="AM284" s="1">
        <v>50727</v>
      </c>
      <c r="AN284" s="1">
        <v>3328</v>
      </c>
      <c r="AO284" s="1">
        <v>47400</v>
      </c>
      <c r="AP284" s="1">
        <v>49309</v>
      </c>
      <c r="AQ284" s="1">
        <v>15.351406965542269</v>
      </c>
    </row>
    <row r="285" spans="1:43" x14ac:dyDescent="0.45">
      <c r="A285" s="1">
        <v>175</v>
      </c>
      <c r="B285" s="1">
        <v>142</v>
      </c>
      <c r="C285" s="1">
        <v>78</v>
      </c>
      <c r="D285" s="1" t="s">
        <v>67</v>
      </c>
      <c r="E285" s="1" t="s">
        <v>68</v>
      </c>
      <c r="F285" s="1" t="s">
        <v>69</v>
      </c>
      <c r="G285" s="1" t="s">
        <v>46</v>
      </c>
      <c r="H285" s="1" t="s">
        <v>47</v>
      </c>
      <c r="I285" s="1">
        <v>1163</v>
      </c>
      <c r="J285" s="1">
        <v>33073</v>
      </c>
      <c r="K285" s="1">
        <v>1</v>
      </c>
      <c r="L285" s="1">
        <v>77</v>
      </c>
      <c r="M285" s="1">
        <v>2278</v>
      </c>
      <c r="N285" s="1" t="s">
        <v>48</v>
      </c>
      <c r="O285" s="1">
        <v>194572</v>
      </c>
      <c r="P285" s="1">
        <v>95</v>
      </c>
      <c r="Q285" s="1" t="s">
        <v>127</v>
      </c>
      <c r="R285" s="1" t="s">
        <v>50</v>
      </c>
      <c r="S285" s="1">
        <v>0</v>
      </c>
      <c r="T285" s="1">
        <v>0</v>
      </c>
      <c r="U285" s="1">
        <v>57.752000000000002</v>
      </c>
      <c r="V285" s="1">
        <v>25.484999999999999</v>
      </c>
      <c r="W285" s="1">
        <v>0.52</v>
      </c>
      <c r="X285" s="1">
        <v>0.104</v>
      </c>
      <c r="Y285" s="1">
        <v>25.588999999999999</v>
      </c>
      <c r="Z285" s="1">
        <v>0.22700000000000001</v>
      </c>
      <c r="AA285" s="1">
        <v>-2.4</v>
      </c>
      <c r="AB285" s="1">
        <v>-2.4</v>
      </c>
      <c r="AC285" s="1">
        <v>-2.4</v>
      </c>
      <c r="AD285" s="1">
        <v>0.104</v>
      </c>
      <c r="AE285" s="1">
        <v>0.22700000000000001</v>
      </c>
      <c r="AF285" s="1">
        <v>2.4E-2</v>
      </c>
      <c r="AG285" s="1">
        <v>-2.4</v>
      </c>
      <c r="AI285" s="1">
        <v>0</v>
      </c>
      <c r="AJ285" s="1">
        <v>0</v>
      </c>
      <c r="AK285" s="1">
        <v>0</v>
      </c>
      <c r="AL285" s="1">
        <v>1</v>
      </c>
      <c r="AM285" s="1">
        <v>50768</v>
      </c>
      <c r="AN285" s="1">
        <v>6022</v>
      </c>
      <c r="AO285" s="1">
        <v>44746</v>
      </c>
      <c r="AP285" s="1">
        <v>47717</v>
      </c>
      <c r="AQ285" s="1">
        <v>9.243860809648978E-2</v>
      </c>
    </row>
    <row r="286" spans="1:43" x14ac:dyDescent="0.45">
      <c r="A286" s="1">
        <v>49</v>
      </c>
      <c r="B286" s="1">
        <v>73</v>
      </c>
      <c r="C286" s="1">
        <v>83</v>
      </c>
      <c r="D286" s="1" t="s">
        <v>55</v>
      </c>
      <c r="E286" s="1" t="s">
        <v>56</v>
      </c>
      <c r="F286" s="1" t="s">
        <v>57</v>
      </c>
      <c r="G286" s="1" t="s">
        <v>46</v>
      </c>
      <c r="H286" s="1" t="s">
        <v>47</v>
      </c>
      <c r="I286" s="1">
        <v>1176</v>
      </c>
      <c r="J286" s="1">
        <v>30288</v>
      </c>
      <c r="K286" s="1">
        <v>1</v>
      </c>
      <c r="L286" s="1">
        <v>82</v>
      </c>
      <c r="M286" s="1">
        <v>2433</v>
      </c>
      <c r="N286" s="1" t="s">
        <v>48</v>
      </c>
      <c r="O286" s="1">
        <v>197606</v>
      </c>
      <c r="P286" s="1">
        <v>95</v>
      </c>
      <c r="Q286" s="1" t="s">
        <v>127</v>
      </c>
      <c r="R286" s="1" t="s">
        <v>50</v>
      </c>
      <c r="S286" s="1">
        <v>0</v>
      </c>
      <c r="T286" s="1">
        <v>0</v>
      </c>
      <c r="U286" s="1">
        <v>569.24900000000002</v>
      </c>
      <c r="V286" s="1">
        <v>25.556000000000001</v>
      </c>
      <c r="W286" s="1">
        <v>0.52</v>
      </c>
      <c r="X286" s="1">
        <v>0.10299999999999999</v>
      </c>
      <c r="Y286" s="1">
        <v>25.658000000000001</v>
      </c>
      <c r="Z286" s="1">
        <v>0.14000000000000001</v>
      </c>
      <c r="AA286" s="1">
        <v>0.6</v>
      </c>
      <c r="AB286" s="1">
        <v>0.6</v>
      </c>
      <c r="AC286" s="1">
        <v>0.6</v>
      </c>
      <c r="AD286" s="1">
        <v>0.10299999999999999</v>
      </c>
      <c r="AE286" s="1">
        <v>0.14000000000000001</v>
      </c>
      <c r="AF286" s="1">
        <v>1.4E-2</v>
      </c>
      <c r="AG286" s="1">
        <v>0.6</v>
      </c>
      <c r="AI286" s="1">
        <v>0</v>
      </c>
      <c r="AJ286" s="1">
        <v>0</v>
      </c>
      <c r="AK286" s="1">
        <v>0</v>
      </c>
      <c r="AL286" s="1">
        <v>1</v>
      </c>
      <c r="AM286" s="1">
        <v>54058</v>
      </c>
      <c r="AN286" s="1">
        <v>10832</v>
      </c>
      <c r="AO286" s="1">
        <v>43226</v>
      </c>
      <c r="AP286" s="1">
        <v>46949</v>
      </c>
      <c r="AQ286" s="1">
        <v>2.895253494249125</v>
      </c>
    </row>
    <row r="287" spans="1:43" x14ac:dyDescent="0.45">
      <c r="A287" s="1">
        <v>247</v>
      </c>
      <c r="B287" s="1">
        <v>413</v>
      </c>
      <c r="C287" s="1">
        <v>92</v>
      </c>
      <c r="D287" s="1" t="s">
        <v>128</v>
      </c>
      <c r="E287" s="1" t="s">
        <v>129</v>
      </c>
      <c r="F287" s="1" t="s">
        <v>130</v>
      </c>
      <c r="G287" s="1" t="s">
        <v>46</v>
      </c>
      <c r="H287" s="1" t="s">
        <v>47</v>
      </c>
      <c r="I287" s="1">
        <v>424</v>
      </c>
      <c r="J287" s="1">
        <v>8200</v>
      </c>
      <c r="K287" s="1">
        <v>1</v>
      </c>
      <c r="L287" s="1">
        <v>91</v>
      </c>
      <c r="M287" s="1">
        <v>2059</v>
      </c>
      <c r="N287" s="1" t="s">
        <v>48</v>
      </c>
      <c r="O287" s="1">
        <v>182352</v>
      </c>
      <c r="P287" s="1">
        <v>95</v>
      </c>
      <c r="Q287" s="1" t="s">
        <v>127</v>
      </c>
      <c r="R287" s="1" t="s">
        <v>50</v>
      </c>
      <c r="S287" s="1">
        <v>0</v>
      </c>
      <c r="T287" s="1">
        <v>0</v>
      </c>
      <c r="U287" s="1">
        <v>96.558999999999997</v>
      </c>
      <c r="V287" s="1">
        <v>25.829000000000001</v>
      </c>
      <c r="W287" s="1">
        <v>0.52</v>
      </c>
      <c r="X287" s="1">
        <v>0.10199999999999999</v>
      </c>
      <c r="Y287" s="1">
        <v>25.931000000000001</v>
      </c>
      <c r="Z287" s="1">
        <v>0.58699999999999997</v>
      </c>
      <c r="AA287" s="1">
        <v>1.1000000000000001</v>
      </c>
      <c r="AB287" s="1">
        <v>1.1000000000000001</v>
      </c>
      <c r="AC287" s="1">
        <v>1.1000000000000001</v>
      </c>
      <c r="AD287" s="1">
        <v>0.10199999999999999</v>
      </c>
      <c r="AE287" s="1">
        <v>0.58599999999999997</v>
      </c>
      <c r="AF287" s="1">
        <v>0.06</v>
      </c>
      <c r="AG287" s="1">
        <v>1.1000000000000001</v>
      </c>
      <c r="AI287" s="1">
        <v>0</v>
      </c>
      <c r="AJ287" s="1">
        <v>0</v>
      </c>
      <c r="AK287" s="1">
        <v>0</v>
      </c>
      <c r="AL287" s="1">
        <v>1</v>
      </c>
      <c r="AM287" s="1">
        <v>64737</v>
      </c>
      <c r="AN287" s="1">
        <v>21445</v>
      </c>
      <c r="AO287" s="1">
        <v>43292</v>
      </c>
      <c r="AP287" s="1">
        <v>49140</v>
      </c>
      <c r="AQ287" s="1">
        <v>12.760039730714199</v>
      </c>
    </row>
    <row r="288" spans="1:43" x14ac:dyDescent="0.45">
      <c r="A288" s="1">
        <v>276</v>
      </c>
      <c r="B288" s="1">
        <v>446</v>
      </c>
      <c r="C288" s="1">
        <v>97</v>
      </c>
      <c r="D288" s="1" t="s">
        <v>85</v>
      </c>
      <c r="E288" s="1" t="s">
        <v>86</v>
      </c>
      <c r="F288" s="1" t="s">
        <v>87</v>
      </c>
      <c r="G288" s="1" t="s">
        <v>46</v>
      </c>
      <c r="H288" s="1" t="s">
        <v>47</v>
      </c>
      <c r="I288" s="1">
        <v>1089</v>
      </c>
      <c r="J288" s="1">
        <v>26566</v>
      </c>
      <c r="K288" s="1">
        <v>1</v>
      </c>
      <c r="L288" s="1">
        <v>96</v>
      </c>
      <c r="M288" s="1">
        <v>2085</v>
      </c>
      <c r="N288" s="1" t="s">
        <v>48</v>
      </c>
      <c r="O288" s="1">
        <v>184935</v>
      </c>
      <c r="P288" s="1">
        <v>95</v>
      </c>
      <c r="Q288" s="1" t="s">
        <v>127</v>
      </c>
      <c r="R288" s="1" t="s">
        <v>50</v>
      </c>
      <c r="S288" s="1">
        <v>0</v>
      </c>
      <c r="T288" s="1">
        <v>0</v>
      </c>
      <c r="U288" s="1">
        <v>107.322</v>
      </c>
      <c r="V288" s="1">
        <v>24.898</v>
      </c>
      <c r="W288" s="1">
        <v>0.52</v>
      </c>
      <c r="X288" s="1">
        <v>0.10199999999999999</v>
      </c>
      <c r="Y288" s="1">
        <v>25</v>
      </c>
      <c r="Z288" s="1">
        <v>0.54800000000000004</v>
      </c>
      <c r="AA288" s="1">
        <v>3</v>
      </c>
      <c r="AB288" s="1">
        <v>3</v>
      </c>
      <c r="AC288" s="1">
        <v>3</v>
      </c>
      <c r="AD288" s="1">
        <v>0.10199999999999999</v>
      </c>
      <c r="AE288" s="1">
        <v>0.54500000000000004</v>
      </c>
      <c r="AF288" s="1">
        <v>5.6000000000000001E-2</v>
      </c>
      <c r="AG288" s="1">
        <v>3</v>
      </c>
      <c r="AI288" s="1">
        <v>0</v>
      </c>
      <c r="AJ288" s="1">
        <v>0</v>
      </c>
      <c r="AK288" s="1">
        <v>0</v>
      </c>
      <c r="AL288" s="1">
        <v>1</v>
      </c>
      <c r="AM288" s="1">
        <v>86400</v>
      </c>
      <c r="AN288" s="1">
        <v>82008</v>
      </c>
      <c r="AO288" s="1">
        <v>4392</v>
      </c>
      <c r="AP288" s="1">
        <v>43473</v>
      </c>
      <c r="AQ288" s="1">
        <v>12.38053227469997</v>
      </c>
    </row>
    <row r="291" spans="43:43" ht="14.25" customHeight="1" x14ac:dyDescent="0.45">
      <c r="AQ291" s="1">
        <f>SUM(AQ270:AQ284)</f>
        <v>166.79416296053765</v>
      </c>
    </row>
  </sheetData>
  <sortState xmlns:xlrd2="http://schemas.microsoft.com/office/spreadsheetml/2017/richdata2" ref="A2:AQ291">
    <sortCondition descending="1" ref="X2:X291"/>
  </sortState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Charts</vt:lpstr>
      <vt:lpstr>Building Values</vt:lpstr>
      <vt:lpstr>07</vt:lpstr>
      <vt:lpstr>08</vt:lpstr>
      <vt:lpstr>09</vt:lpstr>
      <vt:lpstr>10</vt:lpstr>
      <vt:lpstr>11</vt:lpstr>
      <vt:lpstr>12</vt:lpstr>
      <vt:lpstr>13</vt:lpstr>
      <vt:lpstr>14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Piero Orderique</dc:creator>
  <cp:keywords/>
  <dc:description/>
  <cp:lastModifiedBy>fabrizzio orderique</cp:lastModifiedBy>
  <dcterms:created xsi:type="dcterms:W3CDTF">2021-01-07T22:02:21Z</dcterms:created>
  <dcterms:modified xsi:type="dcterms:W3CDTF">2021-01-21T13:59:03Z</dcterms:modified>
  <cp:category/>
</cp:coreProperties>
</file>